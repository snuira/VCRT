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https://upra.sharepoint.com/sites/ArquitecturaTICUPRA/Documentos compartidos/2. Gestión de Proyectos de TI/PROYECTOS_PETIC/SNUIRA/2025/4. LaboratorioDatos/Proyectos/VCRT_Cluster/01-Prototipo Clúster Tipologías VCRT/00_fuentes/"/>
    </mc:Choice>
  </mc:AlternateContent>
  <xr:revisionPtr revIDLastSave="126" documentId="8_{37390F52-3811-4F88-B0B4-263CEE782B50}" xr6:coauthVersionLast="47" xr6:coauthVersionMax="47" xr10:uidLastSave="{1B023B92-6F06-42F1-B94F-4354782567CB}"/>
  <bookViews>
    <workbookView xWindow="-108" yWindow="-108" windowWidth="30936" windowHeight="16776" tabRatio="730" xr2:uid="{00000000-000D-0000-FFFF-FFFF00000000}"/>
  </bookViews>
  <sheets>
    <sheet name="Hoja1" sheetId="1" r:id="rId1"/>
  </sheets>
  <definedNames>
    <definedName name="_xlnm._FilterDatabase" localSheetId="0" hidden="1">Hoja1!$A$1:$AT$1119</definedName>
    <definedName name="RANGO">#REF!</definedName>
    <definedName name="RANGO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2" i="1"/>
</calcChain>
</file>

<file path=xl/sharedStrings.xml><?xml version="1.0" encoding="utf-8"?>
<sst xmlns="http://schemas.openxmlformats.org/spreadsheetml/2006/main" count="29481" uniqueCount="1456">
  <si>
    <t>FID</t>
  </si>
  <si>
    <t>Shape</t>
  </si>
  <si>
    <t>DPTO_CCDGO</t>
  </si>
  <si>
    <t>MPIO_CCDGO</t>
  </si>
  <si>
    <t>MUNICIPIO</t>
  </si>
  <si>
    <t>DEPARTAMENTO</t>
  </si>
  <si>
    <t>PK</t>
  </si>
  <si>
    <t>CODIGO_DANE</t>
  </si>
  <si>
    <t>Region</t>
  </si>
  <si>
    <t>CODIGO_PRO</t>
  </si>
  <si>
    <t>PROVINCIA</t>
  </si>
  <si>
    <t>RURALIDAD</t>
  </si>
  <si>
    <t>Capital</t>
  </si>
  <si>
    <t>Población</t>
  </si>
  <si>
    <t>Área_No_Municipalizada</t>
  </si>
  <si>
    <t>Instrumento</t>
  </si>
  <si>
    <t>Categoria_Municipal</t>
  </si>
  <si>
    <t>Nivel_Desempeño_Fiscal</t>
  </si>
  <si>
    <t>PDET</t>
  </si>
  <si>
    <t>ZOMAC</t>
  </si>
  <si>
    <t>IRV</t>
  </si>
  <si>
    <t>INFORMALIDAD</t>
  </si>
  <si>
    <t>Año</t>
  </si>
  <si>
    <t>Cod_precio</t>
  </si>
  <si>
    <t>irradiado_rango_prec</t>
  </si>
  <si>
    <t>rango_prec</t>
  </si>
  <si>
    <t>irradiado</t>
  </si>
  <si>
    <t>Codigo_D1</t>
  </si>
  <si>
    <t>Isocrona_25k_DPTO</t>
  </si>
  <si>
    <t>Isocrona_25K_MPIO</t>
  </si>
  <si>
    <t>Isocrona_25K_TIEMPO</t>
  </si>
  <si>
    <t>Isocrona_25K_HORA</t>
  </si>
  <si>
    <t>Isocrona_25K_DIST</t>
  </si>
  <si>
    <t>Isocrona_CAPIT_DPTO</t>
  </si>
  <si>
    <t>Isocrona_CAPI_MPIO</t>
  </si>
  <si>
    <t>Isocrona_CAPI_TIEMPO</t>
  </si>
  <si>
    <t>Isocrona_CAPI_HORA</t>
  </si>
  <si>
    <t>Isocrona_CAPI_DIST</t>
  </si>
  <si>
    <t>Tamaño_Predial_Area</t>
  </si>
  <si>
    <t>Tamaño_predial_AREA_HA</t>
  </si>
  <si>
    <t>Tamaño_predial_numero</t>
  </si>
  <si>
    <t>Tamaño_Predial_numero_(ha)</t>
  </si>
  <si>
    <t>GRUPO_UFH</t>
  </si>
  <si>
    <t>AREA_UFH</t>
  </si>
  <si>
    <t>Uso_agrope</t>
  </si>
  <si>
    <t>Observacio</t>
  </si>
  <si>
    <t>Polygon</t>
  </si>
  <si>
    <t>MEDELLIN</t>
  </si>
  <si>
    <t>ANTIOQUIA</t>
  </si>
  <si>
    <t>Andina</t>
  </si>
  <si>
    <t>VALLE DEL ABURRA</t>
  </si>
  <si>
    <t>Ciudades y aglomeraciones</t>
  </si>
  <si>
    <t>si</t>
  </si>
  <si>
    <t>-</t>
  </si>
  <si>
    <t>3. POT</t>
  </si>
  <si>
    <t>ESPECIAL</t>
  </si>
  <si>
    <t>G1_ALTO</t>
  </si>
  <si>
    <t>No PDET</t>
  </si>
  <si>
    <t>NO ZOMAC</t>
  </si>
  <si>
    <t>Medio Bajo</t>
  </si>
  <si>
    <t>Irradiado_Mayor que 400 - hasta 500</t>
  </si>
  <si>
    <t>Antioquia</t>
  </si>
  <si>
    <t>MEDELLÍN</t>
  </si>
  <si>
    <t>A1. Menos 1 hora</t>
  </si>
  <si>
    <t>Mediana propiedad</t>
  </si>
  <si>
    <t>Pequeña propiedad</t>
  </si>
  <si>
    <t>SI</t>
  </si>
  <si>
    <t>ABEJORRAL</t>
  </si>
  <si>
    <t>ORIENTE</t>
  </si>
  <si>
    <t>Rural</t>
  </si>
  <si>
    <t>1. EOT</t>
  </si>
  <si>
    <t>SEIS</t>
  </si>
  <si>
    <t>G5_BAJO</t>
  </si>
  <si>
    <t xml:space="preserve"> ZOMAC</t>
  </si>
  <si>
    <t>Irradiado_Mayor que 140 - hasta 160</t>
  </si>
  <si>
    <t>LA CEJA</t>
  </si>
  <si>
    <t>A2. Mayor que 1 y menor que 2 horas</t>
  </si>
  <si>
    <t>A3. Mayor que 2 y menor que 3 horas</t>
  </si>
  <si>
    <t>ABRIAQUI</t>
  </si>
  <si>
    <t>OCCIDENTE</t>
  </si>
  <si>
    <t>Rural disperso</t>
  </si>
  <si>
    <t>Bajo</t>
  </si>
  <si>
    <t>Irradiado_Mayor que 15 - hasta 20</t>
  </si>
  <si>
    <t>BELLO</t>
  </si>
  <si>
    <t>A4. Mayor que 3 y menor que 4 horas</t>
  </si>
  <si>
    <t>A5. Mayor que 4 y menor que 5 horas</t>
  </si>
  <si>
    <t>ALEJANDRIA</t>
  </si>
  <si>
    <t>Irradiado_Mayor que 40 - hasta 50</t>
  </si>
  <si>
    <t>BARBOSA</t>
  </si>
  <si>
    <t>AMAGA</t>
  </si>
  <si>
    <t>SUROESTE</t>
  </si>
  <si>
    <t>Intermedio</t>
  </si>
  <si>
    <t>2. PBOT</t>
  </si>
  <si>
    <t>G4_MEDIO_BAJO</t>
  </si>
  <si>
    <t>5.1.1</t>
  </si>
  <si>
    <t>Mayor que 120 - hasta 140</t>
  </si>
  <si>
    <t>CALDAS</t>
  </si>
  <si>
    <t>Gran propiedad, latifundios</t>
  </si>
  <si>
    <t>AMALFI</t>
  </si>
  <si>
    <t>NORDESTE</t>
  </si>
  <si>
    <t>PDET Bajo Cauca-Nordeste Antioqueño</t>
  </si>
  <si>
    <t>Medio Alto</t>
  </si>
  <si>
    <t>Irradiado_Mayor que 20 - hasta 30</t>
  </si>
  <si>
    <t>SEGOVIA</t>
  </si>
  <si>
    <t>ANDES</t>
  </si>
  <si>
    <t>G3_MEDIO</t>
  </si>
  <si>
    <t>4.2.1</t>
  </si>
  <si>
    <t>Mayor que 80 - hasta 100</t>
  </si>
  <si>
    <t>ANGELOPOLIS</t>
  </si>
  <si>
    <t>3.2.2</t>
  </si>
  <si>
    <t>Mayor que 30 - hasta 40</t>
  </si>
  <si>
    <t>ANGOSTURA</t>
  </si>
  <si>
    <t>NORTE</t>
  </si>
  <si>
    <t>YARUMAL</t>
  </si>
  <si>
    <t>ANORI</t>
  </si>
  <si>
    <t>Alto</t>
  </si>
  <si>
    <t>Irradiado_Mayor que 30 - hasta 40</t>
  </si>
  <si>
    <t>SANTAFE DE ANTIOQUIA</t>
  </si>
  <si>
    <t>CINCO</t>
  </si>
  <si>
    <t>Medio</t>
  </si>
  <si>
    <t>Irradiado_Mayor que 200 - hasta 250</t>
  </si>
  <si>
    <t>ANZA</t>
  </si>
  <si>
    <t>G2_MEDIO_ALTO</t>
  </si>
  <si>
    <t>APARTADO</t>
  </si>
  <si>
    <t>URABA</t>
  </si>
  <si>
    <t>TRES</t>
  </si>
  <si>
    <t>PDET Urabá Antioqueño</t>
  </si>
  <si>
    <t>Irradiado_Mayor que 70 - hasta 80</t>
  </si>
  <si>
    <t>APARTADÓ</t>
  </si>
  <si>
    <t>Córdoba</t>
  </si>
  <si>
    <t>MONTERÍA</t>
  </si>
  <si>
    <t>ARBOLETES</t>
  </si>
  <si>
    <t>ARGELIA</t>
  </si>
  <si>
    <t>ARMENIA</t>
  </si>
  <si>
    <t>CUATRO</t>
  </si>
  <si>
    <t>BELMIRA</t>
  </si>
  <si>
    <t>Irradiado_Mayor que 100 - hasta 120</t>
  </si>
  <si>
    <t>Agropecuario</t>
  </si>
  <si>
    <t>UNO</t>
  </si>
  <si>
    <t>Irradiado_Mayor que 300 - hasta 400</t>
  </si>
  <si>
    <t>BETANIA</t>
  </si>
  <si>
    <t>4.1.1</t>
  </si>
  <si>
    <t>Mayor que 60 - hasta 70</t>
  </si>
  <si>
    <t>BETULIA</t>
  </si>
  <si>
    <t>4.1.2</t>
  </si>
  <si>
    <t>Mayor que 70 - hasta 80</t>
  </si>
  <si>
    <t>CIUDAD BOLIVAR</t>
  </si>
  <si>
    <t>3.3.2</t>
  </si>
  <si>
    <t>Mayor que 50 - hasta 60</t>
  </si>
  <si>
    <t>BRICEÑO</t>
  </si>
  <si>
    <t>BURITICA</t>
  </si>
  <si>
    <t>CACERES</t>
  </si>
  <si>
    <t>BAJO CAUCA</t>
  </si>
  <si>
    <t>CAUCASIA</t>
  </si>
  <si>
    <t>CAICEDO</t>
  </si>
  <si>
    <t>CAMPAMENTO</t>
  </si>
  <si>
    <t>CAÑASGORDAS</t>
  </si>
  <si>
    <t>CARACOLI</t>
  </si>
  <si>
    <t>MAGDALENA MEDIO</t>
  </si>
  <si>
    <t>PUERTO BERRÍO</t>
  </si>
  <si>
    <t>CARAMANTA</t>
  </si>
  <si>
    <t>Caldas</t>
  </si>
  <si>
    <t>CHINCHINÁ</t>
  </si>
  <si>
    <t>MANIZALES</t>
  </si>
  <si>
    <t>CAREPA</t>
  </si>
  <si>
    <t>Irradiado_Mayor que 60 - hasta 70</t>
  </si>
  <si>
    <t>CARMEN DE VIBORAL</t>
  </si>
  <si>
    <t>Irradiado_Mayor que 50 - hasta 60</t>
  </si>
  <si>
    <t>EL CARMEN DE VIBORAL</t>
  </si>
  <si>
    <t>CAROLINA</t>
  </si>
  <si>
    <t>CHIGORODO</t>
  </si>
  <si>
    <t>CHIGORODÓ</t>
  </si>
  <si>
    <t>CISNEROS</t>
  </si>
  <si>
    <t>COCORNA</t>
  </si>
  <si>
    <t>EL SANTUARIO</t>
  </si>
  <si>
    <t>CONCEPCION</t>
  </si>
  <si>
    <t>3.2.1</t>
  </si>
  <si>
    <t>Mayor que 20 - hasta 30</t>
  </si>
  <si>
    <t>CONCORDIA</t>
  </si>
  <si>
    <t>COPACABANA</t>
  </si>
  <si>
    <t>DABEIBA</t>
  </si>
  <si>
    <t>A6. Mayor que 5 y menor que 6 horas</t>
  </si>
  <si>
    <t>DON MATIAS</t>
  </si>
  <si>
    <t>Irradiado_Mayor que 120 - hasta 140</t>
  </si>
  <si>
    <t>EBEJICO</t>
  </si>
  <si>
    <t>EL BAGRE</t>
  </si>
  <si>
    <t>ENTRERRIOS</t>
  </si>
  <si>
    <t>Irradiado_Mayor que 80 - hasta 100</t>
  </si>
  <si>
    <t>ENVIGADO</t>
  </si>
  <si>
    <t>FREDONIA</t>
  </si>
  <si>
    <t>4.2.2</t>
  </si>
  <si>
    <t>Mayor que 100 - hasta 120</t>
  </si>
  <si>
    <t>FRONTINO</t>
  </si>
  <si>
    <t>GIRALDO</t>
  </si>
  <si>
    <t>GIRARDOTA</t>
  </si>
  <si>
    <t>Irradiado_Mayor que 250 - hasta 300</t>
  </si>
  <si>
    <t>GOMEZ PLATA</t>
  </si>
  <si>
    <t>GRANADA</t>
  </si>
  <si>
    <t>GUADALUPE</t>
  </si>
  <si>
    <t>GUARNE</t>
  </si>
  <si>
    <t>MARINILLA</t>
  </si>
  <si>
    <t>GUATAPE</t>
  </si>
  <si>
    <t>HELICONIA</t>
  </si>
  <si>
    <t>LA ESTRELLA</t>
  </si>
  <si>
    <t>HISPANIA</t>
  </si>
  <si>
    <t>ITAGUI</t>
  </si>
  <si>
    <t>ITAGÜÍ</t>
  </si>
  <si>
    <t>ITUANGO</t>
  </si>
  <si>
    <t>JARDIN</t>
  </si>
  <si>
    <t>JERICO</t>
  </si>
  <si>
    <t>DOS</t>
  </si>
  <si>
    <t xml:space="preserve"> </t>
  </si>
  <si>
    <t>LA PINTADA</t>
  </si>
  <si>
    <t>LA UNION</t>
  </si>
  <si>
    <t>LIBORINA</t>
  </si>
  <si>
    <t>MACEO</t>
  </si>
  <si>
    <t>MONTEBELLO</t>
  </si>
  <si>
    <t>3.3.1</t>
  </si>
  <si>
    <t>Mayor que 40 - hasta 50</t>
  </si>
  <si>
    <t>MURINDO</t>
  </si>
  <si>
    <t>PDET Chocó</t>
  </si>
  <si>
    <t>A8. Mayor que 8 horas</t>
  </si>
  <si>
    <t>MUTATA</t>
  </si>
  <si>
    <t>NARIÑO</t>
  </si>
  <si>
    <t>NECOCLI</t>
  </si>
  <si>
    <t>TURBO, DISTRITO PORTUARIO, LOGÍSTICO, INDUSTRIAL, TURÍSTICO Y COMERCIAL</t>
  </si>
  <si>
    <t>NECHI</t>
  </si>
  <si>
    <t>OLAYA</t>
  </si>
  <si>
    <t>Irradiado_Mayor que 180 - hasta 200</t>
  </si>
  <si>
    <t>PEÑOL</t>
  </si>
  <si>
    <t>PEQUE</t>
  </si>
  <si>
    <t>PUEBLORRICO</t>
  </si>
  <si>
    <t>PUERTO BERRIO</t>
  </si>
  <si>
    <t>PUERTO NARE</t>
  </si>
  <si>
    <t>Boyacá</t>
  </si>
  <si>
    <t>PUERTO BOYACÁ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</si>
  <si>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</si>
  <si>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</si>
  <si>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</si>
  <si>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</si>
  <si>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</si>
  <si>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</si>
  <si>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</si>
  <si>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</si>
  <si>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</si>
  <si>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</si>
  <si>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</si>
  <si>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</si>
  <si>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</si>
  <si>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C_CIUDADES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</si>
  <si>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</si>
  <si>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</si>
  <si>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</si>
  <si>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</si>
  <si>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</si>
  <si>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</si>
  <si>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</si>
  <si>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SANTA.ROSA DE OSOS</t>
  </si>
  <si>
    <t>SANTO DOMINGO</t>
  </si>
  <si>
    <t>SANTUARIO</t>
  </si>
  <si>
    <t>SONSON</t>
  </si>
  <si>
    <t>SOPETRAN</t>
  </si>
  <si>
    <t>TAMESIS</t>
  </si>
  <si>
    <t>TARAZA</t>
  </si>
  <si>
    <t>TARSO</t>
  </si>
  <si>
    <t>5.1.2</t>
  </si>
  <si>
    <t>Mayor que 140 - hasta 160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</si>
  <si>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</si>
  <si>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</si>
  <si>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</si>
  <si>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</si>
  <si>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</si>
  <si>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</si>
  <si>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</si>
  <si>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</si>
  <si>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</si>
  <si>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</si>
  <si>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Irradiado_Mayor que 10 - hasta 15</t>
  </si>
  <si>
    <t>YALI</t>
  </si>
  <si>
    <t>YOLOMBO</t>
  </si>
  <si>
    <t>YONDO</t>
  </si>
  <si>
    <t>PDET Sur de Bolívar</t>
  </si>
  <si>
    <t>Santander</t>
  </si>
  <si>
    <t>BARRANCABERMEJA</t>
  </si>
  <si>
    <t>BUCARAMANGA</t>
  </si>
  <si>
    <t>ZARAGOZA</t>
  </si>
  <si>
    <t>BARRANQUILLA</t>
  </si>
  <si>
    <t>ATLANTICO</t>
  </si>
  <si>
    <t>Caribe</t>
  </si>
  <si>
    <t>2024*</t>
  </si>
  <si>
    <t>Atlántico</t>
  </si>
  <si>
    <t>BARRANQUILLA, DISTRITO ESPECIAL, INDUSTRIAL Y PORTUARIO</t>
  </si>
  <si>
    <t>BARANOA</t>
  </si>
  <si>
    <t>CENTRO ORIENTE</t>
  </si>
  <si>
    <t>N/A</t>
  </si>
  <si>
    <t>AGROPECUARIO - INFLUENCIA VIA PRINCIPAL</t>
  </si>
  <si>
    <t>CAMPO DE LA CRUZ</t>
  </si>
  <si>
    <t>SUR</t>
  </si>
  <si>
    <t>PALMAR DE VARELA</t>
  </si>
  <si>
    <t>AGROPECUARIO</t>
  </si>
  <si>
    <t>CANDELARIA</t>
  </si>
  <si>
    <t>GALAPA</t>
  </si>
  <si>
    <t>AGROPECUARIO - INFLUENCIA VIA PRINCIPAL A BARRANQUILLA</t>
  </si>
  <si>
    <t>JUAN DE ACOSTA</t>
  </si>
  <si>
    <t>OCCIDENTAL</t>
  </si>
  <si>
    <t>LURUACO</t>
  </si>
  <si>
    <t>Bolívar</t>
  </si>
  <si>
    <t>CARTAGENA DE INDIAS</t>
  </si>
  <si>
    <t>MALAMBO</t>
  </si>
  <si>
    <t>MANATI</t>
  </si>
  <si>
    <t>3.1.2</t>
  </si>
  <si>
    <t>Mayor que 15 - hasta 20</t>
  </si>
  <si>
    <t>PIOJO</t>
  </si>
  <si>
    <t>POLONUEVO</t>
  </si>
  <si>
    <t>PONEDERA</t>
  </si>
  <si>
    <t>PUERTO COLOMBIA</t>
  </si>
  <si>
    <t>REPELON</t>
  </si>
  <si>
    <t>AGROPECUARIO CON RIEGO</t>
  </si>
  <si>
    <t>SABANAGRANDE</t>
  </si>
  <si>
    <t>SANTA LUCIA</t>
  </si>
  <si>
    <t>SANTO TOMAS</t>
  </si>
  <si>
    <t>SANTO TOMÁS</t>
  </si>
  <si>
    <t>SOLEDAD</t>
  </si>
  <si>
    <t>SUAN</t>
  </si>
  <si>
    <t>AGROPECUARIO CON DISTRITO DE RIEGO</t>
  </si>
  <si>
    <t>TUBARA</t>
  </si>
  <si>
    <t>USIACURI</t>
  </si>
  <si>
    <t>BOGOTA</t>
  </si>
  <si>
    <t>BOGOTÁ D.C.</t>
  </si>
  <si>
    <t>Irradiado_Mayor que 1000</t>
  </si>
  <si>
    <t>Cundinamarca</t>
  </si>
  <si>
    <t>BOGOTÁ, DISTRITO CAPITAL</t>
  </si>
  <si>
    <t>BOGOTÁ</t>
  </si>
  <si>
    <t>CARTAGENA</t>
  </si>
  <si>
    <t>BOLIVAR</t>
  </si>
  <si>
    <t>DIQUE BOLIVARENSE</t>
  </si>
  <si>
    <t>CARTAGENA DE INDIAS, DISTRITO TURÍSTICO Y CULTURAL</t>
  </si>
  <si>
    <t>ACHI</t>
  </si>
  <si>
    <t>MOJANA BOLIVARENSE</t>
  </si>
  <si>
    <t>3.1.1</t>
  </si>
  <si>
    <t>Mayor que 10 - hasta 15</t>
  </si>
  <si>
    <t>Sucre</t>
  </si>
  <si>
    <t>SAN MARCOS</t>
  </si>
  <si>
    <t>ALTOS DEL ROSARIO</t>
  </si>
  <si>
    <t>LOBA</t>
  </si>
  <si>
    <t>2.2.2</t>
  </si>
  <si>
    <t>Mayor que 8 - hasta 10</t>
  </si>
  <si>
    <t>Magdalena</t>
  </si>
  <si>
    <t>EL BANCO</t>
  </si>
  <si>
    <t>SINCELEJO</t>
  </si>
  <si>
    <t>ARENAL</t>
  </si>
  <si>
    <t>MAGDALENA MEDIO BOLIVARENSE</t>
  </si>
  <si>
    <t>Cesar</t>
  </si>
  <si>
    <t>AGUACHICA</t>
  </si>
  <si>
    <t>A7. Mayor que 6 y menor que 7 horas</t>
  </si>
  <si>
    <t>ARJONA</t>
  </si>
  <si>
    <t>ARROYOHONDO</t>
  </si>
  <si>
    <t>SAN JUAN NEPOMUCENO</t>
  </si>
  <si>
    <t>BARRANCO DE LOBA</t>
  </si>
  <si>
    <t>CALAMAR</t>
  </si>
  <si>
    <t>CANTAGALLO</t>
  </si>
  <si>
    <t>2.2.1</t>
  </si>
  <si>
    <t>Mayor que 5 - hasta 8</t>
  </si>
  <si>
    <t>CICUCO</t>
  </si>
  <si>
    <t>DEPRESION MOMPOSINA</t>
  </si>
  <si>
    <t>MAGANGUÉ</t>
  </si>
  <si>
    <t>CORDOBA</t>
  </si>
  <si>
    <t>MONTES DE MARIA</t>
  </si>
  <si>
    <t>PDET Montes de María</t>
  </si>
  <si>
    <t>PLATO</t>
  </si>
  <si>
    <t>CLEMENCIA</t>
  </si>
  <si>
    <t>TURBACO</t>
  </si>
  <si>
    <t>EL CARMEN DE BOLIVAR</t>
  </si>
  <si>
    <t>EL CARMEN DE BOLÍVAR</t>
  </si>
  <si>
    <t>EL GUAMO</t>
  </si>
  <si>
    <t>EL PEÑON</t>
  </si>
  <si>
    <t>VALLEDUPAR</t>
  </si>
  <si>
    <t>HATILLO DE LOBA</t>
  </si>
  <si>
    <t>MAGANGUE</t>
  </si>
  <si>
    <t>MAHATES</t>
  </si>
  <si>
    <t>MARGARITA</t>
  </si>
  <si>
    <t>MARIA LA BAJA</t>
  </si>
  <si>
    <t>MONTECRISTO</t>
  </si>
  <si>
    <t>2.1.3</t>
  </si>
  <si>
    <t>Mayor que 3 - hasta 5</t>
  </si>
  <si>
    <t>MOMPOS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</si>
  <si>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</si>
  <si>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</si>
  <si>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</si>
  <si>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</si>
  <si>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</si>
  <si>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</si>
  <si>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</si>
  <si>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</si>
  <si>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</si>
  <si>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</si>
  <si>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</si>
  <si>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</si>
  <si>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</si>
  <si>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</si>
  <si>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</si>
  <si>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</si>
  <si>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</si>
  <si>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</si>
  <si>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TURBANA</t>
  </si>
  <si>
    <t>VILLANUEVA</t>
  </si>
  <si>
    <t>ZAMBRANO</t>
  </si>
  <si>
    <t>TUNJA</t>
  </si>
  <si>
    <t>BOYACA</t>
  </si>
  <si>
    <t>CENTRO</t>
  </si>
  <si>
    <t>ALMEIDA</t>
  </si>
  <si>
    <t>TOCANCIPÁ</t>
  </si>
  <si>
    <t>AQUITANIA</t>
  </si>
  <si>
    <t>SUGAMUXI</t>
  </si>
  <si>
    <t>5.2.2</t>
  </si>
  <si>
    <t>Mayor que 200 - hasta 250</t>
  </si>
  <si>
    <t>SOGAMOSO</t>
  </si>
  <si>
    <t>ARCABUCO</t>
  </si>
  <si>
    <t>RICAURTE</t>
  </si>
  <si>
    <t>BELEN</t>
  </si>
  <si>
    <t>TUNDAMA</t>
  </si>
  <si>
    <t>DUITAMA</t>
  </si>
  <si>
    <t>BERBEO</t>
  </si>
  <si>
    <t>LENGUPA</t>
  </si>
  <si>
    <t>BETEITIVA</t>
  </si>
  <si>
    <t>VALDERRAMA</t>
  </si>
  <si>
    <t>BOAVITA</t>
  </si>
  <si>
    <t>MARQUEZ</t>
  </si>
  <si>
    <t>CHIQUINQUIRÁ</t>
  </si>
  <si>
    <t>BUENAVISTA</t>
  </si>
  <si>
    <t>BUSBANZA</t>
  </si>
  <si>
    <t>CAMPOHERMOSO</t>
  </si>
  <si>
    <t>Casanare</t>
  </si>
  <si>
    <t>CERINZA</t>
  </si>
  <si>
    <t>CHINAVITA</t>
  </si>
  <si>
    <t>NEIRA</t>
  </si>
  <si>
    <t>CHIQUINQUIRA</t>
  </si>
  <si>
    <t>Irradiado_Mayor que 160 - hasta 180</t>
  </si>
  <si>
    <t>CHISCAS</t>
  </si>
  <si>
    <t>GUTIERREZ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</si>
  <si>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</si>
  <si>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</si>
  <si>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</si>
  <si>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</si>
  <si>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</si>
  <si>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</si>
  <si>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</si>
  <si>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</si>
  <si>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</si>
  <si>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Arauca</t>
  </si>
  <si>
    <t>SARAVENA</t>
  </si>
  <si>
    <t>ARAUCA</t>
  </si>
  <si>
    <t>CUCAITA</t>
  </si>
  <si>
    <t>CUITIVA</t>
  </si>
  <si>
    <t>5.2.3</t>
  </si>
  <si>
    <t>Mayor que 250 - hasta 300</t>
  </si>
  <si>
    <t>CHIQUIZA</t>
  </si>
  <si>
    <t>CHIVOR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</si>
  <si>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</si>
  <si>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</si>
  <si>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</si>
  <si>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</si>
  <si>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</si>
  <si>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</si>
  <si>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</si>
  <si>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</si>
  <si>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</si>
  <si>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</si>
  <si>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</si>
  <si>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</si>
  <si>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</si>
  <si>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</si>
  <si>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LIBERTAD</t>
  </si>
  <si>
    <t>YOPAL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</si>
  <si>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</si>
  <si>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</si>
  <si>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</si>
  <si>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</si>
  <si>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</si>
  <si>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</si>
  <si>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</si>
  <si>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</si>
  <si>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</si>
  <si>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</si>
  <si>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</si>
  <si>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</si>
  <si>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</si>
  <si>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</si>
  <si>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</si>
  <si>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</si>
  <si>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</si>
  <si>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</si>
  <si>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</si>
  <si>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</si>
  <si>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AGUAZUL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</si>
  <si>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</si>
  <si>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</si>
  <si>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</si>
  <si>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</si>
  <si>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</si>
  <si>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</si>
  <si>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</si>
  <si>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</si>
  <si>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</si>
  <si>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</si>
  <si>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</si>
  <si>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</si>
  <si>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</si>
  <si>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</si>
  <si>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</si>
  <si>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</si>
  <si>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</si>
  <si>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Meta</t>
  </si>
  <si>
    <t>VILLAVICENCIO</t>
  </si>
  <si>
    <t>SAN MATEO</t>
  </si>
  <si>
    <t>SAN MIGUEL DE SEMA</t>
  </si>
  <si>
    <t>SAN PABLO BORBUR</t>
  </si>
  <si>
    <t>SANTANA</t>
  </si>
  <si>
    <t>SANTA MARIA</t>
  </si>
  <si>
    <t>SAN ROSA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</si>
  <si>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</si>
  <si>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</si>
  <si>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</si>
  <si>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</si>
  <si>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</si>
  <si>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</si>
  <si>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</si>
  <si>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</si>
  <si>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</si>
  <si>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</si>
  <si>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</si>
  <si>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</si>
  <si>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</si>
  <si>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</si>
  <si>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</si>
  <si>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</si>
  <si>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</si>
  <si>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</si>
  <si>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</si>
  <si>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</si>
  <si>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</si>
  <si>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</si>
  <si>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</si>
  <si>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</si>
  <si>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</si>
  <si>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</si>
  <si>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</si>
  <si>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</si>
  <si>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</si>
  <si>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</si>
  <si>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</si>
  <si>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</si>
  <si>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AGUADAS</t>
  </si>
  <si>
    <t>ANSERMA</t>
  </si>
  <si>
    <t>BAJO OCCIDENTE</t>
  </si>
  <si>
    <t>Risaralda</t>
  </si>
  <si>
    <t>LA VIRGINIA</t>
  </si>
  <si>
    <t>PEREIRA</t>
  </si>
  <si>
    <t>ARANZAZU</t>
  </si>
  <si>
    <t>BELALCAZAR</t>
  </si>
  <si>
    <t>CHINCHINA</t>
  </si>
  <si>
    <t>FILADELFIA</t>
  </si>
  <si>
    <t>ALTO OCCIDENTE</t>
  </si>
  <si>
    <t>LA DORADA</t>
  </si>
  <si>
    <t>Tolima</t>
  </si>
  <si>
    <t>IBAGUÉ</t>
  </si>
  <si>
    <t>LA MERCED</t>
  </si>
  <si>
    <t>MANZANARES</t>
  </si>
  <si>
    <t>ALTO ORIENTE</t>
  </si>
  <si>
    <t>SAN SEBASTIÁN DE MARIQUITA</t>
  </si>
  <si>
    <t>MARMATO</t>
  </si>
  <si>
    <t>MARQUETALIA</t>
  </si>
  <si>
    <t>MARULANDA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</si>
  <si>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</si>
  <si>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</si>
  <si>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</si>
  <si>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</si>
  <si>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</si>
  <si>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</si>
  <si>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</si>
  <si>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</si>
  <si>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</si>
  <si>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</si>
  <si>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</si>
  <si>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 MARIA</t>
  </si>
  <si>
    <t>VILLAMARÍA</t>
  </si>
  <si>
    <t>VITERBO</t>
  </si>
  <si>
    <t>FLORENCIA</t>
  </si>
  <si>
    <t>CAQUETA</t>
  </si>
  <si>
    <t>Amazonia</t>
  </si>
  <si>
    <t>PDET Cuenca del Caguán y Piedemonte Caqueteño</t>
  </si>
  <si>
    <t>Caquetá</t>
  </si>
  <si>
    <t>Cauca</t>
  </si>
  <si>
    <t>ALBANIA</t>
  </si>
  <si>
    <t>BELEN DE LOS ANDAQUIES</t>
  </si>
  <si>
    <t>CARTAGENA DEL CHAIRA</t>
  </si>
  <si>
    <t>Irradiado_Mayor que 8 - hasta 10</t>
  </si>
  <si>
    <t>CURRILLO</t>
  </si>
  <si>
    <t>EL DONCELLO</t>
  </si>
  <si>
    <t>EL PAUJIL</t>
  </si>
  <si>
    <t>LA MONTAÑITA</t>
  </si>
  <si>
    <t>MILAN</t>
  </si>
  <si>
    <t>MORELIA</t>
  </si>
  <si>
    <t>PUERTO RICO</t>
  </si>
  <si>
    <t>SAN VICENTE DEL CAGUÁN</t>
  </si>
  <si>
    <t>SAN JOSE DEL FRAGUA</t>
  </si>
  <si>
    <t>SAN VICENTE DEL CAGUAN</t>
  </si>
  <si>
    <t>SOLANO</t>
  </si>
  <si>
    <t>Irradiado_Mayor que 3 - hasta 5</t>
  </si>
  <si>
    <t>SOLITA</t>
  </si>
  <si>
    <t>POPAYAN</t>
  </si>
  <si>
    <t>CAUCA</t>
  </si>
  <si>
    <t>POPAYÁN</t>
  </si>
  <si>
    <t>Agropecuario - caña</t>
  </si>
  <si>
    <t>ALMAGUER</t>
  </si>
  <si>
    <t>PDET Alto Patía-Norte del Cauca</t>
  </si>
  <si>
    <t>BALBOA</t>
  </si>
  <si>
    <t>BUENOS AIRES</t>
  </si>
  <si>
    <t>SANTANDER DE QUILICHAO</t>
  </si>
  <si>
    <t>Valle del Cauca</t>
  </si>
  <si>
    <t>SANTIAGO DE CALI</t>
  </si>
  <si>
    <t>CAJIBIO</t>
  </si>
  <si>
    <t>CALDONO</t>
  </si>
  <si>
    <t>CALOTO</t>
  </si>
  <si>
    <t>CORINTO</t>
  </si>
  <si>
    <t>FLORIDA</t>
  </si>
  <si>
    <t>EL TAMBO</t>
  </si>
  <si>
    <t>Nariño</t>
  </si>
  <si>
    <t>SAN JUAN DE PASTO</t>
  </si>
  <si>
    <t>GUAPI</t>
  </si>
  <si>
    <t>PDET Pacífico Medio</t>
  </si>
  <si>
    <t>INZA</t>
  </si>
  <si>
    <t>Huila</t>
  </si>
  <si>
    <t>LA PLATA</t>
  </si>
  <si>
    <t>AGROPECUARIO - CERCANO A ZONA URBANA</t>
  </si>
  <si>
    <t>JAMBALO</t>
  </si>
  <si>
    <t>LA SIERRA</t>
  </si>
  <si>
    <t>LA VEGA</t>
  </si>
  <si>
    <t>LOPEZ</t>
  </si>
  <si>
    <t>MERCADERES</t>
  </si>
  <si>
    <t>MIRANDA</t>
  </si>
  <si>
    <t>PADILLA</t>
  </si>
  <si>
    <t>PUERTO TEJADA</t>
  </si>
  <si>
    <t>AGROPECUARIO - CERCANO A VÍA PANAMERICANA</t>
  </si>
  <si>
    <t>PATIA</t>
  </si>
  <si>
    <t>PIAMONTE</t>
  </si>
  <si>
    <t>Putumayo</t>
  </si>
  <si>
    <t>MOCOA</t>
  </si>
  <si>
    <t>PIENDAMO</t>
  </si>
  <si>
    <t>PURACE</t>
  </si>
  <si>
    <t>ROSAS</t>
  </si>
  <si>
    <t>SAN SEBASTIAN</t>
  </si>
  <si>
    <t>SILVIA</t>
  </si>
  <si>
    <t>SOTARA</t>
  </si>
  <si>
    <t>SUAREZ</t>
  </si>
  <si>
    <t>SUCRE</t>
  </si>
  <si>
    <t>TIMBIO</t>
  </si>
  <si>
    <t>TIMBIQUI</t>
  </si>
  <si>
    <t>TORIBIO</t>
  </si>
  <si>
    <t>AGROFORESTAL - MINERIA</t>
  </si>
  <si>
    <t>TOTORO</t>
  </si>
  <si>
    <t>AGROPECUARIO - CERCANO A VÍA PRINCIPAL</t>
  </si>
  <si>
    <t>VILLA RICA</t>
  </si>
  <si>
    <t>AGROPECUARIO - CAÑA</t>
  </si>
  <si>
    <t>CESAR</t>
  </si>
  <si>
    <t>PDET Sierra Nevada-Perijá</t>
  </si>
  <si>
    <t>Agropecuario, parcelaciones</t>
  </si>
  <si>
    <t>AGUSTIN CODAZZI</t>
  </si>
  <si>
    <t>AGUSTÍN CODAZZI</t>
  </si>
  <si>
    <t>ASTREA</t>
  </si>
  <si>
    <t>NOROCCIDENTAL</t>
  </si>
  <si>
    <t>BOSCONIA</t>
  </si>
  <si>
    <t>BECERRIL</t>
  </si>
  <si>
    <t>CENTRAL</t>
  </si>
  <si>
    <t>LA JAGUA DE IBIRICO</t>
  </si>
  <si>
    <t>CHIMICHAGUA</t>
  </si>
  <si>
    <t>CHIRIGUANA</t>
  </si>
  <si>
    <t>CURUMANÍ</t>
  </si>
  <si>
    <t>CURUMANI</t>
  </si>
  <si>
    <t>EL COPEY</t>
  </si>
  <si>
    <t>EL PASO</t>
  </si>
  <si>
    <t>Agrícola y pecuario</t>
  </si>
  <si>
    <t>GAMARRA</t>
  </si>
  <si>
    <t>Agropecuario con influencia de la via Ruta del Sol</t>
  </si>
  <si>
    <t>GONZALEZ</t>
  </si>
  <si>
    <t>Norte de Santander</t>
  </si>
  <si>
    <t>OCAÑA</t>
  </si>
  <si>
    <t>LA GLORIA</t>
  </si>
  <si>
    <t>MANAURE</t>
  </si>
  <si>
    <t>La Guajira</t>
  </si>
  <si>
    <t>Agropecuario, microfundios</t>
  </si>
  <si>
    <t>PAILITAS</t>
  </si>
  <si>
    <t>Agropecuario, influencia via Ruta del Sol</t>
  </si>
  <si>
    <t>PELAYA</t>
  </si>
  <si>
    <t>PUEBLO BELLO</t>
  </si>
  <si>
    <t>RIO DE ORO</t>
  </si>
  <si>
    <t>LA PAZ</t>
  </si>
  <si>
    <t>SAN ALBERTO</t>
  </si>
  <si>
    <t>SABANA DE TORRES</t>
  </si>
  <si>
    <t>SAN DIEGO</t>
  </si>
  <si>
    <t>SAN MARTIN</t>
  </si>
  <si>
    <t>TAMALAMEQUE</t>
  </si>
  <si>
    <t>MONTERIA</t>
  </si>
  <si>
    <t>AYAPEL</t>
  </si>
  <si>
    <t>SAN JORGE</t>
  </si>
  <si>
    <t>PLANETA RICA</t>
  </si>
  <si>
    <t>Agropecuario - zona se ubican sobre la Troncal de Occidente y tienen influencia de la cabecera urbana,presenta algunos sectores con valores mayores al de la zona en general.</t>
  </si>
  <si>
    <t>CANALETE</t>
  </si>
  <si>
    <t>COSTANERA</t>
  </si>
  <si>
    <t>CERETE</t>
  </si>
  <si>
    <t>SINU MEDIO</t>
  </si>
  <si>
    <t>CERETÉ</t>
  </si>
  <si>
    <t>CHIMA</t>
  </si>
  <si>
    <t>BAJO SINU</t>
  </si>
  <si>
    <t>SANTA CRUZ DE LORICA</t>
  </si>
  <si>
    <t>Distrito de riego, zona sur occidental</t>
  </si>
  <si>
    <t>CHINU</t>
  </si>
  <si>
    <t>SABANAS</t>
  </si>
  <si>
    <t>SAHAGÚN</t>
  </si>
  <si>
    <t>CIENAGA DE ORO</t>
  </si>
  <si>
    <t>COTORRA</t>
  </si>
  <si>
    <t>LA APARTADA</t>
  </si>
  <si>
    <t>Pecuario - Influenciada por corredor vial y cercania la casco urbano.</t>
  </si>
  <si>
    <t>LORICA</t>
  </si>
  <si>
    <t>LOS CORDOBAS</t>
  </si>
  <si>
    <t>MOMIL</t>
  </si>
  <si>
    <t>MONTELIBANO</t>
  </si>
  <si>
    <t>PDET Sur de Córdoba</t>
  </si>
  <si>
    <t>MONTELÍBANO</t>
  </si>
  <si>
    <t>Agropecuario - Se evidencia presencia de mineria</t>
  </si>
  <si>
    <t>MO?ITOS</t>
  </si>
  <si>
    <t>Agropecuario - Bufer sobre víapincipal, corredor vial (mayor Valor)</t>
  </si>
  <si>
    <t>PUEBLO NUEVO</t>
  </si>
  <si>
    <t>Agropecuario - Con Influencia de la vía Troncal de Occidente.</t>
  </si>
  <si>
    <t>PUERTO ESCONDIDO</t>
  </si>
  <si>
    <t>PUERTO LIBERTADOR</t>
  </si>
  <si>
    <t>PURISIMA</t>
  </si>
  <si>
    <t>SAHAGUN</t>
  </si>
  <si>
    <t>Pecuario coninfluencia en la Troncal del Caribe</t>
  </si>
  <si>
    <t>SAN ANDRES SOTAVENTO</t>
  </si>
  <si>
    <t>Costado sur cabecera municipal, facil desplazamiento</t>
  </si>
  <si>
    <t>SAN ANTERO</t>
  </si>
  <si>
    <t>Pecuario - Presencia turismo y habitacional</t>
  </si>
  <si>
    <t>SAN BERNARDO DEL VIENTO</t>
  </si>
  <si>
    <t>Agrícola</t>
  </si>
  <si>
    <t>Agrícola con influencia de vía principal pavimentada</t>
  </si>
  <si>
    <t>SAN PELAYO</t>
  </si>
  <si>
    <t>Agropecuario tecnificada-Distrito de Riego</t>
  </si>
  <si>
    <t>TIERRALTA</t>
  </si>
  <si>
    <t>ALTO SINU</t>
  </si>
  <si>
    <t>VALENCIA</t>
  </si>
  <si>
    <t>AGUA DE DIOS</t>
  </si>
  <si>
    <t>CUNDINAMARCA</t>
  </si>
  <si>
    <t>ALTO MAGDALENA</t>
  </si>
  <si>
    <t>FLANDES</t>
  </si>
  <si>
    <t>ALBAN</t>
  </si>
  <si>
    <t>GUALIVA</t>
  </si>
  <si>
    <t>FACATATIVÁ</t>
  </si>
  <si>
    <t>ANAPOIMA</t>
  </si>
  <si>
    <t>TEQUENDAMA</t>
  </si>
  <si>
    <t>ANOLAIMA</t>
  </si>
  <si>
    <t>ARBELAEZ</t>
  </si>
  <si>
    <t>SUMAPAZ</t>
  </si>
  <si>
    <t>FUSAGASUGÁ</t>
  </si>
  <si>
    <t>BELTRAN</t>
  </si>
  <si>
    <t>MAGDALENA CENTRO</t>
  </si>
  <si>
    <t>BITUIMA</t>
  </si>
  <si>
    <t>BOJACA</t>
  </si>
  <si>
    <t>SABANA OCCIDENTE</t>
  </si>
  <si>
    <t>MADRID</t>
  </si>
  <si>
    <t>CABRERA</t>
  </si>
  <si>
    <t>MELGAR</t>
  </si>
  <si>
    <t>CACHIPAY</t>
  </si>
  <si>
    <t>CAJICA</t>
  </si>
  <si>
    <t>SABANA CENTRO</t>
  </si>
  <si>
    <t>6.1.2</t>
  </si>
  <si>
    <t>Mayor que 400 - hasta 500</t>
  </si>
  <si>
    <t>CAJICÁ</t>
  </si>
  <si>
    <t>CAPARRAPI</t>
  </si>
  <si>
    <t>BAJO MAGDALENA</t>
  </si>
  <si>
    <t>CAQUEZA</t>
  </si>
  <si>
    <t>CARMEN DE CARUPA</t>
  </si>
  <si>
    <t>UBATE</t>
  </si>
  <si>
    <t>VILLA DE SAN DIEGO DE UBATÉ</t>
  </si>
  <si>
    <t>CHAGUANI</t>
  </si>
  <si>
    <t>CHIA</t>
  </si>
  <si>
    <t>Irradiado_Mayor que 600 - hasta 700</t>
  </si>
  <si>
    <t>CHÍA</t>
  </si>
  <si>
    <t>CHIPAQUE</t>
  </si>
  <si>
    <t>CHOACHI</t>
  </si>
  <si>
    <t>CHOCONTA</t>
  </si>
  <si>
    <t>ALMEIDAS</t>
  </si>
  <si>
    <t>COGUA</t>
  </si>
  <si>
    <t>ZIPAQUIRÁ</t>
  </si>
  <si>
    <t>COTA</t>
  </si>
  <si>
    <t>Irradiado_Mayor que 500 - hasta 600</t>
  </si>
  <si>
    <t>CUCUNUBA</t>
  </si>
  <si>
    <t>EL COLEGIO</t>
  </si>
  <si>
    <t>SOACHA</t>
  </si>
  <si>
    <t>RIO NEGRO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</si>
  <si>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</si>
  <si>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</si>
  <si>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</si>
  <si>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</si>
  <si>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</si>
  <si>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</si>
  <si>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</si>
  <si>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</si>
  <si>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GUAVIO</t>
  </si>
  <si>
    <t>SOPÓ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</si>
  <si>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</si>
  <si>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</si>
  <si>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</si>
  <si>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</si>
  <si>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</si>
  <si>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</si>
  <si>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</si>
  <si>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</si>
  <si>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</si>
  <si>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</si>
  <si>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</si>
  <si>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</si>
  <si>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</si>
  <si>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</si>
  <si>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</si>
  <si>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</si>
  <si>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</si>
  <si>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</si>
  <si>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</si>
  <si>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MANTA</t>
  </si>
  <si>
    <t>MEDINA</t>
  </si>
  <si>
    <t>MOSQUERA</t>
  </si>
  <si>
    <t>NEMOCON</t>
  </si>
  <si>
    <t>6.1.1</t>
  </si>
  <si>
    <t>Mayor que 300 - hasta 400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</si>
  <si>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</si>
  <si>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</si>
  <si>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</si>
  <si>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</si>
  <si>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</si>
  <si>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</si>
  <si>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</si>
  <si>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</si>
  <si>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</si>
  <si>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</si>
  <si>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</si>
  <si>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</si>
  <si>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</si>
  <si>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</si>
  <si>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SAN ANTONIO DE TEQUENDAMA</t>
  </si>
  <si>
    <t>SAN BERNARDO</t>
  </si>
  <si>
    <t>SAN CAYETANO</t>
  </si>
  <si>
    <t>SAN JUAN DE RIO SECO</t>
  </si>
  <si>
    <t>SASAIMA</t>
  </si>
  <si>
    <t>SESQUILE</t>
  </si>
  <si>
    <t>SIBATE</t>
  </si>
  <si>
    <t>SIBATÉ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</si>
  <si>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</si>
  <si>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</si>
  <si>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</si>
  <si>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</si>
  <si>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</si>
  <si>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</si>
  <si>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</si>
  <si>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</si>
  <si>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</si>
  <si>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</si>
  <si>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</si>
  <si>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</si>
  <si>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Mayor que 500 - hasta 600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</si>
  <si>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</si>
  <si>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</si>
  <si>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</si>
  <si>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</si>
  <si>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</si>
  <si>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</si>
  <si>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</si>
  <si>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</si>
  <si>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</si>
  <si>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</si>
  <si>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</si>
  <si>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</si>
  <si>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</si>
  <si>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</si>
  <si>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</si>
  <si>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</si>
  <si>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</si>
  <si>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</si>
  <si>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QUIBDO</t>
  </si>
  <si>
    <t>Choco</t>
  </si>
  <si>
    <t>Pacifica</t>
  </si>
  <si>
    <t>ATRATO</t>
  </si>
  <si>
    <t>Chocó</t>
  </si>
  <si>
    <t>SAN FRANCISCO DE QUIBDÓ</t>
  </si>
  <si>
    <t>ACANDI</t>
  </si>
  <si>
    <t>DARIEN</t>
  </si>
  <si>
    <t>ALTO BAUDO</t>
  </si>
  <si>
    <t>PACIFICO SUR</t>
  </si>
  <si>
    <t>BAGADO</t>
  </si>
  <si>
    <t>Irradiado_Mayor que 5 - hasta 8</t>
  </si>
  <si>
    <t>BAHIA SOLANO</t>
  </si>
  <si>
    <t>PACIFICO NORTE</t>
  </si>
  <si>
    <t>BAJO BAUDO</t>
  </si>
  <si>
    <t>BOJAYA</t>
  </si>
  <si>
    <t>CANTON DE SAN PABLO</t>
  </si>
  <si>
    <t>SAN JUAN</t>
  </si>
  <si>
    <t>CARMEN DEL DARIEN</t>
  </si>
  <si>
    <t>CERTEGUI</t>
  </si>
  <si>
    <t>CONDOTO</t>
  </si>
  <si>
    <t>EL CARMEN DE ATRATO</t>
  </si>
  <si>
    <t>EL LITORAL DEL SAN JUAN</t>
  </si>
  <si>
    <t>BUENAVENTURA, DISTRITO ESPECIAL, INDUSTRIAL, PORTUARIO, BIODIVERSO Y ECOTURÍSTICO</t>
  </si>
  <si>
    <t>ITSMINA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</si>
  <si>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</si>
  <si>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</si>
  <si>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</si>
  <si>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</si>
  <si>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</si>
  <si>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</si>
  <si>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</si>
  <si>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</si>
  <si>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</si>
  <si>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</si>
  <si>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CARTAGO</t>
  </si>
  <si>
    <t>SIPI</t>
  </si>
  <si>
    <t>TADO</t>
  </si>
  <si>
    <t>UNGUIA</t>
  </si>
  <si>
    <t>UNION PANAMERICANA</t>
  </si>
  <si>
    <t>NEIVA</t>
  </si>
  <si>
    <t>HUILA</t>
  </si>
  <si>
    <t>ACEVEDO</t>
  </si>
  <si>
    <t>PITALITO</t>
  </si>
  <si>
    <t>AGRADO</t>
  </si>
  <si>
    <t>GARZÓN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</si>
  <si>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</si>
  <si>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</si>
  <si>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</si>
  <si>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</si>
  <si>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</si>
  <si>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</si>
  <si>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</si>
  <si>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</si>
  <si>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</si>
  <si>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</si>
  <si>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</si>
  <si>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</si>
  <si>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</si>
  <si>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NATAGA</t>
  </si>
  <si>
    <t>OPORAPA</t>
  </si>
  <si>
    <t>PAICOL</t>
  </si>
  <si>
    <t>PALERMO</t>
  </si>
  <si>
    <t>PITAL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</si>
  <si>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</si>
  <si>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</si>
  <si>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</si>
  <si>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</si>
  <si>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</si>
  <si>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</si>
  <si>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</si>
  <si>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</si>
  <si>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</si>
  <si>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</si>
  <si>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</si>
  <si>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RIOHACHA</t>
  </si>
  <si>
    <t>LA GUAJIRA</t>
  </si>
  <si>
    <t>RIOHACHA, DISTRITO ESPECIAL, TURÍSTICO Y CULTURAL</t>
  </si>
  <si>
    <t>Pecuario</t>
  </si>
  <si>
    <t>MAICAO</t>
  </si>
  <si>
    <t>BARRANCAS</t>
  </si>
  <si>
    <t>FONSECA</t>
  </si>
  <si>
    <t>Agropecuario con riego</t>
  </si>
  <si>
    <t>DIBULLA</t>
  </si>
  <si>
    <t>Agropecuario - Se empiezan a evidenciar usos habitacionales y turisticos</t>
  </si>
  <si>
    <t>DISTRACCION</t>
  </si>
  <si>
    <t>Agropecuario con Distrtio de riego</t>
  </si>
  <si>
    <t>EL MOLINO</t>
  </si>
  <si>
    <t>Agricultura y ganadería</t>
  </si>
  <si>
    <t>HATONUEVO</t>
  </si>
  <si>
    <t>LA JAGUA DEL PILAR</t>
  </si>
  <si>
    <t>Pesquero, agropecuario y minero</t>
  </si>
  <si>
    <t>SAN JUAN DEL CESAR</t>
  </si>
  <si>
    <t>URIBIA</t>
  </si>
  <si>
    <t>URUMITA</t>
  </si>
  <si>
    <t>SANTA MARTA</t>
  </si>
  <si>
    <t>MAGDALENA</t>
  </si>
  <si>
    <t>SANTA MARTA, DISTRITO TURÍSTICO, CULTURAL E HISTÓRICO</t>
  </si>
  <si>
    <t>ALGARROBO</t>
  </si>
  <si>
    <t>ARACATACA</t>
  </si>
  <si>
    <t>ARIGUANI</t>
  </si>
  <si>
    <t>CERRO SAN ANTONIO</t>
  </si>
  <si>
    <t>RIO</t>
  </si>
  <si>
    <t>CHIVOLO</t>
  </si>
  <si>
    <t>CIENAGA</t>
  </si>
  <si>
    <t>CIÉNAGA</t>
  </si>
  <si>
    <t>EL PIÑON</t>
  </si>
  <si>
    <t>EL RETEN</t>
  </si>
  <si>
    <t>FUNDACION</t>
  </si>
  <si>
    <t>FUNDACIÓN</t>
  </si>
  <si>
    <t>GUAMAL</t>
  </si>
  <si>
    <t>NUEVA GRANADA</t>
  </si>
  <si>
    <t>PEDRAZA</t>
  </si>
  <si>
    <t>PIJIÑO DEL CARMEN</t>
  </si>
  <si>
    <t>PIVIJAY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</si>
  <si>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</si>
  <si>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</si>
  <si>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</si>
  <si>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</si>
  <si>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</si>
  <si>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</si>
  <si>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</si>
  <si>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</si>
  <si>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</si>
  <si>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</si>
  <si>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</si>
  <si>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</si>
  <si>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Orinoquia</t>
  </si>
  <si>
    <t>CAPITAL</t>
  </si>
  <si>
    <t>Agropecuario con influencia vial</t>
  </si>
  <si>
    <t>ACACIAS</t>
  </si>
  <si>
    <t>PIEDEMONTE</t>
  </si>
  <si>
    <t>ACACÍAS</t>
  </si>
  <si>
    <t>Agropecuario y Agroindustria</t>
  </si>
  <si>
    <t>BARRANCA DE UPIA</t>
  </si>
  <si>
    <t>CABUYARO</t>
  </si>
  <si>
    <t>RIO META</t>
  </si>
  <si>
    <t>CASTILLA LA NUEVA</t>
  </si>
  <si>
    <t>Agropecuario (cultivos de arroz y ganaderia extensiva)</t>
  </si>
  <si>
    <t>SAN LUIS DE CUBARRAL</t>
  </si>
  <si>
    <t>Agropecuario y Piscicola</t>
  </si>
  <si>
    <t>CUMARAL</t>
  </si>
  <si>
    <t>Agropecuario (ganaderia extensiva y palma de aceite), en menor proporcial parcelaciones campestres</t>
  </si>
  <si>
    <t>EL CALVARIO</t>
  </si>
  <si>
    <t>Agropecuario con cultivos semestrales</t>
  </si>
  <si>
    <t>EL CASTILLO</t>
  </si>
  <si>
    <t>ARIARI</t>
  </si>
  <si>
    <t>EL DORADO</t>
  </si>
  <si>
    <t>FUENTE DE ORO</t>
  </si>
  <si>
    <t>Agropecuario, Piscícola y Porcícola</t>
  </si>
  <si>
    <t>MAPIRIPAN</t>
  </si>
  <si>
    <t>PDET Macarena-Guaviare</t>
  </si>
  <si>
    <t>Guaviare</t>
  </si>
  <si>
    <t>SAN JOSÉ DEL GUAVIARE</t>
  </si>
  <si>
    <t>Ganaderia extensiva</t>
  </si>
  <si>
    <t>MESETAS</t>
  </si>
  <si>
    <t>LA MACARENA</t>
  </si>
  <si>
    <t>LA URIBE</t>
  </si>
  <si>
    <t>LEJANIAS</t>
  </si>
  <si>
    <t>PUERTO CONCORDIA</t>
  </si>
  <si>
    <t>PUERTO GAITAN</t>
  </si>
  <si>
    <t>PUERTO LOPEZ</t>
  </si>
  <si>
    <t>PUERTO LLERAS</t>
  </si>
  <si>
    <t>RESTREPO</t>
  </si>
  <si>
    <t>Ganaderia en pastos mejorados</t>
  </si>
  <si>
    <t>SAN CARLOS GUAROA</t>
  </si>
  <si>
    <t>SAN JUAN DE ARAMA</t>
  </si>
  <si>
    <t>SAN JUANITO</t>
  </si>
  <si>
    <t>VISTA HERMOSA</t>
  </si>
  <si>
    <t>PASTO</t>
  </si>
  <si>
    <t>ALDANA</t>
  </si>
  <si>
    <t>IPIALES</t>
  </si>
  <si>
    <t>ANCUYA</t>
  </si>
  <si>
    <t>CENTRO OCCIDENTE</t>
  </si>
  <si>
    <t>ARBOLEDA</t>
  </si>
  <si>
    <t>BARBACOAS</t>
  </si>
  <si>
    <t>COSTA</t>
  </si>
  <si>
    <t>PDET Pacífico y frontera Nariñense</t>
  </si>
  <si>
    <t>SAN ANDRÉS DE TUMACO, DISTRITO ESPECIAL, INDUSTRIAL, PORTUARIO, BIODIVERSO Y ECOTURÍSTICO</t>
  </si>
  <si>
    <t>BUESACO</t>
  </si>
  <si>
    <t>COLON</t>
  </si>
  <si>
    <t>CONSACA</t>
  </si>
  <si>
    <t>CONTADERO</t>
  </si>
  <si>
    <t>CUASPUD</t>
  </si>
  <si>
    <t>CUMBAL</t>
  </si>
  <si>
    <t>CUMBITARA</t>
  </si>
  <si>
    <t>CHACHAGUI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</si>
  <si>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</si>
  <si>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</si>
  <si>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</si>
  <si>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</si>
  <si>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</si>
  <si>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</si>
  <si>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</si>
  <si>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</si>
  <si>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</si>
  <si>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</si>
  <si>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LA CRUZ</t>
  </si>
  <si>
    <t>LA FLORIDA</t>
  </si>
  <si>
    <t>LA LLANADA</t>
  </si>
  <si>
    <t>LA TOLA</t>
  </si>
  <si>
    <t>LEIVA</t>
  </si>
  <si>
    <t>LINARES</t>
  </si>
  <si>
    <t>LOS ANDES</t>
  </si>
  <si>
    <t>MAGUI</t>
  </si>
  <si>
    <t>MALLAMA</t>
  </si>
  <si>
    <t>NARINO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</si>
  <si>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</si>
  <si>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</si>
  <si>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</si>
  <si>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</si>
  <si>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</si>
  <si>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</si>
  <si>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</si>
  <si>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</si>
  <si>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</si>
  <si>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</si>
  <si>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</si>
  <si>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</si>
  <si>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</si>
  <si>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</si>
  <si>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</si>
  <si>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</si>
  <si>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</si>
  <si>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</si>
  <si>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TUQUERRES</t>
  </si>
  <si>
    <t>YACUANQUER</t>
  </si>
  <si>
    <t>CUCUTA</t>
  </si>
  <si>
    <t>NORTE DE SANTANDER</t>
  </si>
  <si>
    <t>ORIENTAL</t>
  </si>
  <si>
    <t>SAN JOSÉ DE CÚCUTA</t>
  </si>
  <si>
    <t>ABREGO</t>
  </si>
  <si>
    <t>ARBOLEDAS</t>
  </si>
  <si>
    <t>LOS PATIOS</t>
  </si>
  <si>
    <t>BOCHALEMA</t>
  </si>
  <si>
    <t>SUR ORIENTE</t>
  </si>
  <si>
    <t>BUCARASICA</t>
  </si>
  <si>
    <t>CACOTA</t>
  </si>
  <si>
    <t>SUR OCCIDENTE</t>
  </si>
  <si>
    <t>PAMPLONA</t>
  </si>
  <si>
    <t>CACHIRA</t>
  </si>
  <si>
    <t>CHINACOTA</t>
  </si>
  <si>
    <t>CHITAGA</t>
  </si>
  <si>
    <t>CONVENCION</t>
  </si>
  <si>
    <t>PDET Catatumbo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</si>
  <si>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</si>
  <si>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</si>
  <si>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</si>
  <si>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</si>
  <si>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</si>
  <si>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</si>
  <si>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</si>
  <si>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</si>
  <si>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</si>
  <si>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</si>
  <si>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</si>
  <si>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LOURDES</t>
  </si>
  <si>
    <t>MUTISCUA</t>
  </si>
  <si>
    <t>PAMPLONITA</t>
  </si>
  <si>
    <t>PUERTO SANTANDER</t>
  </si>
  <si>
    <t>VILLA DEL ROSARIO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</si>
  <si>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</si>
  <si>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</si>
  <si>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</si>
  <si>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</si>
  <si>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</si>
  <si>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</si>
  <si>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</si>
  <si>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</si>
  <si>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</si>
  <si>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QUINDIO</t>
  </si>
  <si>
    <t>Quindío</t>
  </si>
  <si>
    <t>CALARCÁ</t>
  </si>
  <si>
    <t>CALARCA</t>
  </si>
  <si>
    <t>CIRCASIA</t>
  </si>
  <si>
    <t>CORDILLERANOS</t>
  </si>
  <si>
    <t>FILANDIA</t>
  </si>
  <si>
    <t>FRIA</t>
  </si>
  <si>
    <t>QUIMBAYA</t>
  </si>
  <si>
    <t>GENOVA</t>
  </si>
  <si>
    <t>LA TEBAIDA</t>
  </si>
  <si>
    <t>VALLE</t>
  </si>
  <si>
    <t>MONTENEGRO</t>
  </si>
  <si>
    <t>PIJAO</t>
  </si>
  <si>
    <t>SALENTO</t>
  </si>
  <si>
    <t>UNO - VERTIENTE ORIENTAL</t>
  </si>
  <si>
    <t>APIA</t>
  </si>
  <si>
    <t>DOS - VERTIENTE OCCIDENTAL</t>
  </si>
  <si>
    <t>BELEN DE UMBRIA</t>
  </si>
  <si>
    <t>DOSQUEBRADAS</t>
  </si>
  <si>
    <t>GUATICA</t>
  </si>
  <si>
    <t>LA CELIA</t>
  </si>
  <si>
    <t>MARSELLA</t>
  </si>
  <si>
    <t>MISTRATO</t>
  </si>
  <si>
    <t>TRES - VERTIENTE DEL PACIFICO</t>
  </si>
  <si>
    <t>PUEBLO RICO</t>
  </si>
  <si>
    <t>QUINCHIA</t>
  </si>
  <si>
    <t>SANTA ROSA DE CABAL</t>
  </si>
  <si>
    <t>SANTANDER</t>
  </si>
  <si>
    <t>SOTO</t>
  </si>
  <si>
    <t>AGUADA</t>
  </si>
  <si>
    <t>VELEZ</t>
  </si>
  <si>
    <t>ARATOCA</t>
  </si>
  <si>
    <t>GUANENTA</t>
  </si>
  <si>
    <t>SAN GIL</t>
  </si>
  <si>
    <t>BARICHARA</t>
  </si>
  <si>
    <t>MARES</t>
  </si>
  <si>
    <t>PIEDECUESTA</t>
  </si>
  <si>
    <t>CALIFORNIA</t>
  </si>
  <si>
    <t>CAPITANEJO</t>
  </si>
  <si>
    <t>GARCIA ROVIRA</t>
  </si>
  <si>
    <t>CARCASI</t>
  </si>
  <si>
    <t>CEPITA</t>
  </si>
  <si>
    <t>CERRITO</t>
  </si>
  <si>
    <t>CHARALA</t>
  </si>
  <si>
    <t>CHARTA</t>
  </si>
  <si>
    <t>COMUNERA</t>
  </si>
  <si>
    <t>SOCORRO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</si>
  <si>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</si>
  <si>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</si>
  <si>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</si>
  <si>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</si>
  <si>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</si>
  <si>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</si>
  <si>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</si>
  <si>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</si>
  <si>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</si>
  <si>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</si>
  <si>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</si>
  <si>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</si>
  <si>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</si>
  <si>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</si>
  <si>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</si>
  <si>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</si>
  <si>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GIRÓN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</si>
  <si>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</si>
  <si>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</si>
  <si>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</si>
  <si>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</si>
  <si>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</si>
  <si>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</si>
  <si>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</si>
  <si>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</si>
  <si>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</si>
  <si>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</si>
  <si>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</si>
  <si>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</si>
  <si>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</si>
  <si>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</si>
  <si>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</si>
  <si>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</si>
  <si>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</si>
  <si>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</si>
  <si>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</si>
  <si>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</si>
  <si>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</si>
  <si>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</si>
  <si>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PINCHOTE</t>
  </si>
  <si>
    <t>PUENTE NACIONAL</t>
  </si>
  <si>
    <t>PUERTO PARRA</t>
  </si>
  <si>
    <t>PUERTO WILCHES</t>
  </si>
  <si>
    <t>SAN BENITO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</si>
  <si>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</si>
  <si>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</si>
  <si>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</si>
  <si>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</si>
  <si>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</si>
  <si>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</si>
  <si>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SUAITA</t>
  </si>
  <si>
    <t>SURATA</t>
  </si>
  <si>
    <t>TONA</t>
  </si>
  <si>
    <t>VALLE DE SAN JOSE</t>
  </si>
  <si>
    <t>VETAS</t>
  </si>
  <si>
    <t>ZAPATOCA</t>
  </si>
  <si>
    <t>Cercania a la capital del departamento</t>
  </si>
  <si>
    <t>CAIMITO</t>
  </si>
  <si>
    <t>Agropecuario - Pequeños sectores con inflruencia de corredor vial y mayores valores</t>
  </si>
  <si>
    <t>COLOSO</t>
  </si>
  <si>
    <t>COROZAL</t>
  </si>
  <si>
    <t>Agrícola, pecuario y parcelas pequeñas</t>
  </si>
  <si>
    <t>COVEÑAS</t>
  </si>
  <si>
    <t>MORROSQUILLO</t>
  </si>
  <si>
    <t>SANTIAGO DE TOLÚ</t>
  </si>
  <si>
    <t>Agrícola, pecuario, turístico</t>
  </si>
  <si>
    <t>CHALAN</t>
  </si>
  <si>
    <t>EL ROBLE</t>
  </si>
  <si>
    <t>GALERAS</t>
  </si>
  <si>
    <t>GUARANDA</t>
  </si>
  <si>
    <t>MOJANA</t>
  </si>
  <si>
    <t>Pecuario - Las zonas cercanas al municipio pueden incluso superar el rango establecido por influencia de usos redreativos.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</si>
  <si>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</si>
  <si>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</si>
  <si>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</si>
  <si>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</si>
  <si>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</si>
  <si>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</si>
  <si>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</si>
  <si>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BETULIA</t>
  </si>
  <si>
    <t>SAN ONOFRE</t>
  </si>
  <si>
    <t>SINCE</t>
  </si>
  <si>
    <t>SANTIAGO DE TOLU</t>
  </si>
  <si>
    <t>TOLU VIEJO</t>
  </si>
  <si>
    <t>IBAGUE</t>
  </si>
  <si>
    <t>TOLIMA</t>
  </si>
  <si>
    <t>ALPUJARRA</t>
  </si>
  <si>
    <t>SURORIENTE</t>
  </si>
  <si>
    <t>ALVARADO</t>
  </si>
  <si>
    <t>AMBALEMA</t>
  </si>
  <si>
    <t>ANZOATEGUI</t>
  </si>
  <si>
    <t>ARMERO</t>
  </si>
  <si>
    <t>ATACO</t>
  </si>
  <si>
    <t>PDET Sur del Tolima</t>
  </si>
  <si>
    <t>CHAPARRAL</t>
  </si>
  <si>
    <t>CAJAMARCA</t>
  </si>
  <si>
    <t>CARMEN DE APICALA</t>
  </si>
  <si>
    <t>CASABIANCA</t>
  </si>
  <si>
    <t>NEVADOS</t>
  </si>
  <si>
    <t>COELLO</t>
  </si>
  <si>
    <t>COYAIMA</t>
  </si>
  <si>
    <t>CUNDAY</t>
  </si>
  <si>
    <t>DOLORES</t>
  </si>
  <si>
    <t>EL ESPINAL</t>
  </si>
  <si>
    <t>ESPINAL</t>
  </si>
  <si>
    <t>FALAN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</si>
  <si>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</si>
  <si>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</si>
  <si>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</si>
  <si>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</si>
  <si>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</si>
  <si>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</si>
  <si>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</si>
  <si>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</si>
  <si>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</si>
  <si>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</si>
  <si>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</si>
  <si>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</si>
  <si>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</si>
  <si>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</si>
  <si>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</si>
  <si>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</si>
  <si>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</si>
  <si>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</si>
  <si>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</si>
  <si>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</si>
  <si>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</si>
  <si>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</si>
  <si>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</si>
  <si>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</si>
  <si>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</si>
  <si>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</si>
  <si>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</si>
  <si>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VALLE DEL CAUCA</t>
  </si>
  <si>
    <t>SANTIAGO DE CALI, DISTRITO ESPECIAL, DEPORTIVO, CULTURAL, TURÍSTICO, EMPRESARIAL Y DE SERVICIOS</t>
  </si>
  <si>
    <t>ALCALA</t>
  </si>
  <si>
    <t>ANDALUCIA</t>
  </si>
  <si>
    <t>TULUÁ</t>
  </si>
  <si>
    <t>ANSERMANUEVO</t>
  </si>
  <si>
    <t>ROLDANILLO</t>
  </si>
  <si>
    <t>BUENAVENTURA</t>
  </si>
  <si>
    <t>BUGA</t>
  </si>
  <si>
    <t>GUADALAJARA DE BUGA</t>
  </si>
  <si>
    <t>BUGALAGRANDE</t>
  </si>
  <si>
    <t>CAICEDONIA</t>
  </si>
  <si>
    <t>CALIMA</t>
  </si>
  <si>
    <t>DAGUA</t>
  </si>
  <si>
    <t>EL AGUILA</t>
  </si>
  <si>
    <t>EL CAIRO</t>
  </si>
  <si>
    <t>EL CERRITO</t>
  </si>
  <si>
    <t>EL DOVIO</t>
  </si>
  <si>
    <t>LA UNIÓN</t>
  </si>
  <si>
    <t>GINEBRA</t>
  </si>
  <si>
    <t>GUACARI</t>
  </si>
  <si>
    <t>JAMUNDI</t>
  </si>
  <si>
    <t>JAMUNDÍ</t>
  </si>
  <si>
    <t>LA CUMBRE</t>
  </si>
  <si>
    <t>YUMBO</t>
  </si>
  <si>
    <t>OBANDO</t>
  </si>
  <si>
    <t>ZARZAL</t>
  </si>
  <si>
    <t>PALMIRA</t>
  </si>
  <si>
    <t>PRADERA</t>
  </si>
  <si>
    <t>RIOFRIO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</si>
  <si>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</si>
  <si>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</si>
  <si>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</si>
  <si>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</si>
  <si>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</si>
  <si>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</si>
  <si>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</si>
  <si>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</si>
  <si>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ARAUQUITA</t>
  </si>
  <si>
    <t>PDET Arauca</t>
  </si>
  <si>
    <t>CRAVO NORTE</t>
  </si>
  <si>
    <t>FORTUL</t>
  </si>
  <si>
    <t>PUERTO RONDON</t>
  </si>
  <si>
    <t>TAME</t>
  </si>
  <si>
    <t>CASANARE</t>
  </si>
  <si>
    <t>CHAMEZA</t>
  </si>
  <si>
    <t>HATO COROZAL</t>
  </si>
  <si>
    <t>PAZ DE ARIPORO</t>
  </si>
  <si>
    <t>LA SALINA</t>
  </si>
  <si>
    <t>MANI</t>
  </si>
  <si>
    <t>MONTERREY</t>
  </si>
  <si>
    <t>NUNCHIA</t>
  </si>
  <si>
    <t>OROCUE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</si>
  <si>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</si>
  <si>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</si>
  <si>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</si>
  <si>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</si>
  <si>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</si>
  <si>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</si>
  <si>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</si>
  <si>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</si>
  <si>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PDET Putumayo</t>
  </si>
  <si>
    <t>ORITO</t>
  </si>
  <si>
    <t>PUERTO ASÍS</t>
  </si>
  <si>
    <t>PUERTO ASIS</t>
  </si>
  <si>
    <t>PUERTO CAICEDO</t>
  </si>
  <si>
    <t>PUERTO GUZMAN</t>
  </si>
  <si>
    <t>LEGUIZAMO</t>
  </si>
  <si>
    <t>SIBUNDOY</t>
  </si>
  <si>
    <t>VALLE DEL GUAMUEZ</t>
  </si>
  <si>
    <t>VILLAGARZON</t>
  </si>
  <si>
    <t>SAN ANDRES PROVIDENCIA Y SANTA CATALINA</t>
  </si>
  <si>
    <t>Insular</t>
  </si>
  <si>
    <t>ARCHIPIELAGO DE SAN ANDRES</t>
  </si>
  <si>
    <t>PROVIDENCIA Y SANTA CATALINA</t>
  </si>
  <si>
    <t>LETICIA</t>
  </si>
  <si>
    <t>AMAZONAS</t>
  </si>
  <si>
    <t>Amazonas</t>
  </si>
  <si>
    <t>EL ENCANTO</t>
  </si>
  <si>
    <t>Área no municipalizada</t>
  </si>
  <si>
    <t>Irradiado_Mayor que 2 - hasta 3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</si>
  <si>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</si>
  <si>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</si>
  <si>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</si>
  <si>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</si>
  <si>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</si>
  <si>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</si>
  <si>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</si>
  <si>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INIRIDA</t>
  </si>
  <si>
    <t>GUAINIA</t>
  </si>
  <si>
    <t>Guainía</t>
  </si>
  <si>
    <t>INÍRIDA</t>
  </si>
  <si>
    <t>BARRANCO MINA</t>
  </si>
  <si>
    <t>MAPIRIPANA</t>
  </si>
  <si>
    <t>SAN FELIPE</t>
  </si>
  <si>
    <t>LA GUADALUPE</t>
  </si>
  <si>
    <t>CACAHUAL</t>
  </si>
  <si>
    <t>PANA PANA</t>
  </si>
  <si>
    <t>MORICHAL</t>
  </si>
  <si>
    <t>SAN JOSE DEL GUAVIARE</t>
  </si>
  <si>
    <t>GUAVIARE</t>
  </si>
  <si>
    <t>EL RETORNO</t>
  </si>
  <si>
    <t>MITU</t>
  </si>
  <si>
    <t>VAUPES</t>
  </si>
  <si>
    <t>Vaupés</t>
  </si>
  <si>
    <t>MITÚ</t>
  </si>
  <si>
    <t>CARURU</t>
  </si>
  <si>
    <t>PACOA</t>
  </si>
  <si>
    <t>TARAIRA</t>
  </si>
  <si>
    <t>PAPUNAHUA</t>
  </si>
  <si>
    <t>YAVARATE</t>
  </si>
  <si>
    <t>PUERTO CARREÑO</t>
  </si>
  <si>
    <t>VICHADA</t>
  </si>
  <si>
    <t>Vichada</t>
  </si>
  <si>
    <t>LA PRIMAVERA</t>
  </si>
  <si>
    <t>SANTA ROSALIA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</si>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</sst>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2" fontId="0" fillId="4" borderId="0" xfId="0" applyNumberFormat="1" applyFill="1"/>
    <xf numFmtId="1" fontId="0" fillId="4" borderId="0" xfId="0" applyNumberFormat="1" applyFill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19"/>
  <sheetViews>
    <sheetView tabSelected="1" topLeftCell="F1" zoomScale="70" zoomScaleNormal="70" workbookViewId="0">
      <selection activeCell="W9" sqref="W9"/>
    </sheetView>
  </sheetViews>
  <sheetFormatPr defaultColWidth="11.42578125" defaultRowHeight="14.45"/>
  <cols>
    <col min="1" max="2" width="11.42578125" customWidth="1"/>
    <col min="3" max="3" width="9.85546875" customWidth="1"/>
    <col min="4" max="4" width="11.42578125" customWidth="1"/>
    <col min="5" max="5" width="19.85546875" customWidth="1"/>
    <col min="6" max="6" width="16.140625" customWidth="1"/>
    <col min="7" max="9" width="11.42578125" customWidth="1"/>
    <col min="10" max="10" width="22.7109375" customWidth="1"/>
    <col min="11" max="11" width="11.42578125" customWidth="1"/>
    <col min="12" max="12" width="31.5703125" customWidth="1"/>
    <col min="13" max="14" width="11.42578125" customWidth="1"/>
    <col min="15" max="15" width="21" customWidth="1"/>
    <col min="16" max="23" width="11.42578125" customWidth="1"/>
    <col min="24" max="24" width="7.7109375" customWidth="1"/>
    <col min="25" max="27" width="37.85546875" style="3" customWidth="1"/>
    <col min="28" max="31" width="11.42578125" customWidth="1"/>
    <col min="32" max="32" width="33.85546875" bestFit="1" customWidth="1"/>
    <col min="33" max="37" width="11.42578125" customWidth="1"/>
    <col min="38" max="38" width="23.5703125" customWidth="1"/>
    <col min="39" max="42" width="17.140625" customWidth="1"/>
    <col min="46" max="46" width="11.4257812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281</v>
      </c>
      <c r="B2" t="s">
        <v>46</v>
      </c>
      <c r="C2">
        <v>5</v>
      </c>
      <c r="D2">
        <v>1</v>
      </c>
      <c r="E2" t="s">
        <v>47</v>
      </c>
      <c r="F2" t="s">
        <v>48</v>
      </c>
      <c r="G2">
        <v>5001</v>
      </c>
      <c r="H2">
        <v>5001</v>
      </c>
      <c r="I2" t="s">
        <v>49</v>
      </c>
      <c r="J2">
        <v>509</v>
      </c>
      <c r="K2" t="s">
        <v>50</v>
      </c>
      <c r="L2" t="s">
        <v>51</v>
      </c>
      <c r="M2" t="s">
        <v>52</v>
      </c>
      <c r="N2">
        <v>2595300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>
        <v>0.33038600000000001</v>
      </c>
      <c r="W2" t="s">
        <v>53</v>
      </c>
      <c r="X2" t="s">
        <v>53</v>
      </c>
      <c r="Y2" t="s">
        <v>60</v>
      </c>
      <c r="Z2" t="str">
        <f>IF(LEFT(Y2,10)="Irradiado_",
   RIGHT(Y2, LEN(Y2)-10),   Y2)</f>
        <v>Mayor que 400 - hasta 500</v>
      </c>
      <c r="AA2">
        <f>IF(LEFT(Y2,10)="Irradiado_", 1, 0)</f>
        <v>1</v>
      </c>
      <c r="AB2">
        <v>5001</v>
      </c>
      <c r="AC2" t="s">
        <v>61</v>
      </c>
      <c r="AD2" t="s">
        <v>62</v>
      </c>
      <c r="AE2">
        <v>0</v>
      </c>
      <c r="AF2" t="s">
        <v>63</v>
      </c>
      <c r="AG2">
        <v>0</v>
      </c>
      <c r="AH2" t="s">
        <v>61</v>
      </c>
      <c r="AI2" t="s">
        <v>62</v>
      </c>
      <c r="AJ2">
        <v>0</v>
      </c>
      <c r="AK2" t="s">
        <v>63</v>
      </c>
      <c r="AL2">
        <v>0</v>
      </c>
      <c r="AM2" s="4" t="s">
        <v>64</v>
      </c>
      <c r="AN2" s="5">
        <v>8840.5913225045697</v>
      </c>
      <c r="AO2" s="4" t="s">
        <v>65</v>
      </c>
      <c r="AP2" s="6">
        <v>3869</v>
      </c>
      <c r="AQ2">
        <v>4</v>
      </c>
      <c r="AR2">
        <v>12839.014283</v>
      </c>
      <c r="AS2" t="s">
        <v>66</v>
      </c>
      <c r="AT2" t="s">
        <v>53</v>
      </c>
    </row>
    <row r="3" spans="1:46">
      <c r="A3">
        <v>304</v>
      </c>
      <c r="B3" t="s">
        <v>46</v>
      </c>
      <c r="C3">
        <v>5</v>
      </c>
      <c r="D3">
        <v>2</v>
      </c>
      <c r="E3" t="s">
        <v>67</v>
      </c>
      <c r="F3" t="s">
        <v>48</v>
      </c>
      <c r="G3">
        <v>5002</v>
      </c>
      <c r="H3">
        <v>5002</v>
      </c>
      <c r="I3" t="s">
        <v>49</v>
      </c>
      <c r="J3">
        <v>506</v>
      </c>
      <c r="K3" t="s">
        <v>68</v>
      </c>
      <c r="L3" t="s">
        <v>69</v>
      </c>
      <c r="M3" t="s">
        <v>53</v>
      </c>
      <c r="N3">
        <v>21297</v>
      </c>
      <c r="O3" t="s">
        <v>53</v>
      </c>
      <c r="P3" t="s">
        <v>70</v>
      </c>
      <c r="Q3" t="s">
        <v>71</v>
      </c>
      <c r="R3" t="s">
        <v>72</v>
      </c>
      <c r="S3" t="s">
        <v>57</v>
      </c>
      <c r="T3" t="s">
        <v>73</v>
      </c>
      <c r="U3" t="s">
        <v>59</v>
      </c>
      <c r="V3">
        <v>0.61035099999999998</v>
      </c>
      <c r="W3" t="s">
        <v>53</v>
      </c>
      <c r="X3" t="s">
        <v>53</v>
      </c>
      <c r="Y3" t="s">
        <v>74</v>
      </c>
      <c r="Z3" t="str">
        <f t="shared" ref="Z3:Z66" si="0">IF(LEFT(Y3,10)="Irradiado_",
   RIGHT(Y3, LEN(Y3)-10),   Y3)</f>
        <v>Mayor que 140 - hasta 160</v>
      </c>
      <c r="AA3">
        <f t="shared" ref="AA3:AA66" si="1">IF(LEFT(Y3,10)="Irradiado_", 1, 0)</f>
        <v>1</v>
      </c>
      <c r="AB3">
        <v>5002</v>
      </c>
      <c r="AC3" t="s">
        <v>61</v>
      </c>
      <c r="AD3" t="s">
        <v>75</v>
      </c>
      <c r="AE3">
        <v>1.1700649999999999</v>
      </c>
      <c r="AF3" t="s">
        <v>76</v>
      </c>
      <c r="AG3">
        <v>34.798990000000003</v>
      </c>
      <c r="AH3" t="s">
        <v>61</v>
      </c>
      <c r="AI3" t="s">
        <v>62</v>
      </c>
      <c r="AJ3">
        <v>2.2210000000000001</v>
      </c>
      <c r="AK3" t="s">
        <v>77</v>
      </c>
      <c r="AL3">
        <v>72.270771999999994</v>
      </c>
      <c r="AM3" s="4" t="s">
        <v>65</v>
      </c>
      <c r="AN3" s="5">
        <v>25108.609319675321</v>
      </c>
      <c r="AO3" s="4" t="s">
        <v>65</v>
      </c>
      <c r="AP3" s="6">
        <v>6214</v>
      </c>
      <c r="AQ3">
        <v>3</v>
      </c>
      <c r="AR3">
        <v>23503.755827000001</v>
      </c>
      <c r="AS3" t="s">
        <v>66</v>
      </c>
      <c r="AT3" t="s">
        <v>53</v>
      </c>
    </row>
    <row r="4" spans="1:46">
      <c r="A4">
        <v>303</v>
      </c>
      <c r="B4" t="s">
        <v>46</v>
      </c>
      <c r="C4">
        <v>5</v>
      </c>
      <c r="D4">
        <v>4</v>
      </c>
      <c r="E4" t="s">
        <v>78</v>
      </c>
      <c r="F4" t="s">
        <v>48</v>
      </c>
      <c r="G4">
        <v>5004</v>
      </c>
      <c r="H4">
        <v>5004</v>
      </c>
      <c r="I4" t="s">
        <v>49</v>
      </c>
      <c r="J4">
        <v>505</v>
      </c>
      <c r="K4" t="s">
        <v>79</v>
      </c>
      <c r="L4" t="s">
        <v>80</v>
      </c>
      <c r="M4" t="s">
        <v>53</v>
      </c>
      <c r="N4">
        <v>2841</v>
      </c>
      <c r="O4" t="s">
        <v>53</v>
      </c>
      <c r="P4" t="s">
        <v>70</v>
      </c>
      <c r="Q4" t="s">
        <v>71</v>
      </c>
      <c r="R4" t="s">
        <v>56</v>
      </c>
      <c r="S4" t="s">
        <v>57</v>
      </c>
      <c r="T4" t="s">
        <v>73</v>
      </c>
      <c r="U4" t="s">
        <v>81</v>
      </c>
      <c r="V4">
        <v>0.52461000000000002</v>
      </c>
      <c r="W4" t="s">
        <v>53</v>
      </c>
      <c r="X4" t="s">
        <v>53</v>
      </c>
      <c r="Y4" t="s">
        <v>82</v>
      </c>
      <c r="Z4" t="str">
        <f t="shared" si="0"/>
        <v>Mayor que 15 - hasta 20</v>
      </c>
      <c r="AA4">
        <f t="shared" si="1"/>
        <v>1</v>
      </c>
      <c r="AB4">
        <v>5004</v>
      </c>
      <c r="AC4" t="s">
        <v>61</v>
      </c>
      <c r="AD4" t="s">
        <v>83</v>
      </c>
      <c r="AE4">
        <v>3.8352300000000001</v>
      </c>
      <c r="AF4" t="s">
        <v>84</v>
      </c>
      <c r="AG4">
        <v>103.96437899999999</v>
      </c>
      <c r="AH4" t="s">
        <v>61</v>
      </c>
      <c r="AI4" t="s">
        <v>62</v>
      </c>
      <c r="AJ4">
        <v>4.3961069999999998</v>
      </c>
      <c r="AK4" t="s">
        <v>85</v>
      </c>
      <c r="AL4">
        <v>113.248441</v>
      </c>
      <c r="AM4" s="4" t="s">
        <v>65</v>
      </c>
      <c r="AN4" s="5">
        <v>52.968934399422167</v>
      </c>
      <c r="AO4" s="4" t="s">
        <v>65</v>
      </c>
      <c r="AP4" s="6">
        <v>7</v>
      </c>
      <c r="AQ4">
        <v>4</v>
      </c>
      <c r="AR4">
        <v>131.73815400000001</v>
      </c>
      <c r="AS4" t="s">
        <v>66</v>
      </c>
      <c r="AT4" t="s">
        <v>53</v>
      </c>
    </row>
    <row r="5" spans="1:46">
      <c r="A5">
        <v>302</v>
      </c>
      <c r="B5" t="s">
        <v>46</v>
      </c>
      <c r="C5">
        <v>5</v>
      </c>
      <c r="D5">
        <v>21</v>
      </c>
      <c r="E5" t="s">
        <v>86</v>
      </c>
      <c r="F5" t="s">
        <v>48</v>
      </c>
      <c r="G5">
        <v>5021</v>
      </c>
      <c r="H5">
        <v>5021</v>
      </c>
      <c r="I5" t="s">
        <v>49</v>
      </c>
      <c r="J5">
        <v>506</v>
      </c>
      <c r="K5" t="s">
        <v>68</v>
      </c>
      <c r="L5" t="s">
        <v>69</v>
      </c>
      <c r="M5" t="s">
        <v>53</v>
      </c>
      <c r="N5">
        <v>4912</v>
      </c>
      <c r="O5" t="s">
        <v>53</v>
      </c>
      <c r="P5" t="s">
        <v>70</v>
      </c>
      <c r="Q5" t="s">
        <v>71</v>
      </c>
      <c r="R5" t="s">
        <v>72</v>
      </c>
      <c r="S5" t="s">
        <v>57</v>
      </c>
      <c r="T5" t="s">
        <v>73</v>
      </c>
      <c r="U5" t="s">
        <v>81</v>
      </c>
      <c r="V5">
        <v>0.78056199999999998</v>
      </c>
      <c r="W5" t="s">
        <v>53</v>
      </c>
      <c r="X5" t="s">
        <v>53</v>
      </c>
      <c r="Y5" t="s">
        <v>87</v>
      </c>
      <c r="Z5" t="str">
        <f t="shared" si="0"/>
        <v>Mayor que 40 - hasta 50</v>
      </c>
      <c r="AA5">
        <f t="shared" si="1"/>
        <v>1</v>
      </c>
      <c r="AB5">
        <v>5021</v>
      </c>
      <c r="AC5" t="s">
        <v>61</v>
      </c>
      <c r="AD5" t="s">
        <v>88</v>
      </c>
      <c r="AE5">
        <v>1.0345089999999999</v>
      </c>
      <c r="AF5" t="s">
        <v>76</v>
      </c>
      <c r="AG5">
        <v>27.573505999999998</v>
      </c>
      <c r="AH5" t="s">
        <v>61</v>
      </c>
      <c r="AI5" t="s">
        <v>62</v>
      </c>
      <c r="AJ5">
        <v>2.0970589999999998</v>
      </c>
      <c r="AK5" t="s">
        <v>77</v>
      </c>
      <c r="AL5">
        <v>65.589653999999996</v>
      </c>
      <c r="AM5" s="4" t="s">
        <v>65</v>
      </c>
      <c r="AN5" s="5">
        <v>5809.2808120754426</v>
      </c>
      <c r="AO5" s="4" t="s">
        <v>65</v>
      </c>
      <c r="AP5" s="6">
        <v>1154</v>
      </c>
      <c r="AQ5">
        <v>3</v>
      </c>
      <c r="AR5">
        <v>4603.2286519999998</v>
      </c>
      <c r="AS5" t="s">
        <v>66</v>
      </c>
      <c r="AT5" t="s">
        <v>53</v>
      </c>
    </row>
    <row r="6" spans="1:46">
      <c r="A6">
        <v>301</v>
      </c>
      <c r="B6" t="s">
        <v>46</v>
      </c>
      <c r="C6">
        <v>5</v>
      </c>
      <c r="D6">
        <v>30</v>
      </c>
      <c r="E6" t="s">
        <v>89</v>
      </c>
      <c r="F6" t="s">
        <v>48</v>
      </c>
      <c r="G6">
        <v>5030</v>
      </c>
      <c r="H6">
        <v>5030</v>
      </c>
      <c r="I6" t="s">
        <v>49</v>
      </c>
      <c r="J6">
        <v>507</v>
      </c>
      <c r="K6" t="s">
        <v>90</v>
      </c>
      <c r="L6" t="s">
        <v>91</v>
      </c>
      <c r="M6" t="s">
        <v>53</v>
      </c>
      <c r="N6">
        <v>32142</v>
      </c>
      <c r="O6" t="s">
        <v>53</v>
      </c>
      <c r="P6" t="s">
        <v>92</v>
      </c>
      <c r="Q6" t="s">
        <v>71</v>
      </c>
      <c r="R6" t="s">
        <v>93</v>
      </c>
      <c r="S6" t="s">
        <v>57</v>
      </c>
      <c r="T6" t="s">
        <v>58</v>
      </c>
      <c r="U6" t="s">
        <v>59</v>
      </c>
      <c r="V6">
        <v>0.58863500000000002</v>
      </c>
      <c r="W6">
        <v>2024</v>
      </c>
      <c r="X6" t="s">
        <v>94</v>
      </c>
      <c r="Y6" t="s">
        <v>95</v>
      </c>
      <c r="Z6" t="str">
        <f t="shared" si="0"/>
        <v>Mayor que 120 - hasta 140</v>
      </c>
      <c r="AA6">
        <f t="shared" si="1"/>
        <v>0</v>
      </c>
      <c r="AB6">
        <v>5030</v>
      </c>
      <c r="AC6" t="s">
        <v>61</v>
      </c>
      <c r="AD6" t="s">
        <v>96</v>
      </c>
      <c r="AE6">
        <v>0.450208</v>
      </c>
      <c r="AF6" t="s">
        <v>63</v>
      </c>
      <c r="AG6">
        <v>15.163961</v>
      </c>
      <c r="AH6" t="s">
        <v>61</v>
      </c>
      <c r="AI6" t="s">
        <v>62</v>
      </c>
      <c r="AJ6">
        <v>0.92588800000000004</v>
      </c>
      <c r="AK6" t="s">
        <v>63</v>
      </c>
      <c r="AL6">
        <v>38.370562999999997</v>
      </c>
      <c r="AM6" t="s">
        <v>97</v>
      </c>
      <c r="AN6" s="7">
        <v>493.0946635697523</v>
      </c>
      <c r="AO6" t="s">
        <v>65</v>
      </c>
      <c r="AP6" s="3">
        <v>67</v>
      </c>
      <c r="AQ6">
        <v>2</v>
      </c>
      <c r="AR6">
        <v>445.326007</v>
      </c>
      <c r="AS6" t="s">
        <v>66</v>
      </c>
      <c r="AT6" t="s">
        <v>53</v>
      </c>
    </row>
    <row r="7" spans="1:46">
      <c r="A7">
        <v>300</v>
      </c>
      <c r="B7" t="s">
        <v>46</v>
      </c>
      <c r="C7">
        <v>5</v>
      </c>
      <c r="D7">
        <v>31</v>
      </c>
      <c r="E7" t="s">
        <v>98</v>
      </c>
      <c r="F7" t="s">
        <v>48</v>
      </c>
      <c r="G7">
        <v>5031</v>
      </c>
      <c r="H7">
        <v>5031</v>
      </c>
      <c r="I7" t="s">
        <v>49</v>
      </c>
      <c r="J7">
        <v>503</v>
      </c>
      <c r="K7" t="s">
        <v>99</v>
      </c>
      <c r="L7" t="s">
        <v>69</v>
      </c>
      <c r="M7" t="s">
        <v>53</v>
      </c>
      <c r="N7">
        <v>27637</v>
      </c>
      <c r="O7" t="s">
        <v>53</v>
      </c>
      <c r="P7" t="s">
        <v>70</v>
      </c>
      <c r="Q7" t="s">
        <v>71</v>
      </c>
      <c r="R7" t="s">
        <v>93</v>
      </c>
      <c r="S7" t="s">
        <v>100</v>
      </c>
      <c r="T7" t="s">
        <v>73</v>
      </c>
      <c r="U7" t="s">
        <v>101</v>
      </c>
      <c r="V7">
        <v>0.57737899999999998</v>
      </c>
      <c r="W7" t="s">
        <v>53</v>
      </c>
      <c r="X7" t="s">
        <v>53</v>
      </c>
      <c r="Y7" t="s">
        <v>102</v>
      </c>
      <c r="Z7" t="str">
        <f t="shared" si="0"/>
        <v>Mayor que 20 - hasta 30</v>
      </c>
      <c r="AA7">
        <f t="shared" si="1"/>
        <v>1</v>
      </c>
      <c r="AB7">
        <v>5031</v>
      </c>
      <c r="AC7" t="s">
        <v>61</v>
      </c>
      <c r="AD7" t="s">
        <v>103</v>
      </c>
      <c r="AE7">
        <v>2.1638890000000002</v>
      </c>
      <c r="AF7" t="s">
        <v>77</v>
      </c>
      <c r="AG7">
        <v>82.609250000000003</v>
      </c>
      <c r="AH7" t="s">
        <v>61</v>
      </c>
      <c r="AI7" t="s">
        <v>62</v>
      </c>
      <c r="AJ7">
        <v>3.354158</v>
      </c>
      <c r="AK7" t="s">
        <v>84</v>
      </c>
      <c r="AL7">
        <v>133.12611100000001</v>
      </c>
      <c r="AM7" s="4" t="s">
        <v>64</v>
      </c>
      <c r="AN7" s="5">
        <v>58960.884007381086</v>
      </c>
      <c r="AO7" s="4" t="s">
        <v>65</v>
      </c>
      <c r="AP7" s="6">
        <v>1601</v>
      </c>
      <c r="AQ7">
        <v>3</v>
      </c>
      <c r="AR7">
        <v>45121.830095999998</v>
      </c>
      <c r="AS7" t="s">
        <v>66</v>
      </c>
      <c r="AT7" t="s">
        <v>53</v>
      </c>
    </row>
    <row r="8" spans="1:46">
      <c r="A8">
        <v>299</v>
      </c>
      <c r="B8" t="s">
        <v>46</v>
      </c>
      <c r="C8">
        <v>5</v>
      </c>
      <c r="D8">
        <v>34</v>
      </c>
      <c r="E8" t="s">
        <v>104</v>
      </c>
      <c r="F8" t="s">
        <v>48</v>
      </c>
      <c r="G8">
        <v>5034</v>
      </c>
      <c r="H8">
        <v>5034</v>
      </c>
      <c r="I8" t="s">
        <v>49</v>
      </c>
      <c r="J8">
        <v>507</v>
      </c>
      <c r="K8" t="s">
        <v>90</v>
      </c>
      <c r="L8" t="s">
        <v>91</v>
      </c>
      <c r="M8" t="s">
        <v>53</v>
      </c>
      <c r="N8">
        <v>45796</v>
      </c>
      <c r="O8" t="s">
        <v>53</v>
      </c>
      <c r="P8" t="s">
        <v>92</v>
      </c>
      <c r="Q8" t="s">
        <v>71</v>
      </c>
      <c r="R8" t="s">
        <v>105</v>
      </c>
      <c r="S8" t="s">
        <v>57</v>
      </c>
      <c r="T8" t="s">
        <v>58</v>
      </c>
      <c r="U8" t="s">
        <v>59</v>
      </c>
      <c r="V8">
        <v>0.57737899999999998</v>
      </c>
      <c r="W8">
        <v>2024</v>
      </c>
      <c r="X8" t="s">
        <v>106</v>
      </c>
      <c r="Y8" t="s">
        <v>107</v>
      </c>
      <c r="Z8" t="str">
        <f t="shared" si="0"/>
        <v>Mayor que 80 - hasta 100</v>
      </c>
      <c r="AA8">
        <f t="shared" si="1"/>
        <v>0</v>
      </c>
      <c r="AB8">
        <v>5034</v>
      </c>
      <c r="AC8" t="s">
        <v>61</v>
      </c>
      <c r="AD8" t="s">
        <v>96</v>
      </c>
      <c r="AE8">
        <v>2.3148970000000002</v>
      </c>
      <c r="AF8" t="s">
        <v>77</v>
      </c>
      <c r="AG8">
        <v>87.313412999999997</v>
      </c>
      <c r="AH8" t="s">
        <v>61</v>
      </c>
      <c r="AI8" t="s">
        <v>62</v>
      </c>
      <c r="AJ8">
        <v>2.7905760000000002</v>
      </c>
      <c r="AK8" t="s">
        <v>77</v>
      </c>
      <c r="AL8">
        <v>110.520014</v>
      </c>
      <c r="AM8" t="s">
        <v>65</v>
      </c>
      <c r="AN8" s="7">
        <v>1406.5018855312121</v>
      </c>
      <c r="AO8" t="s">
        <v>65</v>
      </c>
      <c r="AP8" s="3">
        <v>733</v>
      </c>
      <c r="AQ8">
        <v>3</v>
      </c>
      <c r="AR8">
        <v>1063.647919</v>
      </c>
      <c r="AS8" t="s">
        <v>66</v>
      </c>
      <c r="AT8" t="s">
        <v>53</v>
      </c>
    </row>
    <row r="9" spans="1:46">
      <c r="A9">
        <v>298</v>
      </c>
      <c r="B9" t="s">
        <v>46</v>
      </c>
      <c r="C9">
        <v>5</v>
      </c>
      <c r="D9">
        <v>36</v>
      </c>
      <c r="E9" t="s">
        <v>108</v>
      </c>
      <c r="F9" t="s">
        <v>48</v>
      </c>
      <c r="G9">
        <v>5036</v>
      </c>
      <c r="H9">
        <v>5036</v>
      </c>
      <c r="I9" t="s">
        <v>49</v>
      </c>
      <c r="J9">
        <v>507</v>
      </c>
      <c r="K9" t="s">
        <v>90</v>
      </c>
      <c r="L9" t="s">
        <v>91</v>
      </c>
      <c r="M9" t="s">
        <v>53</v>
      </c>
      <c r="N9">
        <v>6082</v>
      </c>
      <c r="O9" t="s">
        <v>53</v>
      </c>
      <c r="P9" t="s">
        <v>70</v>
      </c>
      <c r="Q9" t="s">
        <v>71</v>
      </c>
      <c r="R9" t="s">
        <v>105</v>
      </c>
      <c r="S9" t="s">
        <v>57</v>
      </c>
      <c r="T9" t="s">
        <v>58</v>
      </c>
      <c r="U9" t="s">
        <v>81</v>
      </c>
      <c r="V9">
        <v>0.55401199999999995</v>
      </c>
      <c r="W9">
        <v>2024</v>
      </c>
      <c r="X9" t="s">
        <v>109</v>
      </c>
      <c r="Y9" t="s">
        <v>110</v>
      </c>
      <c r="Z9" t="str">
        <f t="shared" si="0"/>
        <v>Mayor que 30 - hasta 40</v>
      </c>
      <c r="AA9">
        <f t="shared" si="1"/>
        <v>0</v>
      </c>
      <c r="AB9">
        <v>5036</v>
      </c>
      <c r="AC9" t="s">
        <v>61</v>
      </c>
      <c r="AD9" t="s">
        <v>96</v>
      </c>
      <c r="AE9">
        <v>0.58543900000000004</v>
      </c>
      <c r="AF9" t="s">
        <v>63</v>
      </c>
      <c r="AG9">
        <v>11.912489000000001</v>
      </c>
      <c r="AH9" t="s">
        <v>61</v>
      </c>
      <c r="AI9" t="s">
        <v>62</v>
      </c>
      <c r="AJ9">
        <v>1.0476909999999999</v>
      </c>
      <c r="AK9" t="s">
        <v>76</v>
      </c>
      <c r="AL9">
        <v>35.001933999999999</v>
      </c>
      <c r="AM9" t="s">
        <v>64</v>
      </c>
      <c r="AN9" s="7">
        <v>650.51945142695672</v>
      </c>
      <c r="AO9" t="s">
        <v>65</v>
      </c>
      <c r="AP9" s="3">
        <v>134</v>
      </c>
      <c r="AQ9">
        <v>3</v>
      </c>
      <c r="AR9">
        <v>376.645106</v>
      </c>
      <c r="AS9" t="s">
        <v>66</v>
      </c>
      <c r="AT9" t="s">
        <v>53</v>
      </c>
    </row>
    <row r="10" spans="1:46">
      <c r="A10">
        <v>297</v>
      </c>
      <c r="B10" t="s">
        <v>46</v>
      </c>
      <c r="C10">
        <v>5</v>
      </c>
      <c r="D10">
        <v>38</v>
      </c>
      <c r="E10" t="s">
        <v>111</v>
      </c>
      <c r="F10" t="s">
        <v>48</v>
      </c>
      <c r="G10">
        <v>5038</v>
      </c>
      <c r="H10">
        <v>5038</v>
      </c>
      <c r="I10" t="s">
        <v>49</v>
      </c>
      <c r="J10">
        <v>504</v>
      </c>
      <c r="K10" t="s">
        <v>112</v>
      </c>
      <c r="L10" t="s">
        <v>80</v>
      </c>
      <c r="M10" t="s">
        <v>53</v>
      </c>
      <c r="N10">
        <v>12005</v>
      </c>
      <c r="O10" t="s">
        <v>53</v>
      </c>
      <c r="P10" t="s">
        <v>70</v>
      </c>
      <c r="Q10" t="s">
        <v>71</v>
      </c>
      <c r="R10" t="s">
        <v>105</v>
      </c>
      <c r="S10" t="s">
        <v>57</v>
      </c>
      <c r="T10" t="s">
        <v>73</v>
      </c>
      <c r="U10" t="s">
        <v>101</v>
      </c>
      <c r="V10">
        <v>0.58906499999999995</v>
      </c>
      <c r="W10" t="s">
        <v>53</v>
      </c>
      <c r="X10" t="s">
        <v>53</v>
      </c>
      <c r="Y10" t="s">
        <v>102</v>
      </c>
      <c r="Z10" t="str">
        <f t="shared" si="0"/>
        <v>Mayor que 20 - hasta 30</v>
      </c>
      <c r="AA10">
        <f t="shared" si="1"/>
        <v>1</v>
      </c>
      <c r="AB10">
        <v>5038</v>
      </c>
      <c r="AC10" t="s">
        <v>61</v>
      </c>
      <c r="AD10" t="s">
        <v>113</v>
      </c>
      <c r="AE10">
        <v>0.64807800000000004</v>
      </c>
      <c r="AF10" t="s">
        <v>63</v>
      </c>
      <c r="AG10">
        <v>15.943860000000001</v>
      </c>
      <c r="AH10" t="s">
        <v>61</v>
      </c>
      <c r="AI10" t="s">
        <v>62</v>
      </c>
      <c r="AJ10">
        <v>2.8676620000000002</v>
      </c>
      <c r="AK10" t="s">
        <v>77</v>
      </c>
      <c r="AL10">
        <v>113.77392500000001</v>
      </c>
      <c r="AM10" s="4" t="s">
        <v>64</v>
      </c>
      <c r="AN10" s="5">
        <v>13236.335518772405</v>
      </c>
      <c r="AO10" s="4" t="s">
        <v>65</v>
      </c>
      <c r="AP10" s="6">
        <v>3005</v>
      </c>
      <c r="AQ10">
        <v>3</v>
      </c>
      <c r="AR10">
        <v>18688.267566999999</v>
      </c>
      <c r="AS10" t="s">
        <v>66</v>
      </c>
      <c r="AT10" t="s">
        <v>53</v>
      </c>
    </row>
    <row r="11" spans="1:46">
      <c r="A11">
        <v>296</v>
      </c>
      <c r="B11" t="s">
        <v>46</v>
      </c>
      <c r="C11">
        <v>5</v>
      </c>
      <c r="D11">
        <v>40</v>
      </c>
      <c r="E11" t="s">
        <v>114</v>
      </c>
      <c r="F11" t="s">
        <v>48</v>
      </c>
      <c r="G11">
        <v>5040</v>
      </c>
      <c r="H11">
        <v>5040</v>
      </c>
      <c r="I11" t="s">
        <v>49</v>
      </c>
      <c r="J11">
        <v>503</v>
      </c>
      <c r="K11" t="s">
        <v>99</v>
      </c>
      <c r="L11" t="s">
        <v>69</v>
      </c>
      <c r="M11" t="s">
        <v>53</v>
      </c>
      <c r="N11">
        <v>19527</v>
      </c>
      <c r="O11" t="s">
        <v>53</v>
      </c>
      <c r="P11" t="s">
        <v>70</v>
      </c>
      <c r="Q11" t="s">
        <v>71</v>
      </c>
      <c r="R11" t="s">
        <v>105</v>
      </c>
      <c r="S11" t="s">
        <v>100</v>
      </c>
      <c r="T11" t="s">
        <v>73</v>
      </c>
      <c r="U11" t="s">
        <v>115</v>
      </c>
      <c r="V11">
        <v>0.63321899999999998</v>
      </c>
      <c r="W11" t="s">
        <v>53</v>
      </c>
      <c r="X11" t="s">
        <v>53</v>
      </c>
      <c r="Y11" t="s">
        <v>116</v>
      </c>
      <c r="Z11" t="str">
        <f t="shared" si="0"/>
        <v>Mayor que 30 - hasta 40</v>
      </c>
      <c r="AA11">
        <f t="shared" si="1"/>
        <v>1</v>
      </c>
      <c r="AB11">
        <v>5040</v>
      </c>
      <c r="AC11" t="s">
        <v>61</v>
      </c>
      <c r="AD11" t="s">
        <v>113</v>
      </c>
      <c r="AE11">
        <v>1.5659639999999999</v>
      </c>
      <c r="AF11" t="s">
        <v>76</v>
      </c>
      <c r="AG11">
        <v>44.890158999999997</v>
      </c>
      <c r="AH11" t="s">
        <v>61</v>
      </c>
      <c r="AI11" t="s">
        <v>62</v>
      </c>
      <c r="AJ11">
        <v>4.2289159999999999</v>
      </c>
      <c r="AK11" t="s">
        <v>85</v>
      </c>
      <c r="AL11">
        <v>140.544488</v>
      </c>
      <c r="AM11" s="4" t="s">
        <v>64</v>
      </c>
      <c r="AN11" s="5">
        <v>70618.578844509437</v>
      </c>
      <c r="AO11" s="4" t="s">
        <v>65</v>
      </c>
      <c r="AP11" s="6">
        <v>1274</v>
      </c>
      <c r="AQ11">
        <v>4</v>
      </c>
      <c r="AR11">
        <v>58936.948705000003</v>
      </c>
      <c r="AS11" t="s">
        <v>66</v>
      </c>
      <c r="AT11" t="s">
        <v>53</v>
      </c>
    </row>
    <row r="12" spans="1:46">
      <c r="A12">
        <v>295</v>
      </c>
      <c r="B12" t="s">
        <v>46</v>
      </c>
      <c r="C12">
        <v>5</v>
      </c>
      <c r="D12">
        <v>42</v>
      </c>
      <c r="E12" t="s">
        <v>117</v>
      </c>
      <c r="F12" t="s">
        <v>48</v>
      </c>
      <c r="G12">
        <v>5042</v>
      </c>
      <c r="H12">
        <v>5042</v>
      </c>
      <c r="I12" t="s">
        <v>49</v>
      </c>
      <c r="J12">
        <v>505</v>
      </c>
      <c r="K12" t="s">
        <v>79</v>
      </c>
      <c r="L12" t="s">
        <v>69</v>
      </c>
      <c r="M12" t="s">
        <v>53</v>
      </c>
      <c r="N12">
        <v>27831</v>
      </c>
      <c r="O12" t="s">
        <v>53</v>
      </c>
      <c r="P12" t="s">
        <v>70</v>
      </c>
      <c r="Q12" t="s">
        <v>118</v>
      </c>
      <c r="R12" t="s">
        <v>56</v>
      </c>
      <c r="S12" t="s">
        <v>57</v>
      </c>
      <c r="T12" t="s">
        <v>73</v>
      </c>
      <c r="U12" t="s">
        <v>119</v>
      </c>
      <c r="V12">
        <v>0.43488100000000002</v>
      </c>
      <c r="W12" t="s">
        <v>53</v>
      </c>
      <c r="X12" t="s">
        <v>53</v>
      </c>
      <c r="Y12" t="s">
        <v>120</v>
      </c>
      <c r="Z12" t="str">
        <f t="shared" si="0"/>
        <v>Mayor que 200 - hasta 250</v>
      </c>
      <c r="AA12">
        <f t="shared" si="1"/>
        <v>1</v>
      </c>
      <c r="AB12">
        <v>5042</v>
      </c>
      <c r="AC12" t="s">
        <v>61</v>
      </c>
      <c r="AD12" t="s">
        <v>83</v>
      </c>
      <c r="AE12">
        <v>1.5895779999999999</v>
      </c>
      <c r="AF12" t="s">
        <v>76</v>
      </c>
      <c r="AG12">
        <v>52.077164000000003</v>
      </c>
      <c r="AH12" t="s">
        <v>61</v>
      </c>
      <c r="AI12" t="s">
        <v>62</v>
      </c>
      <c r="AJ12">
        <v>2.150455</v>
      </c>
      <c r="AK12" t="s">
        <v>77</v>
      </c>
      <c r="AL12">
        <v>61.361227</v>
      </c>
      <c r="AM12" s="4" t="s">
        <v>64</v>
      </c>
      <c r="AN12" s="5">
        <v>24307.61309407117</v>
      </c>
      <c r="AO12" s="4" t="s">
        <v>65</v>
      </c>
      <c r="AP12" s="6">
        <v>3823</v>
      </c>
      <c r="AQ12">
        <v>4</v>
      </c>
      <c r="AR12">
        <v>34401.445484000003</v>
      </c>
      <c r="AS12" t="s">
        <v>66</v>
      </c>
      <c r="AT12" t="s">
        <v>53</v>
      </c>
    </row>
    <row r="13" spans="1:46">
      <c r="A13">
        <v>294</v>
      </c>
      <c r="B13" t="s">
        <v>46</v>
      </c>
      <c r="C13">
        <v>5</v>
      </c>
      <c r="D13">
        <v>44</v>
      </c>
      <c r="E13" t="s">
        <v>121</v>
      </c>
      <c r="F13" t="s">
        <v>48</v>
      </c>
      <c r="G13">
        <v>5044</v>
      </c>
      <c r="H13">
        <v>5044</v>
      </c>
      <c r="I13" t="s">
        <v>49</v>
      </c>
      <c r="J13">
        <v>505</v>
      </c>
      <c r="K13" t="s">
        <v>79</v>
      </c>
      <c r="L13" t="s">
        <v>80</v>
      </c>
      <c r="M13" t="s">
        <v>53</v>
      </c>
      <c r="N13">
        <v>7433</v>
      </c>
      <c r="O13" t="s">
        <v>53</v>
      </c>
      <c r="P13" t="s">
        <v>70</v>
      </c>
      <c r="Q13" t="s">
        <v>71</v>
      </c>
      <c r="R13" t="s">
        <v>122</v>
      </c>
      <c r="S13" t="s">
        <v>57</v>
      </c>
      <c r="T13" t="s">
        <v>58</v>
      </c>
      <c r="U13" t="s">
        <v>59</v>
      </c>
      <c r="V13">
        <v>0.77500000000000002</v>
      </c>
      <c r="W13" t="s">
        <v>53</v>
      </c>
      <c r="X13" t="s">
        <v>53</v>
      </c>
      <c r="Y13" t="s">
        <v>116</v>
      </c>
      <c r="Z13" t="str">
        <f t="shared" si="0"/>
        <v>Mayor que 30 - hasta 40</v>
      </c>
      <c r="AA13">
        <f t="shared" si="1"/>
        <v>1</v>
      </c>
      <c r="AB13">
        <v>5044</v>
      </c>
      <c r="AC13" t="s">
        <v>61</v>
      </c>
      <c r="AD13" t="s">
        <v>83</v>
      </c>
      <c r="AE13">
        <v>2.2709510000000002</v>
      </c>
      <c r="AF13" t="s">
        <v>77</v>
      </c>
      <c r="AG13">
        <v>76.705087000000006</v>
      </c>
      <c r="AH13" t="s">
        <v>61</v>
      </c>
      <c r="AI13" t="s">
        <v>62</v>
      </c>
      <c r="AJ13">
        <v>2.8318279999999998</v>
      </c>
      <c r="AK13" t="s">
        <v>77</v>
      </c>
      <c r="AL13">
        <v>85.989148999999998</v>
      </c>
      <c r="AM13" s="4" t="s">
        <v>64</v>
      </c>
      <c r="AN13" s="5">
        <v>9652.5707852083815</v>
      </c>
      <c r="AO13" s="4" t="s">
        <v>65</v>
      </c>
      <c r="AP13" s="6">
        <v>1326</v>
      </c>
      <c r="AQ13">
        <v>4</v>
      </c>
      <c r="AR13">
        <v>19168.217840000001</v>
      </c>
      <c r="AS13" t="s">
        <v>66</v>
      </c>
      <c r="AT13" t="s">
        <v>53</v>
      </c>
    </row>
    <row r="14" spans="1:46">
      <c r="A14">
        <v>403</v>
      </c>
      <c r="B14" t="s">
        <v>46</v>
      </c>
      <c r="C14">
        <v>5</v>
      </c>
      <c r="D14">
        <v>45</v>
      </c>
      <c r="E14" t="s">
        <v>123</v>
      </c>
      <c r="F14" t="s">
        <v>48</v>
      </c>
      <c r="G14">
        <v>5045</v>
      </c>
      <c r="H14">
        <v>5045</v>
      </c>
      <c r="I14" t="s">
        <v>49</v>
      </c>
      <c r="J14">
        <v>508</v>
      </c>
      <c r="K14" t="s">
        <v>124</v>
      </c>
      <c r="L14" t="s">
        <v>51</v>
      </c>
      <c r="M14" t="s">
        <v>53</v>
      </c>
      <c r="N14">
        <v>130362</v>
      </c>
      <c r="O14" t="s">
        <v>53</v>
      </c>
      <c r="P14" t="s">
        <v>54</v>
      </c>
      <c r="Q14" t="s">
        <v>125</v>
      </c>
      <c r="R14" t="s">
        <v>122</v>
      </c>
      <c r="S14" t="s">
        <v>126</v>
      </c>
      <c r="T14" t="s">
        <v>73</v>
      </c>
      <c r="U14" t="s">
        <v>119</v>
      </c>
      <c r="V14">
        <v>0.69254300000000002</v>
      </c>
      <c r="W14" t="s">
        <v>53</v>
      </c>
      <c r="X14" t="s">
        <v>53</v>
      </c>
      <c r="Y14" t="s">
        <v>127</v>
      </c>
      <c r="Z14" t="str">
        <f t="shared" si="0"/>
        <v>Mayor que 70 - hasta 80</v>
      </c>
      <c r="AA14">
        <f t="shared" si="1"/>
        <v>1</v>
      </c>
      <c r="AB14">
        <v>5045</v>
      </c>
      <c r="AC14" t="s">
        <v>61</v>
      </c>
      <c r="AD14" t="s">
        <v>128</v>
      </c>
      <c r="AE14">
        <v>0</v>
      </c>
      <c r="AF14" t="s">
        <v>63</v>
      </c>
      <c r="AG14">
        <v>0</v>
      </c>
      <c r="AH14" t="s">
        <v>129</v>
      </c>
      <c r="AI14" t="s">
        <v>130</v>
      </c>
      <c r="AJ14">
        <v>4.4725169999999999</v>
      </c>
      <c r="AK14" t="s">
        <v>85</v>
      </c>
      <c r="AL14">
        <v>226.52215699999999</v>
      </c>
      <c r="AM14" s="4" t="s">
        <v>64</v>
      </c>
      <c r="AN14" s="5">
        <v>39993.051958521064</v>
      </c>
      <c r="AO14" s="4" t="s">
        <v>65</v>
      </c>
      <c r="AP14" s="6">
        <v>1184</v>
      </c>
      <c r="AQ14">
        <v>3</v>
      </c>
      <c r="AR14">
        <v>25284.683142000002</v>
      </c>
      <c r="AS14" t="s">
        <v>66</v>
      </c>
      <c r="AT14" t="s">
        <v>53</v>
      </c>
    </row>
    <row r="15" spans="1:46">
      <c r="A15">
        <v>293</v>
      </c>
      <c r="B15" t="s">
        <v>46</v>
      </c>
      <c r="C15">
        <v>5</v>
      </c>
      <c r="D15">
        <v>51</v>
      </c>
      <c r="E15" t="s">
        <v>131</v>
      </c>
      <c r="F15" t="s">
        <v>48</v>
      </c>
      <c r="G15">
        <v>5051</v>
      </c>
      <c r="H15">
        <v>5051</v>
      </c>
      <c r="I15" t="s">
        <v>49</v>
      </c>
      <c r="J15">
        <v>508</v>
      </c>
      <c r="K15" t="s">
        <v>124</v>
      </c>
      <c r="L15" t="s">
        <v>91</v>
      </c>
      <c r="M15" t="s">
        <v>53</v>
      </c>
      <c r="N15">
        <v>31853</v>
      </c>
      <c r="O15" t="s">
        <v>53</v>
      </c>
      <c r="P15" t="s">
        <v>92</v>
      </c>
      <c r="Q15" t="s">
        <v>71</v>
      </c>
      <c r="R15" t="s">
        <v>122</v>
      </c>
      <c r="S15" t="s">
        <v>57</v>
      </c>
      <c r="T15" t="s">
        <v>58</v>
      </c>
      <c r="U15" t="s">
        <v>59</v>
      </c>
      <c r="V15">
        <v>0.61379399999999995</v>
      </c>
      <c r="W15" t="s">
        <v>53</v>
      </c>
      <c r="X15" t="s">
        <v>53</v>
      </c>
      <c r="Y15" t="s">
        <v>102</v>
      </c>
      <c r="Z15" t="str">
        <f t="shared" si="0"/>
        <v>Mayor que 20 - hasta 30</v>
      </c>
      <c r="AA15">
        <f t="shared" si="1"/>
        <v>1</v>
      </c>
      <c r="AB15">
        <v>5051</v>
      </c>
      <c r="AC15" t="s">
        <v>129</v>
      </c>
      <c r="AD15" t="s">
        <v>130</v>
      </c>
      <c r="AE15">
        <v>1.5764149999999999</v>
      </c>
      <c r="AF15" t="s">
        <v>76</v>
      </c>
      <c r="AG15">
        <v>74.248737000000006</v>
      </c>
      <c r="AH15" t="s">
        <v>129</v>
      </c>
      <c r="AI15" t="s">
        <v>130</v>
      </c>
      <c r="AJ15">
        <v>1.553917</v>
      </c>
      <c r="AK15" t="s">
        <v>76</v>
      </c>
      <c r="AL15">
        <v>73.407315999999994</v>
      </c>
      <c r="AM15" s="4" t="s">
        <v>64</v>
      </c>
      <c r="AN15" s="5">
        <v>48296.060207530914</v>
      </c>
      <c r="AO15" s="4" t="s">
        <v>65</v>
      </c>
      <c r="AP15" s="6">
        <v>2188</v>
      </c>
      <c r="AQ15">
        <v>2</v>
      </c>
      <c r="AR15">
        <v>42143.100487000003</v>
      </c>
      <c r="AS15" t="s">
        <v>66</v>
      </c>
      <c r="AT15" t="s">
        <v>53</v>
      </c>
    </row>
    <row r="16" spans="1:46">
      <c r="A16">
        <v>292</v>
      </c>
      <c r="B16" t="s">
        <v>46</v>
      </c>
      <c r="C16">
        <v>5</v>
      </c>
      <c r="D16">
        <v>55</v>
      </c>
      <c r="E16" t="s">
        <v>132</v>
      </c>
      <c r="F16" t="s">
        <v>48</v>
      </c>
      <c r="G16">
        <v>5055</v>
      </c>
      <c r="H16">
        <v>5055</v>
      </c>
      <c r="I16" t="s">
        <v>49</v>
      </c>
      <c r="J16">
        <v>506</v>
      </c>
      <c r="K16" t="s">
        <v>68</v>
      </c>
      <c r="L16" t="s">
        <v>80</v>
      </c>
      <c r="M16" t="s">
        <v>53</v>
      </c>
      <c r="N16">
        <v>7975</v>
      </c>
      <c r="O16" t="s">
        <v>53</v>
      </c>
      <c r="P16" t="s">
        <v>70</v>
      </c>
      <c r="Q16" t="s">
        <v>71</v>
      </c>
      <c r="R16" t="s">
        <v>72</v>
      </c>
      <c r="S16" t="s">
        <v>57</v>
      </c>
      <c r="T16" t="s">
        <v>73</v>
      </c>
      <c r="U16" t="s">
        <v>115</v>
      </c>
      <c r="V16">
        <v>0.51616099999999998</v>
      </c>
      <c r="W16" t="s">
        <v>53</v>
      </c>
      <c r="X16" t="s">
        <v>53</v>
      </c>
      <c r="Y16" t="s">
        <v>116</v>
      </c>
      <c r="Z16" t="str">
        <f t="shared" si="0"/>
        <v>Mayor que 30 - hasta 40</v>
      </c>
      <c r="AA16">
        <f t="shared" si="1"/>
        <v>1</v>
      </c>
      <c r="AB16">
        <v>5055</v>
      </c>
      <c r="AC16" t="s">
        <v>61</v>
      </c>
      <c r="AD16" t="s">
        <v>75</v>
      </c>
      <c r="AE16">
        <v>1.918687</v>
      </c>
      <c r="AF16" t="s">
        <v>76</v>
      </c>
      <c r="AG16">
        <v>77.036456999999999</v>
      </c>
      <c r="AH16" t="s">
        <v>61</v>
      </c>
      <c r="AI16" t="s">
        <v>62</v>
      </c>
      <c r="AJ16">
        <v>2.9811570000000001</v>
      </c>
      <c r="AK16" t="s">
        <v>77</v>
      </c>
      <c r="AL16">
        <v>115.249661</v>
      </c>
      <c r="AM16" s="4" t="s">
        <v>64</v>
      </c>
      <c r="AN16" s="5">
        <v>8219.3271672471983</v>
      </c>
      <c r="AO16" s="4" t="s">
        <v>65</v>
      </c>
      <c r="AP16" s="6">
        <v>1951</v>
      </c>
      <c r="AQ16">
        <v>4</v>
      </c>
      <c r="AR16">
        <v>14515.14906</v>
      </c>
      <c r="AS16" t="s">
        <v>66</v>
      </c>
      <c r="AT16" t="s">
        <v>53</v>
      </c>
    </row>
    <row r="17" spans="1:46">
      <c r="A17">
        <v>291</v>
      </c>
      <c r="B17" t="s">
        <v>46</v>
      </c>
      <c r="C17">
        <v>5</v>
      </c>
      <c r="D17">
        <v>59</v>
      </c>
      <c r="E17" t="s">
        <v>133</v>
      </c>
      <c r="F17" t="s">
        <v>48</v>
      </c>
      <c r="G17">
        <v>5059</v>
      </c>
      <c r="H17">
        <v>5059</v>
      </c>
      <c r="I17" t="s">
        <v>49</v>
      </c>
      <c r="J17">
        <v>505</v>
      </c>
      <c r="K17" t="s">
        <v>79</v>
      </c>
      <c r="L17" t="s">
        <v>69</v>
      </c>
      <c r="M17" t="s">
        <v>53</v>
      </c>
      <c r="N17">
        <v>5358</v>
      </c>
      <c r="O17" t="s">
        <v>53</v>
      </c>
      <c r="P17" t="s">
        <v>70</v>
      </c>
      <c r="Q17" t="s">
        <v>71</v>
      </c>
      <c r="R17" t="s">
        <v>105</v>
      </c>
      <c r="S17" t="s">
        <v>57</v>
      </c>
      <c r="T17" t="s">
        <v>58</v>
      </c>
      <c r="U17" t="s">
        <v>59</v>
      </c>
      <c r="V17">
        <v>0.386467</v>
      </c>
      <c r="W17" t="s">
        <v>53</v>
      </c>
      <c r="X17" t="s">
        <v>53</v>
      </c>
      <c r="Y17" t="s">
        <v>87</v>
      </c>
      <c r="Z17" t="str">
        <f t="shared" si="0"/>
        <v>Mayor que 40 - hasta 50</v>
      </c>
      <c r="AA17">
        <f t="shared" si="1"/>
        <v>1</v>
      </c>
      <c r="AB17">
        <v>5059</v>
      </c>
      <c r="AC17" t="s">
        <v>61</v>
      </c>
      <c r="AD17" t="s">
        <v>96</v>
      </c>
      <c r="AE17">
        <v>1.518159</v>
      </c>
      <c r="AF17" t="s">
        <v>76</v>
      </c>
      <c r="AG17">
        <v>48.573000999999998</v>
      </c>
      <c r="AH17" t="s">
        <v>61</v>
      </c>
      <c r="AI17" t="s">
        <v>62</v>
      </c>
      <c r="AJ17">
        <v>1.798613</v>
      </c>
      <c r="AK17" t="s">
        <v>76</v>
      </c>
      <c r="AL17">
        <v>45.207315999999999</v>
      </c>
      <c r="AM17" s="4" t="s">
        <v>97</v>
      </c>
      <c r="AN17" s="5">
        <v>4931.1708828651108</v>
      </c>
      <c r="AO17" s="4" t="s">
        <v>65</v>
      </c>
      <c r="AP17" s="6">
        <v>1133</v>
      </c>
      <c r="AQ17">
        <v>4</v>
      </c>
      <c r="AR17">
        <v>5203.584648</v>
      </c>
      <c r="AS17" t="s">
        <v>66</v>
      </c>
      <c r="AT17" t="s">
        <v>53</v>
      </c>
    </row>
    <row r="18" spans="1:46">
      <c r="A18">
        <v>290</v>
      </c>
      <c r="B18" t="s">
        <v>46</v>
      </c>
      <c r="C18">
        <v>5</v>
      </c>
      <c r="D18">
        <v>79</v>
      </c>
      <c r="E18" t="s">
        <v>88</v>
      </c>
      <c r="F18" t="s">
        <v>48</v>
      </c>
      <c r="G18">
        <v>5079</v>
      </c>
      <c r="H18">
        <v>5079</v>
      </c>
      <c r="I18" t="s">
        <v>49</v>
      </c>
      <c r="J18">
        <v>509</v>
      </c>
      <c r="K18" t="s">
        <v>50</v>
      </c>
      <c r="L18" t="s">
        <v>51</v>
      </c>
      <c r="M18" t="s">
        <v>53</v>
      </c>
      <c r="N18">
        <v>55649</v>
      </c>
      <c r="O18" t="s">
        <v>53</v>
      </c>
      <c r="P18" t="s">
        <v>92</v>
      </c>
      <c r="Q18" t="s">
        <v>134</v>
      </c>
      <c r="R18" t="s">
        <v>72</v>
      </c>
      <c r="S18" t="s">
        <v>57</v>
      </c>
      <c r="T18" t="s">
        <v>58</v>
      </c>
      <c r="U18" t="s">
        <v>59</v>
      </c>
      <c r="V18">
        <v>0.62628399999999995</v>
      </c>
      <c r="W18" t="s">
        <v>53</v>
      </c>
      <c r="X18" t="s">
        <v>53</v>
      </c>
      <c r="Y18" t="s">
        <v>127</v>
      </c>
      <c r="Z18" t="str">
        <f t="shared" si="0"/>
        <v>Mayor que 70 - hasta 80</v>
      </c>
      <c r="AA18">
        <f t="shared" si="1"/>
        <v>1</v>
      </c>
      <c r="AB18">
        <v>5079</v>
      </c>
      <c r="AC18" t="s">
        <v>61</v>
      </c>
      <c r="AD18" t="s">
        <v>88</v>
      </c>
      <c r="AE18">
        <v>0</v>
      </c>
      <c r="AF18" t="s">
        <v>63</v>
      </c>
      <c r="AG18">
        <v>0</v>
      </c>
      <c r="AH18" t="s">
        <v>61</v>
      </c>
      <c r="AI18" t="s">
        <v>62</v>
      </c>
      <c r="AJ18">
        <v>1.098924</v>
      </c>
      <c r="AK18" t="s">
        <v>76</v>
      </c>
      <c r="AL18">
        <v>38.830361000000003</v>
      </c>
      <c r="AM18" s="4" t="s">
        <v>65</v>
      </c>
      <c r="AN18" s="5">
        <v>10303.443560802738</v>
      </c>
      <c r="AO18" s="4" t="s">
        <v>65</v>
      </c>
      <c r="AP18" s="6">
        <v>5348</v>
      </c>
      <c r="AQ18">
        <v>4</v>
      </c>
      <c r="AR18">
        <v>11107.413417</v>
      </c>
      <c r="AS18" t="s">
        <v>66</v>
      </c>
      <c r="AT18" t="s">
        <v>53</v>
      </c>
    </row>
    <row r="19" spans="1:46">
      <c r="A19">
        <v>289</v>
      </c>
      <c r="B19" t="s">
        <v>46</v>
      </c>
      <c r="C19">
        <v>5</v>
      </c>
      <c r="D19">
        <v>86</v>
      </c>
      <c r="E19" t="s">
        <v>135</v>
      </c>
      <c r="F19" t="s">
        <v>48</v>
      </c>
      <c r="G19">
        <v>5086</v>
      </c>
      <c r="H19">
        <v>5086</v>
      </c>
      <c r="I19" t="s">
        <v>49</v>
      </c>
      <c r="J19">
        <v>504</v>
      </c>
      <c r="K19" t="s">
        <v>112</v>
      </c>
      <c r="L19" t="s">
        <v>80</v>
      </c>
      <c r="M19" t="s">
        <v>53</v>
      </c>
      <c r="N19">
        <v>6356</v>
      </c>
      <c r="O19" t="s">
        <v>53</v>
      </c>
      <c r="P19" t="s">
        <v>70</v>
      </c>
      <c r="Q19" t="s">
        <v>71</v>
      </c>
      <c r="R19" t="s">
        <v>72</v>
      </c>
      <c r="S19" t="s">
        <v>57</v>
      </c>
      <c r="T19" t="s">
        <v>58</v>
      </c>
      <c r="U19" t="s">
        <v>59</v>
      </c>
      <c r="V19">
        <v>0.70200799999999997</v>
      </c>
      <c r="W19">
        <v>2017</v>
      </c>
      <c r="X19" t="s">
        <v>109</v>
      </c>
      <c r="Y19" t="s">
        <v>136</v>
      </c>
      <c r="Z19" t="str">
        <f t="shared" si="0"/>
        <v>Mayor que 100 - hasta 120</v>
      </c>
      <c r="AA19">
        <f t="shared" si="1"/>
        <v>1</v>
      </c>
      <c r="AB19">
        <v>5086</v>
      </c>
      <c r="AC19" t="s">
        <v>61</v>
      </c>
      <c r="AD19" t="s">
        <v>83</v>
      </c>
      <c r="AE19">
        <v>1.174409</v>
      </c>
      <c r="AF19" t="s">
        <v>76</v>
      </c>
      <c r="AG19">
        <v>43.594321999999998</v>
      </c>
      <c r="AH19" t="s">
        <v>61</v>
      </c>
      <c r="AI19" t="s">
        <v>62</v>
      </c>
      <c r="AJ19">
        <v>1.7352860000000001</v>
      </c>
      <c r="AK19" t="s">
        <v>76</v>
      </c>
      <c r="AL19">
        <v>52.878383999999997</v>
      </c>
      <c r="AM19" t="s">
        <v>64</v>
      </c>
      <c r="AN19" s="7">
        <v>20.41649462698231</v>
      </c>
      <c r="AO19" t="s">
        <v>65</v>
      </c>
      <c r="AP19" s="3">
        <v>11</v>
      </c>
      <c r="AQ19">
        <v>2</v>
      </c>
      <c r="AR19">
        <v>28.814363</v>
      </c>
      <c r="AS19" t="s">
        <v>66</v>
      </c>
      <c r="AT19" t="s">
        <v>137</v>
      </c>
    </row>
    <row r="20" spans="1:46">
      <c r="A20">
        <v>288</v>
      </c>
      <c r="B20" t="s">
        <v>46</v>
      </c>
      <c r="C20">
        <v>5</v>
      </c>
      <c r="D20">
        <v>88</v>
      </c>
      <c r="E20" t="s">
        <v>83</v>
      </c>
      <c r="F20" t="s">
        <v>48</v>
      </c>
      <c r="G20">
        <v>5088</v>
      </c>
      <c r="H20">
        <v>5088</v>
      </c>
      <c r="I20" t="s">
        <v>49</v>
      </c>
      <c r="J20">
        <v>509</v>
      </c>
      <c r="K20" t="s">
        <v>50</v>
      </c>
      <c r="L20" t="s">
        <v>51</v>
      </c>
      <c r="M20" t="s">
        <v>53</v>
      </c>
      <c r="N20">
        <v>561955</v>
      </c>
      <c r="O20" t="s">
        <v>53</v>
      </c>
      <c r="P20" t="s">
        <v>54</v>
      </c>
      <c r="Q20" t="s">
        <v>138</v>
      </c>
      <c r="R20" t="s">
        <v>93</v>
      </c>
      <c r="S20" t="s">
        <v>57</v>
      </c>
      <c r="T20" t="s">
        <v>58</v>
      </c>
      <c r="U20" t="s">
        <v>81</v>
      </c>
      <c r="V20">
        <v>0.58229299999999995</v>
      </c>
      <c r="W20" t="s">
        <v>53</v>
      </c>
      <c r="X20" t="s">
        <v>53</v>
      </c>
      <c r="Y20" t="s">
        <v>139</v>
      </c>
      <c r="Z20" t="str">
        <f t="shared" si="0"/>
        <v>Mayor que 300 - hasta 400</v>
      </c>
      <c r="AA20">
        <f t="shared" si="1"/>
        <v>1</v>
      </c>
      <c r="AB20">
        <v>5088</v>
      </c>
      <c r="AC20" t="s">
        <v>61</v>
      </c>
      <c r="AD20" t="s">
        <v>83</v>
      </c>
      <c r="AE20">
        <v>0</v>
      </c>
      <c r="AF20" t="s">
        <v>63</v>
      </c>
      <c r="AG20">
        <v>0</v>
      </c>
      <c r="AH20" t="s">
        <v>61</v>
      </c>
      <c r="AI20" t="s">
        <v>62</v>
      </c>
      <c r="AJ20">
        <v>0.57616199999999995</v>
      </c>
      <c r="AK20" t="s">
        <v>63</v>
      </c>
      <c r="AL20">
        <v>9.3426410000000004</v>
      </c>
      <c r="AM20" s="4" t="s">
        <v>65</v>
      </c>
      <c r="AN20" s="5">
        <v>4741.556302711102</v>
      </c>
      <c r="AO20" s="4" t="s">
        <v>65</v>
      </c>
      <c r="AP20" s="6">
        <v>1789</v>
      </c>
      <c r="AQ20">
        <v>4</v>
      </c>
      <c r="AR20">
        <v>5129.7984489999999</v>
      </c>
      <c r="AS20" t="s">
        <v>66</v>
      </c>
      <c r="AT20" t="s">
        <v>53</v>
      </c>
    </row>
    <row r="21" spans="1:46">
      <c r="A21">
        <v>287</v>
      </c>
      <c r="B21" t="s">
        <v>46</v>
      </c>
      <c r="C21">
        <v>5</v>
      </c>
      <c r="D21">
        <v>91</v>
      </c>
      <c r="E21" t="s">
        <v>140</v>
      </c>
      <c r="F21" t="s">
        <v>48</v>
      </c>
      <c r="G21">
        <v>5091</v>
      </c>
      <c r="H21">
        <v>5091</v>
      </c>
      <c r="I21" t="s">
        <v>49</v>
      </c>
      <c r="J21">
        <v>507</v>
      </c>
      <c r="K21" t="s">
        <v>90</v>
      </c>
      <c r="L21" t="s">
        <v>91</v>
      </c>
      <c r="M21" t="s">
        <v>53</v>
      </c>
      <c r="N21">
        <v>10808</v>
      </c>
      <c r="O21" t="s">
        <v>53</v>
      </c>
      <c r="P21" t="s">
        <v>70</v>
      </c>
      <c r="Q21" t="s">
        <v>71</v>
      </c>
      <c r="R21" t="s">
        <v>105</v>
      </c>
      <c r="S21" t="s">
        <v>57</v>
      </c>
      <c r="T21" t="s">
        <v>58</v>
      </c>
      <c r="U21" t="s">
        <v>119</v>
      </c>
      <c r="V21">
        <v>0.45892699999999997</v>
      </c>
      <c r="W21">
        <v>2024</v>
      </c>
      <c r="X21" t="s">
        <v>141</v>
      </c>
      <c r="Y21" t="s">
        <v>142</v>
      </c>
      <c r="Z21" t="str">
        <f t="shared" si="0"/>
        <v>Mayor que 60 - hasta 70</v>
      </c>
      <c r="AA21">
        <f t="shared" si="1"/>
        <v>0</v>
      </c>
      <c r="AB21">
        <v>5091</v>
      </c>
      <c r="AC21" t="s">
        <v>61</v>
      </c>
      <c r="AD21" t="s">
        <v>96</v>
      </c>
      <c r="AE21">
        <v>2.1933829999999999</v>
      </c>
      <c r="AF21" t="s">
        <v>77</v>
      </c>
      <c r="AG21">
        <v>79.109250000000003</v>
      </c>
      <c r="AH21" t="s">
        <v>61</v>
      </c>
      <c r="AI21" t="s">
        <v>62</v>
      </c>
      <c r="AJ21">
        <v>2.669063</v>
      </c>
      <c r="AK21" t="s">
        <v>77</v>
      </c>
      <c r="AL21">
        <v>102.31585099999999</v>
      </c>
      <c r="AM21" t="s">
        <v>64</v>
      </c>
      <c r="AN21" s="7">
        <v>551.8020283520317</v>
      </c>
      <c r="AO21" t="s">
        <v>65</v>
      </c>
      <c r="AP21" s="3">
        <v>103</v>
      </c>
      <c r="AQ21">
        <v>4</v>
      </c>
      <c r="AR21">
        <v>569.71221800000001</v>
      </c>
      <c r="AS21" t="s">
        <v>66</v>
      </c>
      <c r="AT21" t="s">
        <v>53</v>
      </c>
    </row>
    <row r="22" spans="1:46">
      <c r="A22">
        <v>286</v>
      </c>
      <c r="B22" t="s">
        <v>46</v>
      </c>
      <c r="C22">
        <v>5</v>
      </c>
      <c r="D22">
        <v>93</v>
      </c>
      <c r="E22" t="s">
        <v>143</v>
      </c>
      <c r="F22" t="s">
        <v>48</v>
      </c>
      <c r="G22">
        <v>5093</v>
      </c>
      <c r="H22">
        <v>5093</v>
      </c>
      <c r="I22" t="s">
        <v>49</v>
      </c>
      <c r="J22">
        <v>507</v>
      </c>
      <c r="K22" t="s">
        <v>90</v>
      </c>
      <c r="L22" t="s">
        <v>91</v>
      </c>
      <c r="M22" t="s">
        <v>53</v>
      </c>
      <c r="N22">
        <v>16485</v>
      </c>
      <c r="O22" t="s">
        <v>53</v>
      </c>
      <c r="P22" t="s">
        <v>70</v>
      </c>
      <c r="Q22" t="s">
        <v>71</v>
      </c>
      <c r="R22" t="s">
        <v>122</v>
      </c>
      <c r="S22" t="s">
        <v>57</v>
      </c>
      <c r="T22" t="s">
        <v>58</v>
      </c>
      <c r="U22" t="s">
        <v>59</v>
      </c>
      <c r="V22">
        <v>0.56920199999999999</v>
      </c>
      <c r="W22">
        <v>2024</v>
      </c>
      <c r="X22" t="s">
        <v>144</v>
      </c>
      <c r="Y22" t="s">
        <v>145</v>
      </c>
      <c r="Z22" t="str">
        <f t="shared" si="0"/>
        <v>Mayor que 70 - hasta 80</v>
      </c>
      <c r="AA22">
        <f t="shared" si="1"/>
        <v>0</v>
      </c>
      <c r="AB22">
        <v>5093</v>
      </c>
      <c r="AC22" t="s">
        <v>61</v>
      </c>
      <c r="AD22" t="s">
        <v>96</v>
      </c>
      <c r="AE22">
        <v>2.3349660000000001</v>
      </c>
      <c r="AF22" t="s">
        <v>77</v>
      </c>
      <c r="AG22">
        <v>80.702143000000007</v>
      </c>
      <c r="AH22" t="s">
        <v>61</v>
      </c>
      <c r="AI22" t="s">
        <v>62</v>
      </c>
      <c r="AJ22">
        <v>2.8106460000000002</v>
      </c>
      <c r="AK22" t="s">
        <v>77</v>
      </c>
      <c r="AL22">
        <v>103.908745</v>
      </c>
      <c r="AM22" t="s">
        <v>65</v>
      </c>
      <c r="AN22" s="7">
        <v>553.49497507823469</v>
      </c>
      <c r="AO22" t="s">
        <v>65</v>
      </c>
      <c r="AP22" s="3">
        <v>190</v>
      </c>
      <c r="AQ22">
        <v>3</v>
      </c>
      <c r="AR22">
        <v>697.68608200000006</v>
      </c>
      <c r="AS22" t="s">
        <v>66</v>
      </c>
      <c r="AT22" t="s">
        <v>53</v>
      </c>
    </row>
    <row r="23" spans="1:46">
      <c r="A23">
        <v>282</v>
      </c>
      <c r="B23" t="s">
        <v>46</v>
      </c>
      <c r="C23">
        <v>5</v>
      </c>
      <c r="D23">
        <v>101</v>
      </c>
      <c r="E23" t="s">
        <v>146</v>
      </c>
      <c r="F23" t="s">
        <v>48</v>
      </c>
      <c r="G23">
        <v>5101</v>
      </c>
      <c r="H23">
        <v>5101</v>
      </c>
      <c r="I23" t="s">
        <v>49</v>
      </c>
      <c r="J23">
        <v>507</v>
      </c>
      <c r="K23" t="s">
        <v>90</v>
      </c>
      <c r="L23" t="s">
        <v>91</v>
      </c>
      <c r="M23" t="s">
        <v>53</v>
      </c>
      <c r="N23">
        <v>27458</v>
      </c>
      <c r="O23" t="s">
        <v>53</v>
      </c>
      <c r="P23" t="s">
        <v>70</v>
      </c>
      <c r="Q23" t="s">
        <v>71</v>
      </c>
      <c r="R23" t="s">
        <v>56</v>
      </c>
      <c r="S23" t="s">
        <v>57</v>
      </c>
      <c r="T23" t="s">
        <v>58</v>
      </c>
      <c r="U23" t="s">
        <v>119</v>
      </c>
      <c r="V23">
        <v>0.30636200000000002</v>
      </c>
      <c r="W23">
        <v>2024</v>
      </c>
      <c r="X23" t="s">
        <v>147</v>
      </c>
      <c r="Y23" t="s">
        <v>148</v>
      </c>
      <c r="Z23" t="str">
        <f t="shared" si="0"/>
        <v>Mayor que 50 - hasta 60</v>
      </c>
      <c r="AA23">
        <f t="shared" si="1"/>
        <v>0</v>
      </c>
      <c r="AB23">
        <v>5101</v>
      </c>
      <c r="AC23" t="s">
        <v>61</v>
      </c>
      <c r="AD23" t="s">
        <v>96</v>
      </c>
      <c r="AE23">
        <v>1.9678640000000001</v>
      </c>
      <c r="AF23" t="s">
        <v>76</v>
      </c>
      <c r="AG23">
        <v>75.919300000000007</v>
      </c>
      <c r="AH23" t="s">
        <v>61</v>
      </c>
      <c r="AI23" t="s">
        <v>62</v>
      </c>
      <c r="AJ23">
        <v>2.4435440000000002</v>
      </c>
      <c r="AK23" t="s">
        <v>77</v>
      </c>
      <c r="AL23">
        <v>99.125901999999996</v>
      </c>
      <c r="AM23" t="s">
        <v>64</v>
      </c>
      <c r="AN23" s="7">
        <v>3668.6007247334219</v>
      </c>
      <c r="AO23" t="s">
        <v>65</v>
      </c>
      <c r="AP23" s="3">
        <v>1243</v>
      </c>
      <c r="AQ23">
        <v>3</v>
      </c>
      <c r="AR23">
        <v>4317.3953179999999</v>
      </c>
      <c r="AS23" t="s">
        <v>66</v>
      </c>
      <c r="AT23" t="s">
        <v>53</v>
      </c>
    </row>
    <row r="24" spans="1:46">
      <c r="A24">
        <v>283</v>
      </c>
      <c r="B24" t="s">
        <v>46</v>
      </c>
      <c r="C24">
        <v>5</v>
      </c>
      <c r="D24">
        <v>107</v>
      </c>
      <c r="E24" t="s">
        <v>149</v>
      </c>
      <c r="F24" t="s">
        <v>48</v>
      </c>
      <c r="G24">
        <v>5107</v>
      </c>
      <c r="H24">
        <v>5107</v>
      </c>
      <c r="I24" t="s">
        <v>49</v>
      </c>
      <c r="J24">
        <v>504</v>
      </c>
      <c r="K24" t="s">
        <v>112</v>
      </c>
      <c r="L24" t="s">
        <v>80</v>
      </c>
      <c r="M24" t="s">
        <v>53</v>
      </c>
      <c r="N24">
        <v>8473</v>
      </c>
      <c r="O24" t="s">
        <v>53</v>
      </c>
      <c r="P24" t="s">
        <v>70</v>
      </c>
      <c r="Q24" t="s">
        <v>118</v>
      </c>
      <c r="R24" t="s">
        <v>93</v>
      </c>
      <c r="S24" t="s">
        <v>100</v>
      </c>
      <c r="T24" t="s">
        <v>73</v>
      </c>
      <c r="U24" t="s">
        <v>115</v>
      </c>
      <c r="V24">
        <v>0.51525799999999999</v>
      </c>
      <c r="W24" t="s">
        <v>53</v>
      </c>
      <c r="X24" t="s">
        <v>53</v>
      </c>
      <c r="Y24" t="s">
        <v>102</v>
      </c>
      <c r="Z24" t="str">
        <f t="shared" si="0"/>
        <v>Mayor que 20 - hasta 30</v>
      </c>
      <c r="AA24">
        <f t="shared" si="1"/>
        <v>1</v>
      </c>
      <c r="AB24">
        <v>5107</v>
      </c>
      <c r="AC24" t="s">
        <v>61</v>
      </c>
      <c r="AD24" t="s">
        <v>113</v>
      </c>
      <c r="AE24">
        <v>1.275075</v>
      </c>
      <c r="AF24" t="s">
        <v>76</v>
      </c>
      <c r="AG24">
        <v>34.084775999999998</v>
      </c>
      <c r="AH24" t="s">
        <v>61</v>
      </c>
      <c r="AI24" t="s">
        <v>62</v>
      </c>
      <c r="AJ24">
        <v>4.0850759999999999</v>
      </c>
      <c r="AK24" t="s">
        <v>85</v>
      </c>
      <c r="AL24">
        <v>148.09301600000001</v>
      </c>
      <c r="AM24" s="4" t="s">
        <v>64</v>
      </c>
      <c r="AN24" s="5">
        <v>25394.585162929154</v>
      </c>
      <c r="AO24" s="4" t="s">
        <v>65</v>
      </c>
      <c r="AP24" s="6">
        <v>1185</v>
      </c>
      <c r="AQ24">
        <v>3</v>
      </c>
      <c r="AR24">
        <v>21819.289798000002</v>
      </c>
      <c r="AS24" t="s">
        <v>66</v>
      </c>
      <c r="AT24" t="s">
        <v>53</v>
      </c>
    </row>
    <row r="25" spans="1:46">
      <c r="A25">
        <v>284</v>
      </c>
      <c r="B25" t="s">
        <v>46</v>
      </c>
      <c r="C25">
        <v>5</v>
      </c>
      <c r="D25">
        <v>113</v>
      </c>
      <c r="E25" t="s">
        <v>150</v>
      </c>
      <c r="F25" t="s">
        <v>48</v>
      </c>
      <c r="G25">
        <v>5113</v>
      </c>
      <c r="H25">
        <v>5113</v>
      </c>
      <c r="I25" t="s">
        <v>49</v>
      </c>
      <c r="J25">
        <v>505</v>
      </c>
      <c r="K25" t="s">
        <v>79</v>
      </c>
      <c r="L25" t="s">
        <v>80</v>
      </c>
      <c r="M25" t="s">
        <v>53</v>
      </c>
      <c r="N25">
        <v>9925</v>
      </c>
      <c r="O25" t="s">
        <v>53</v>
      </c>
      <c r="P25" t="s">
        <v>70</v>
      </c>
      <c r="Q25" t="s">
        <v>71</v>
      </c>
      <c r="R25" t="s">
        <v>72</v>
      </c>
      <c r="S25" t="s">
        <v>57</v>
      </c>
      <c r="T25" t="s">
        <v>58</v>
      </c>
      <c r="U25" t="s">
        <v>59</v>
      </c>
      <c r="V25">
        <v>0.65777799999999997</v>
      </c>
      <c r="W25" t="s">
        <v>53</v>
      </c>
      <c r="X25" t="s">
        <v>53</v>
      </c>
      <c r="Y25" t="s">
        <v>116</v>
      </c>
      <c r="Z25" t="str">
        <f t="shared" si="0"/>
        <v>Mayor que 30 - hasta 40</v>
      </c>
      <c r="AA25">
        <f t="shared" si="1"/>
        <v>1</v>
      </c>
      <c r="AB25">
        <v>5113</v>
      </c>
      <c r="AC25" t="s">
        <v>61</v>
      </c>
      <c r="AD25" t="s">
        <v>83</v>
      </c>
      <c r="AE25">
        <v>2.6387510000000001</v>
      </c>
      <c r="AF25" t="s">
        <v>77</v>
      </c>
      <c r="AG25">
        <v>81.316355999999999</v>
      </c>
      <c r="AH25" t="s">
        <v>61</v>
      </c>
      <c r="AI25" t="s">
        <v>62</v>
      </c>
      <c r="AJ25">
        <v>3.1996280000000001</v>
      </c>
      <c r="AK25" t="s">
        <v>84</v>
      </c>
      <c r="AL25">
        <v>90.600418000000005</v>
      </c>
      <c r="AM25" s="4" t="s">
        <v>97</v>
      </c>
      <c r="AN25" s="5">
        <v>15190.640881582625</v>
      </c>
      <c r="AO25" s="4" t="s">
        <v>65</v>
      </c>
      <c r="AP25" s="6">
        <v>2050</v>
      </c>
      <c r="AQ25">
        <v>4</v>
      </c>
      <c r="AR25">
        <v>31588.907845000002</v>
      </c>
      <c r="AS25" t="s">
        <v>66</v>
      </c>
      <c r="AT25" t="s">
        <v>53</v>
      </c>
    </row>
    <row r="26" spans="1:46">
      <c r="A26">
        <v>285</v>
      </c>
      <c r="B26" t="s">
        <v>46</v>
      </c>
      <c r="C26">
        <v>5</v>
      </c>
      <c r="D26">
        <v>120</v>
      </c>
      <c r="E26" t="s">
        <v>151</v>
      </c>
      <c r="F26" t="s">
        <v>48</v>
      </c>
      <c r="G26">
        <v>5120</v>
      </c>
      <c r="H26">
        <v>5120</v>
      </c>
      <c r="I26" t="s">
        <v>49</v>
      </c>
      <c r="J26">
        <v>501</v>
      </c>
      <c r="K26" t="s">
        <v>152</v>
      </c>
      <c r="L26" t="s">
        <v>80</v>
      </c>
      <c r="M26" t="s">
        <v>53</v>
      </c>
      <c r="N26">
        <v>30925</v>
      </c>
      <c r="O26" t="s">
        <v>53</v>
      </c>
      <c r="P26" t="s">
        <v>92</v>
      </c>
      <c r="Q26" t="s">
        <v>71</v>
      </c>
      <c r="R26" t="s">
        <v>72</v>
      </c>
      <c r="S26" t="s">
        <v>100</v>
      </c>
      <c r="T26" t="s">
        <v>73</v>
      </c>
      <c r="U26" t="s">
        <v>115</v>
      </c>
      <c r="V26">
        <v>0.75366299999999997</v>
      </c>
      <c r="W26" t="s">
        <v>53</v>
      </c>
      <c r="X26" t="s">
        <v>53</v>
      </c>
      <c r="Y26" t="s">
        <v>82</v>
      </c>
      <c r="Z26" t="str">
        <f t="shared" si="0"/>
        <v>Mayor que 15 - hasta 20</v>
      </c>
      <c r="AA26">
        <f t="shared" si="1"/>
        <v>1</v>
      </c>
      <c r="AB26">
        <v>5120</v>
      </c>
      <c r="AC26" t="s">
        <v>61</v>
      </c>
      <c r="AD26" t="s">
        <v>153</v>
      </c>
      <c r="AE26">
        <v>1.1384449999999999</v>
      </c>
      <c r="AF26" t="s">
        <v>76</v>
      </c>
      <c r="AG26">
        <v>58.249957000000002</v>
      </c>
      <c r="AH26" t="s">
        <v>129</v>
      </c>
      <c r="AI26" t="s">
        <v>130</v>
      </c>
      <c r="AJ26">
        <v>3.3579140000000001</v>
      </c>
      <c r="AK26" t="s">
        <v>84</v>
      </c>
      <c r="AL26">
        <v>182.43830399999999</v>
      </c>
      <c r="AM26" s="4" t="s">
        <v>97</v>
      </c>
      <c r="AN26" s="5">
        <v>118373.46884800753</v>
      </c>
      <c r="AO26" s="4" t="s">
        <v>64</v>
      </c>
      <c r="AP26" s="6">
        <v>888</v>
      </c>
      <c r="AQ26">
        <v>3</v>
      </c>
      <c r="AR26">
        <v>108752.520339</v>
      </c>
      <c r="AS26" t="s">
        <v>66</v>
      </c>
      <c r="AT26" t="s">
        <v>53</v>
      </c>
    </row>
    <row r="27" spans="1:46">
      <c r="A27">
        <v>350</v>
      </c>
      <c r="B27" t="s">
        <v>46</v>
      </c>
      <c r="C27">
        <v>5</v>
      </c>
      <c r="D27">
        <v>125</v>
      </c>
      <c r="E27" t="s">
        <v>154</v>
      </c>
      <c r="F27" t="s">
        <v>48</v>
      </c>
      <c r="G27">
        <v>5125</v>
      </c>
      <c r="H27">
        <v>5125</v>
      </c>
      <c r="I27" t="s">
        <v>49</v>
      </c>
      <c r="J27">
        <v>507</v>
      </c>
      <c r="K27" t="s">
        <v>90</v>
      </c>
      <c r="L27" t="s">
        <v>80</v>
      </c>
      <c r="M27" t="s">
        <v>53</v>
      </c>
      <c r="N27">
        <v>8798</v>
      </c>
      <c r="O27" t="s">
        <v>53</v>
      </c>
      <c r="P27" t="s">
        <v>70</v>
      </c>
      <c r="Q27" t="s">
        <v>71</v>
      </c>
      <c r="R27" t="s">
        <v>105</v>
      </c>
      <c r="S27" t="s">
        <v>57</v>
      </c>
      <c r="T27" t="s">
        <v>73</v>
      </c>
      <c r="U27" t="s">
        <v>59</v>
      </c>
      <c r="V27">
        <v>0.48184300000000002</v>
      </c>
      <c r="W27" t="s">
        <v>53</v>
      </c>
      <c r="X27" t="s">
        <v>53</v>
      </c>
      <c r="Y27" t="s">
        <v>116</v>
      </c>
      <c r="Z27" t="str">
        <f t="shared" si="0"/>
        <v>Mayor que 30 - hasta 40</v>
      </c>
      <c r="AA27">
        <f t="shared" si="1"/>
        <v>1</v>
      </c>
      <c r="AB27">
        <v>5125</v>
      </c>
      <c r="AC27" t="s">
        <v>61</v>
      </c>
      <c r="AD27" t="s">
        <v>83</v>
      </c>
      <c r="AE27">
        <v>2.8499500000000002</v>
      </c>
      <c r="AF27" t="s">
        <v>77</v>
      </c>
      <c r="AG27">
        <v>80.171991000000006</v>
      </c>
      <c r="AH27" t="s">
        <v>61</v>
      </c>
      <c r="AI27" t="s">
        <v>62</v>
      </c>
      <c r="AJ27">
        <v>3.4108269999999998</v>
      </c>
      <c r="AK27" t="s">
        <v>84</v>
      </c>
      <c r="AL27">
        <v>89.456052999999997</v>
      </c>
      <c r="AM27" s="4" t="s">
        <v>64</v>
      </c>
      <c r="AN27" s="5">
        <v>6766.6626653302656</v>
      </c>
      <c r="AO27" s="4" t="s">
        <v>65</v>
      </c>
      <c r="AP27" s="6">
        <v>1782</v>
      </c>
      <c r="AQ27">
        <v>4</v>
      </c>
      <c r="AR27">
        <v>11529.003901</v>
      </c>
      <c r="AS27" t="s">
        <v>66</v>
      </c>
      <c r="AT27" t="s">
        <v>53</v>
      </c>
    </row>
    <row r="28" spans="1:46">
      <c r="A28">
        <v>349</v>
      </c>
      <c r="B28" t="s">
        <v>46</v>
      </c>
      <c r="C28">
        <v>5</v>
      </c>
      <c r="D28">
        <v>129</v>
      </c>
      <c r="E28" t="s">
        <v>96</v>
      </c>
      <c r="F28" t="s">
        <v>48</v>
      </c>
      <c r="G28">
        <v>5129</v>
      </c>
      <c r="H28">
        <v>5129</v>
      </c>
      <c r="I28" t="s">
        <v>49</v>
      </c>
      <c r="J28">
        <v>509</v>
      </c>
      <c r="K28" t="s">
        <v>50</v>
      </c>
      <c r="L28" t="s">
        <v>51</v>
      </c>
      <c r="M28" t="s">
        <v>53</v>
      </c>
      <c r="N28">
        <v>85385</v>
      </c>
      <c r="O28" t="s">
        <v>53</v>
      </c>
      <c r="P28" t="s">
        <v>92</v>
      </c>
      <c r="Q28" t="s">
        <v>125</v>
      </c>
      <c r="R28" t="s">
        <v>122</v>
      </c>
      <c r="S28" t="s">
        <v>57</v>
      </c>
      <c r="T28" t="s">
        <v>58</v>
      </c>
      <c r="U28" t="s">
        <v>81</v>
      </c>
      <c r="V28">
        <v>0.539605</v>
      </c>
      <c r="W28" t="s">
        <v>53</v>
      </c>
      <c r="X28" t="s">
        <v>53</v>
      </c>
      <c r="Y28" t="s">
        <v>120</v>
      </c>
      <c r="Z28" t="str">
        <f t="shared" si="0"/>
        <v>Mayor que 200 - hasta 250</v>
      </c>
      <c r="AA28">
        <f t="shared" si="1"/>
        <v>1</v>
      </c>
      <c r="AB28">
        <v>5129</v>
      </c>
      <c r="AC28" t="s">
        <v>61</v>
      </c>
      <c r="AD28" t="s">
        <v>96</v>
      </c>
      <c r="AE28">
        <v>0</v>
      </c>
      <c r="AF28" t="s">
        <v>63</v>
      </c>
      <c r="AG28">
        <v>0</v>
      </c>
      <c r="AH28" t="s">
        <v>61</v>
      </c>
      <c r="AI28" t="s">
        <v>62</v>
      </c>
      <c r="AJ28">
        <v>0.52742100000000003</v>
      </c>
      <c r="AK28" t="s">
        <v>63</v>
      </c>
      <c r="AL28">
        <v>23.606601999999999</v>
      </c>
      <c r="AM28" s="4" t="s">
        <v>64</v>
      </c>
      <c r="AN28" s="5">
        <v>5498.7820448357434</v>
      </c>
      <c r="AO28" s="4" t="s">
        <v>65</v>
      </c>
      <c r="AP28" s="6">
        <v>1264</v>
      </c>
      <c r="AQ28">
        <v>4</v>
      </c>
      <c r="AR28">
        <v>8471.8991989999995</v>
      </c>
      <c r="AS28" t="s">
        <v>66</v>
      </c>
      <c r="AT28" t="s">
        <v>53</v>
      </c>
    </row>
    <row r="29" spans="1:46">
      <c r="A29">
        <v>348</v>
      </c>
      <c r="B29" t="s">
        <v>46</v>
      </c>
      <c r="C29">
        <v>5</v>
      </c>
      <c r="D29">
        <v>134</v>
      </c>
      <c r="E29" t="s">
        <v>155</v>
      </c>
      <c r="F29" t="s">
        <v>48</v>
      </c>
      <c r="G29">
        <v>5134</v>
      </c>
      <c r="H29">
        <v>5134</v>
      </c>
      <c r="I29" t="s">
        <v>49</v>
      </c>
      <c r="J29">
        <v>504</v>
      </c>
      <c r="K29" t="s">
        <v>112</v>
      </c>
      <c r="L29" t="s">
        <v>69</v>
      </c>
      <c r="M29" t="s">
        <v>53</v>
      </c>
      <c r="N29">
        <v>9671</v>
      </c>
      <c r="O29" t="s">
        <v>53</v>
      </c>
      <c r="P29" t="s">
        <v>70</v>
      </c>
      <c r="Q29" t="s">
        <v>71</v>
      </c>
      <c r="R29" t="s">
        <v>93</v>
      </c>
      <c r="S29" t="s">
        <v>57</v>
      </c>
      <c r="T29" t="s">
        <v>73</v>
      </c>
      <c r="U29" t="s">
        <v>115</v>
      </c>
      <c r="V29">
        <v>0.64642100000000002</v>
      </c>
      <c r="W29" t="s">
        <v>53</v>
      </c>
      <c r="X29" t="s">
        <v>53</v>
      </c>
      <c r="Y29" t="s">
        <v>102</v>
      </c>
      <c r="Z29" t="str">
        <f t="shared" si="0"/>
        <v>Mayor que 20 - hasta 30</v>
      </c>
      <c r="AA29">
        <f t="shared" si="1"/>
        <v>1</v>
      </c>
      <c r="AB29">
        <v>5134</v>
      </c>
      <c r="AC29" t="s">
        <v>61</v>
      </c>
      <c r="AD29" t="s">
        <v>113</v>
      </c>
      <c r="AE29">
        <v>0.493643</v>
      </c>
      <c r="AF29" t="s">
        <v>63</v>
      </c>
      <c r="AG29">
        <v>17.150967000000001</v>
      </c>
      <c r="AH29" t="s">
        <v>61</v>
      </c>
      <c r="AI29" t="s">
        <v>62</v>
      </c>
      <c r="AJ29">
        <v>3.2714989999999999</v>
      </c>
      <c r="AK29" t="s">
        <v>84</v>
      </c>
      <c r="AL29">
        <v>129.710678</v>
      </c>
      <c r="AM29" s="4" t="s">
        <v>64</v>
      </c>
      <c r="AN29" s="5">
        <v>13626.793621421948</v>
      </c>
      <c r="AO29" s="4" t="s">
        <v>65</v>
      </c>
      <c r="AP29" s="6">
        <v>1704</v>
      </c>
      <c r="AQ29">
        <v>3</v>
      </c>
      <c r="AR29">
        <v>10931.907922</v>
      </c>
      <c r="AS29" t="s">
        <v>66</v>
      </c>
      <c r="AT29" t="s">
        <v>53</v>
      </c>
    </row>
    <row r="30" spans="1:46">
      <c r="A30">
        <v>347</v>
      </c>
      <c r="B30" t="s">
        <v>46</v>
      </c>
      <c r="C30">
        <v>5</v>
      </c>
      <c r="D30">
        <v>138</v>
      </c>
      <c r="E30" t="s">
        <v>156</v>
      </c>
      <c r="F30" t="s">
        <v>48</v>
      </c>
      <c r="G30">
        <v>5138</v>
      </c>
      <c r="H30">
        <v>5138</v>
      </c>
      <c r="I30" t="s">
        <v>49</v>
      </c>
      <c r="J30">
        <v>505</v>
      </c>
      <c r="K30" t="s">
        <v>79</v>
      </c>
      <c r="L30" t="s">
        <v>69</v>
      </c>
      <c r="M30" t="s">
        <v>53</v>
      </c>
      <c r="N30">
        <v>16256</v>
      </c>
      <c r="O30" t="s">
        <v>53</v>
      </c>
      <c r="P30" t="s">
        <v>70</v>
      </c>
      <c r="Q30" t="s">
        <v>71</v>
      </c>
      <c r="R30" t="s">
        <v>72</v>
      </c>
      <c r="S30" t="s">
        <v>57</v>
      </c>
      <c r="T30" t="s">
        <v>58</v>
      </c>
      <c r="U30" t="s">
        <v>119</v>
      </c>
      <c r="V30">
        <v>0.79283999999999999</v>
      </c>
      <c r="W30" t="s">
        <v>53</v>
      </c>
      <c r="X30" t="s">
        <v>53</v>
      </c>
      <c r="Y30" t="s">
        <v>102</v>
      </c>
      <c r="Z30" t="str">
        <f t="shared" si="0"/>
        <v>Mayor que 20 - hasta 30</v>
      </c>
      <c r="AA30">
        <f t="shared" si="1"/>
        <v>1</v>
      </c>
      <c r="AB30">
        <v>5138</v>
      </c>
      <c r="AC30" t="s">
        <v>61</v>
      </c>
      <c r="AD30" t="s">
        <v>83</v>
      </c>
      <c r="AE30">
        <v>3.1192839999999999</v>
      </c>
      <c r="AF30" t="s">
        <v>84</v>
      </c>
      <c r="AG30">
        <v>95.377374000000003</v>
      </c>
      <c r="AH30" t="s">
        <v>61</v>
      </c>
      <c r="AI30" t="s">
        <v>62</v>
      </c>
      <c r="AJ30">
        <v>3.680161</v>
      </c>
      <c r="AK30" t="s">
        <v>84</v>
      </c>
      <c r="AL30">
        <v>104.66143599999999</v>
      </c>
      <c r="AM30" s="4" t="s">
        <v>65</v>
      </c>
      <c r="AN30" s="5">
        <v>6998.4076125069396</v>
      </c>
      <c r="AO30" s="4" t="s">
        <v>65</v>
      </c>
      <c r="AP30" s="6">
        <v>2352</v>
      </c>
      <c r="AQ30">
        <v>4</v>
      </c>
      <c r="AR30">
        <v>10393.141024</v>
      </c>
      <c r="AS30" t="s">
        <v>66</v>
      </c>
      <c r="AT30" t="s">
        <v>53</v>
      </c>
    </row>
    <row r="31" spans="1:46">
      <c r="A31">
        <v>346</v>
      </c>
      <c r="B31" t="s">
        <v>46</v>
      </c>
      <c r="C31">
        <v>5</v>
      </c>
      <c r="D31">
        <v>142</v>
      </c>
      <c r="E31" t="s">
        <v>157</v>
      </c>
      <c r="F31" t="s">
        <v>48</v>
      </c>
      <c r="G31">
        <v>5142</v>
      </c>
      <c r="H31">
        <v>5142</v>
      </c>
      <c r="I31" t="s">
        <v>49</v>
      </c>
      <c r="J31">
        <v>502</v>
      </c>
      <c r="K31" t="s">
        <v>158</v>
      </c>
      <c r="L31" t="s">
        <v>69</v>
      </c>
      <c r="M31" t="s">
        <v>53</v>
      </c>
      <c r="N31">
        <v>4781</v>
      </c>
      <c r="O31" t="s">
        <v>53</v>
      </c>
      <c r="P31" t="s">
        <v>70</v>
      </c>
      <c r="Q31" t="s">
        <v>71</v>
      </c>
      <c r="R31" t="s">
        <v>56</v>
      </c>
      <c r="S31" t="s">
        <v>57</v>
      </c>
      <c r="T31" t="s">
        <v>58</v>
      </c>
      <c r="U31" t="s">
        <v>81</v>
      </c>
      <c r="V31">
        <v>0.55480099999999999</v>
      </c>
      <c r="W31" t="s">
        <v>53</v>
      </c>
      <c r="X31" t="s">
        <v>53</v>
      </c>
      <c r="Y31" t="s">
        <v>87</v>
      </c>
      <c r="Z31" t="str">
        <f t="shared" si="0"/>
        <v>Mayor que 40 - hasta 50</v>
      </c>
      <c r="AA31">
        <f t="shared" si="1"/>
        <v>1</v>
      </c>
      <c r="AB31">
        <v>5142</v>
      </c>
      <c r="AC31" t="s">
        <v>61</v>
      </c>
      <c r="AD31" t="s">
        <v>159</v>
      </c>
      <c r="AE31">
        <v>1.2535970000000001</v>
      </c>
      <c r="AF31" t="s">
        <v>76</v>
      </c>
      <c r="AG31">
        <v>53.615642000000001</v>
      </c>
      <c r="AH31" t="s">
        <v>61</v>
      </c>
      <c r="AI31" t="s">
        <v>62</v>
      </c>
      <c r="AJ31">
        <v>3.0706989999999998</v>
      </c>
      <c r="AK31" t="s">
        <v>84</v>
      </c>
      <c r="AL31">
        <v>124.646717</v>
      </c>
      <c r="AM31" s="4" t="s">
        <v>64</v>
      </c>
      <c r="AN31" s="5">
        <v>16342.67665428779</v>
      </c>
      <c r="AO31" s="4" t="s">
        <v>65</v>
      </c>
      <c r="AP31" s="6">
        <v>485</v>
      </c>
      <c r="AQ31">
        <v>4</v>
      </c>
      <c r="AR31">
        <v>17950.558593000002</v>
      </c>
      <c r="AS31" t="s">
        <v>66</v>
      </c>
      <c r="AT31" t="s">
        <v>53</v>
      </c>
    </row>
    <row r="32" spans="1:46">
      <c r="A32">
        <v>345</v>
      </c>
      <c r="B32" t="s">
        <v>46</v>
      </c>
      <c r="C32">
        <v>5</v>
      </c>
      <c r="D32">
        <v>145</v>
      </c>
      <c r="E32" t="s">
        <v>160</v>
      </c>
      <c r="F32" t="s">
        <v>48</v>
      </c>
      <c r="G32">
        <v>5145</v>
      </c>
      <c r="H32">
        <v>5145</v>
      </c>
      <c r="I32" t="s">
        <v>49</v>
      </c>
      <c r="J32">
        <v>507</v>
      </c>
      <c r="K32" t="s">
        <v>90</v>
      </c>
      <c r="L32" t="s">
        <v>91</v>
      </c>
      <c r="M32" t="s">
        <v>53</v>
      </c>
      <c r="N32">
        <v>4907</v>
      </c>
      <c r="O32" t="s">
        <v>53</v>
      </c>
      <c r="P32" t="s">
        <v>70</v>
      </c>
      <c r="Q32" t="s">
        <v>71</v>
      </c>
      <c r="R32" t="s">
        <v>93</v>
      </c>
      <c r="S32" t="s">
        <v>57</v>
      </c>
      <c r="T32" t="s">
        <v>58</v>
      </c>
      <c r="U32" t="s">
        <v>81</v>
      </c>
      <c r="V32">
        <v>0.53978700000000002</v>
      </c>
      <c r="W32">
        <v>2024</v>
      </c>
      <c r="X32" t="s">
        <v>144</v>
      </c>
      <c r="Y32" t="s">
        <v>145</v>
      </c>
      <c r="Z32" t="str">
        <f t="shared" si="0"/>
        <v>Mayor que 70 - hasta 80</v>
      </c>
      <c r="AA32">
        <f t="shared" si="1"/>
        <v>0</v>
      </c>
      <c r="AB32">
        <v>5145</v>
      </c>
      <c r="AC32" t="s">
        <v>161</v>
      </c>
      <c r="AD32" t="s">
        <v>162</v>
      </c>
      <c r="AE32">
        <v>2.3772579999999999</v>
      </c>
      <c r="AF32" t="s">
        <v>77</v>
      </c>
      <c r="AG32">
        <v>88.796255000000002</v>
      </c>
      <c r="AH32" t="s">
        <v>161</v>
      </c>
      <c r="AI32" t="s">
        <v>163</v>
      </c>
      <c r="AJ32">
        <v>2.5459489999999998</v>
      </c>
      <c r="AK32" t="s">
        <v>77</v>
      </c>
      <c r="AL32">
        <v>94.863159999999993</v>
      </c>
      <c r="AM32" t="s">
        <v>65</v>
      </c>
      <c r="AN32" s="7">
        <v>205.64588345462161</v>
      </c>
      <c r="AO32" t="s">
        <v>65</v>
      </c>
      <c r="AP32" s="3">
        <v>260</v>
      </c>
      <c r="AQ32">
        <v>2</v>
      </c>
      <c r="AR32">
        <v>176.712805</v>
      </c>
      <c r="AS32" t="s">
        <v>66</v>
      </c>
      <c r="AT32" t="s">
        <v>53</v>
      </c>
    </row>
    <row r="33" spans="1:46">
      <c r="A33">
        <v>344</v>
      </c>
      <c r="B33" t="s">
        <v>46</v>
      </c>
      <c r="C33">
        <v>5</v>
      </c>
      <c r="D33">
        <v>147</v>
      </c>
      <c r="E33" t="s">
        <v>164</v>
      </c>
      <c r="F33" t="s">
        <v>48</v>
      </c>
      <c r="G33">
        <v>5147</v>
      </c>
      <c r="H33">
        <v>5147</v>
      </c>
      <c r="I33" t="s">
        <v>49</v>
      </c>
      <c r="J33">
        <v>508</v>
      </c>
      <c r="K33" t="s">
        <v>124</v>
      </c>
      <c r="L33" t="s">
        <v>91</v>
      </c>
      <c r="M33" t="s">
        <v>53</v>
      </c>
      <c r="N33">
        <v>51777</v>
      </c>
      <c r="O33" t="s">
        <v>53</v>
      </c>
      <c r="P33" t="s">
        <v>92</v>
      </c>
      <c r="Q33" t="s">
        <v>71</v>
      </c>
      <c r="R33" t="s">
        <v>105</v>
      </c>
      <c r="S33" t="s">
        <v>126</v>
      </c>
      <c r="T33" t="s">
        <v>73</v>
      </c>
      <c r="U33" t="s">
        <v>119</v>
      </c>
      <c r="V33">
        <v>0.38557000000000002</v>
      </c>
      <c r="W33" t="s">
        <v>53</v>
      </c>
      <c r="X33" t="s">
        <v>53</v>
      </c>
      <c r="Y33" t="s">
        <v>165</v>
      </c>
      <c r="Z33" t="str">
        <f t="shared" si="0"/>
        <v>Mayor que 60 - hasta 70</v>
      </c>
      <c r="AA33">
        <f t="shared" si="1"/>
        <v>1</v>
      </c>
      <c r="AB33">
        <v>5147</v>
      </c>
      <c r="AC33" t="s">
        <v>61</v>
      </c>
      <c r="AD33" t="s">
        <v>164</v>
      </c>
      <c r="AE33">
        <v>0</v>
      </c>
      <c r="AF33" t="s">
        <v>63</v>
      </c>
      <c r="AG33">
        <v>0</v>
      </c>
      <c r="AH33" t="s">
        <v>129</v>
      </c>
      <c r="AI33" t="s">
        <v>130</v>
      </c>
      <c r="AJ33">
        <v>4.6744159999999999</v>
      </c>
      <c r="AK33" t="s">
        <v>85</v>
      </c>
      <c r="AL33">
        <v>242.10621900000001</v>
      </c>
      <c r="AM33" s="4" t="s">
        <v>64</v>
      </c>
      <c r="AN33" s="5">
        <v>26898.576461475881</v>
      </c>
      <c r="AO33" s="4" t="s">
        <v>65</v>
      </c>
      <c r="AP33" s="6">
        <v>1699</v>
      </c>
      <c r="AQ33">
        <v>3</v>
      </c>
      <c r="AR33">
        <v>13713.227714000001</v>
      </c>
      <c r="AS33" t="s">
        <v>66</v>
      </c>
      <c r="AT33" t="s">
        <v>53</v>
      </c>
    </row>
    <row r="34" spans="1:46">
      <c r="A34">
        <v>343</v>
      </c>
      <c r="B34" t="s">
        <v>46</v>
      </c>
      <c r="C34">
        <v>5</v>
      </c>
      <c r="D34">
        <v>148</v>
      </c>
      <c r="E34" t="s">
        <v>166</v>
      </c>
      <c r="F34" t="s">
        <v>48</v>
      </c>
      <c r="G34">
        <v>5148</v>
      </c>
      <c r="H34">
        <v>5148</v>
      </c>
      <c r="I34" t="s">
        <v>49</v>
      </c>
      <c r="J34">
        <v>506</v>
      </c>
      <c r="K34" t="s">
        <v>68</v>
      </c>
      <c r="L34" t="s">
        <v>91</v>
      </c>
      <c r="M34" t="s">
        <v>53</v>
      </c>
      <c r="N34">
        <v>63761</v>
      </c>
      <c r="O34" t="s">
        <v>53</v>
      </c>
      <c r="P34" t="s">
        <v>92</v>
      </c>
      <c r="Q34" t="s">
        <v>134</v>
      </c>
      <c r="R34" t="s">
        <v>105</v>
      </c>
      <c r="S34" t="s">
        <v>57</v>
      </c>
      <c r="T34" t="s">
        <v>58</v>
      </c>
      <c r="U34" t="s">
        <v>59</v>
      </c>
      <c r="V34">
        <v>0.24152899999999999</v>
      </c>
      <c r="W34" t="s">
        <v>53</v>
      </c>
      <c r="X34" t="s">
        <v>53</v>
      </c>
      <c r="Y34" t="s">
        <v>167</v>
      </c>
      <c r="Z34" t="str">
        <f t="shared" si="0"/>
        <v>Mayor que 50 - hasta 60</v>
      </c>
      <c r="AA34">
        <f t="shared" si="1"/>
        <v>1</v>
      </c>
      <c r="AB34">
        <v>5148</v>
      </c>
      <c r="AC34" t="s">
        <v>61</v>
      </c>
      <c r="AD34" t="s">
        <v>168</v>
      </c>
      <c r="AE34">
        <v>0</v>
      </c>
      <c r="AF34" t="s">
        <v>63</v>
      </c>
      <c r="AG34">
        <v>0</v>
      </c>
      <c r="AH34" t="s">
        <v>61</v>
      </c>
      <c r="AI34" t="s">
        <v>62</v>
      </c>
      <c r="AJ34">
        <v>1.373767</v>
      </c>
      <c r="AK34" t="s">
        <v>76</v>
      </c>
      <c r="AL34">
        <v>52.898485000000001</v>
      </c>
      <c r="AM34" s="4" t="s">
        <v>65</v>
      </c>
      <c r="AN34" s="5">
        <v>10924.414627411799</v>
      </c>
      <c r="AO34" s="4" t="s">
        <v>65</v>
      </c>
      <c r="AP34" s="6">
        <v>6800</v>
      </c>
      <c r="AQ34">
        <v>2</v>
      </c>
      <c r="AR34">
        <v>7247.4108759999999</v>
      </c>
      <c r="AS34" t="s">
        <v>66</v>
      </c>
      <c r="AT34" t="s">
        <v>53</v>
      </c>
    </row>
    <row r="35" spans="1:46">
      <c r="A35">
        <v>342</v>
      </c>
      <c r="B35" t="s">
        <v>46</v>
      </c>
      <c r="C35">
        <v>5</v>
      </c>
      <c r="D35">
        <v>150</v>
      </c>
      <c r="E35" t="s">
        <v>169</v>
      </c>
      <c r="F35" t="s">
        <v>48</v>
      </c>
      <c r="G35">
        <v>5150</v>
      </c>
      <c r="H35">
        <v>5150</v>
      </c>
      <c r="I35" t="s">
        <v>49</v>
      </c>
      <c r="J35">
        <v>504</v>
      </c>
      <c r="K35" t="s">
        <v>112</v>
      </c>
      <c r="L35" t="s">
        <v>69</v>
      </c>
      <c r="M35" t="s">
        <v>53</v>
      </c>
      <c r="N35">
        <v>4174</v>
      </c>
      <c r="O35" t="s">
        <v>53</v>
      </c>
      <c r="P35" t="s">
        <v>70</v>
      </c>
      <c r="Q35" t="s">
        <v>71</v>
      </c>
      <c r="R35" t="s">
        <v>93</v>
      </c>
      <c r="S35" t="s">
        <v>57</v>
      </c>
      <c r="T35" t="s">
        <v>58</v>
      </c>
      <c r="U35" t="s">
        <v>59</v>
      </c>
      <c r="V35">
        <v>0.44748199999999999</v>
      </c>
      <c r="W35" t="s">
        <v>53</v>
      </c>
      <c r="X35" t="s">
        <v>53</v>
      </c>
      <c r="Y35" t="s">
        <v>165</v>
      </c>
      <c r="Z35" t="str">
        <f t="shared" si="0"/>
        <v>Mayor que 60 - hasta 70</v>
      </c>
      <c r="AA35">
        <f t="shared" si="1"/>
        <v>1</v>
      </c>
      <c r="AB35">
        <v>5150</v>
      </c>
      <c r="AC35" t="s">
        <v>61</v>
      </c>
      <c r="AD35" t="s">
        <v>88</v>
      </c>
      <c r="AE35">
        <v>1.1643490000000001</v>
      </c>
      <c r="AF35" t="s">
        <v>76</v>
      </c>
      <c r="AG35">
        <v>51.454120000000003</v>
      </c>
      <c r="AH35" t="s">
        <v>61</v>
      </c>
      <c r="AI35" t="s">
        <v>62</v>
      </c>
      <c r="AJ35">
        <v>2.2501449999999998</v>
      </c>
      <c r="AK35" t="s">
        <v>77</v>
      </c>
      <c r="AL35">
        <v>90.001638</v>
      </c>
      <c r="AM35" s="4" t="s">
        <v>64</v>
      </c>
      <c r="AN35" s="5">
        <v>6989.9814809984573</v>
      </c>
      <c r="AO35" s="4" t="s">
        <v>65</v>
      </c>
      <c r="AP35" s="6">
        <v>459</v>
      </c>
      <c r="AQ35">
        <v>3</v>
      </c>
      <c r="AR35">
        <v>9278.2166369999995</v>
      </c>
      <c r="AS35" t="s">
        <v>66</v>
      </c>
      <c r="AT35" t="s">
        <v>53</v>
      </c>
    </row>
    <row r="36" spans="1:46">
      <c r="A36">
        <v>341</v>
      </c>
      <c r="B36" t="s">
        <v>46</v>
      </c>
      <c r="C36">
        <v>5</v>
      </c>
      <c r="D36">
        <v>154</v>
      </c>
      <c r="E36" t="s">
        <v>153</v>
      </c>
      <c r="F36" t="s">
        <v>48</v>
      </c>
      <c r="G36">
        <v>5154</v>
      </c>
      <c r="H36">
        <v>5154</v>
      </c>
      <c r="I36" t="s">
        <v>49</v>
      </c>
      <c r="J36">
        <v>501</v>
      </c>
      <c r="K36" t="s">
        <v>152</v>
      </c>
      <c r="L36" t="s">
        <v>51</v>
      </c>
      <c r="M36" t="s">
        <v>53</v>
      </c>
      <c r="N36">
        <v>97025</v>
      </c>
      <c r="O36" t="s">
        <v>53</v>
      </c>
      <c r="P36" t="s">
        <v>92</v>
      </c>
      <c r="Q36" t="s">
        <v>118</v>
      </c>
      <c r="R36" t="s">
        <v>122</v>
      </c>
      <c r="S36" t="s">
        <v>100</v>
      </c>
      <c r="T36" t="s">
        <v>73</v>
      </c>
      <c r="U36" t="s">
        <v>101</v>
      </c>
      <c r="V36">
        <v>0.50239400000000001</v>
      </c>
      <c r="W36" t="s">
        <v>53</v>
      </c>
      <c r="X36" t="s">
        <v>53</v>
      </c>
      <c r="Y36" t="s">
        <v>165</v>
      </c>
      <c r="Z36" t="str">
        <f t="shared" si="0"/>
        <v>Mayor que 60 - hasta 70</v>
      </c>
      <c r="AA36">
        <f t="shared" si="1"/>
        <v>1</v>
      </c>
      <c r="AB36">
        <v>5154</v>
      </c>
      <c r="AC36" t="s">
        <v>61</v>
      </c>
      <c r="AD36" t="s">
        <v>153</v>
      </c>
      <c r="AE36">
        <v>0</v>
      </c>
      <c r="AF36" t="s">
        <v>63</v>
      </c>
      <c r="AG36">
        <v>0</v>
      </c>
      <c r="AH36" t="s">
        <v>129</v>
      </c>
      <c r="AI36" t="s">
        <v>130</v>
      </c>
      <c r="AJ36">
        <v>2.4127260000000001</v>
      </c>
      <c r="AK36" t="s">
        <v>77</v>
      </c>
      <c r="AL36">
        <v>126.236876</v>
      </c>
      <c r="AM36" s="4" t="s">
        <v>64</v>
      </c>
      <c r="AN36" s="5">
        <v>79679.996806130395</v>
      </c>
      <c r="AO36" s="4" t="s">
        <v>64</v>
      </c>
      <c r="AP36" s="6">
        <v>1123</v>
      </c>
      <c r="AQ36">
        <v>3</v>
      </c>
      <c r="AR36">
        <v>113822.554453</v>
      </c>
      <c r="AS36" t="s">
        <v>66</v>
      </c>
      <c r="AT36" t="s">
        <v>53</v>
      </c>
    </row>
    <row r="37" spans="1:46">
      <c r="A37">
        <v>340</v>
      </c>
      <c r="B37" t="s">
        <v>46</v>
      </c>
      <c r="C37">
        <v>5</v>
      </c>
      <c r="D37">
        <v>172</v>
      </c>
      <c r="E37" t="s">
        <v>170</v>
      </c>
      <c r="F37" t="s">
        <v>48</v>
      </c>
      <c r="G37">
        <v>5172</v>
      </c>
      <c r="H37">
        <v>5172</v>
      </c>
      <c r="I37" t="s">
        <v>49</v>
      </c>
      <c r="J37">
        <v>508</v>
      </c>
      <c r="K37" t="s">
        <v>124</v>
      </c>
      <c r="L37" t="s">
        <v>91</v>
      </c>
      <c r="M37" t="s">
        <v>53</v>
      </c>
      <c r="N37">
        <v>61741</v>
      </c>
      <c r="O37" t="s">
        <v>53</v>
      </c>
      <c r="P37" t="s">
        <v>92</v>
      </c>
      <c r="Q37" t="s">
        <v>71</v>
      </c>
      <c r="R37" t="s">
        <v>122</v>
      </c>
      <c r="S37" t="s">
        <v>126</v>
      </c>
      <c r="T37" t="s">
        <v>73</v>
      </c>
      <c r="U37" t="s">
        <v>119</v>
      </c>
      <c r="V37">
        <v>0.65584200000000004</v>
      </c>
      <c r="W37" t="s">
        <v>53</v>
      </c>
      <c r="X37" t="s">
        <v>53</v>
      </c>
      <c r="Y37" t="s">
        <v>87</v>
      </c>
      <c r="Z37" t="str">
        <f t="shared" si="0"/>
        <v>Mayor que 40 - hasta 50</v>
      </c>
      <c r="AA37">
        <f t="shared" si="1"/>
        <v>1</v>
      </c>
      <c r="AB37">
        <v>5172</v>
      </c>
      <c r="AC37" t="s">
        <v>61</v>
      </c>
      <c r="AD37" t="s">
        <v>171</v>
      </c>
      <c r="AE37">
        <v>0</v>
      </c>
      <c r="AF37" t="s">
        <v>63</v>
      </c>
      <c r="AG37">
        <v>0</v>
      </c>
      <c r="AH37" t="s">
        <v>129</v>
      </c>
      <c r="AI37" t="s">
        <v>130</v>
      </c>
      <c r="AJ37">
        <v>4.8726919999999998</v>
      </c>
      <c r="AK37" t="s">
        <v>85</v>
      </c>
      <c r="AL37">
        <v>252.51748900000001</v>
      </c>
      <c r="AM37" s="4" t="s">
        <v>64</v>
      </c>
      <c r="AN37" s="5">
        <v>35424.367500073597</v>
      </c>
      <c r="AO37" s="4" t="s">
        <v>65</v>
      </c>
      <c r="AP37" s="6">
        <v>1255</v>
      </c>
      <c r="AQ37">
        <v>1</v>
      </c>
      <c r="AR37">
        <v>29802.865588000001</v>
      </c>
      <c r="AS37" t="s">
        <v>66</v>
      </c>
      <c r="AT37" t="s">
        <v>53</v>
      </c>
    </row>
    <row r="38" spans="1:46">
      <c r="A38">
        <v>339</v>
      </c>
      <c r="B38" t="s">
        <v>46</v>
      </c>
      <c r="C38">
        <v>5</v>
      </c>
      <c r="D38">
        <v>190</v>
      </c>
      <c r="E38" t="s">
        <v>172</v>
      </c>
      <c r="F38" t="s">
        <v>48</v>
      </c>
      <c r="G38">
        <v>5190</v>
      </c>
      <c r="H38">
        <v>5190</v>
      </c>
      <c r="I38" t="s">
        <v>49</v>
      </c>
      <c r="J38">
        <v>503</v>
      </c>
      <c r="K38" t="s">
        <v>99</v>
      </c>
      <c r="L38" t="s">
        <v>91</v>
      </c>
      <c r="M38" t="s">
        <v>53</v>
      </c>
      <c r="N38">
        <v>10326</v>
      </c>
      <c r="O38" t="s">
        <v>53</v>
      </c>
      <c r="P38" t="s">
        <v>70</v>
      </c>
      <c r="Q38" t="s">
        <v>71</v>
      </c>
      <c r="R38" t="s">
        <v>105</v>
      </c>
      <c r="S38" t="s">
        <v>57</v>
      </c>
      <c r="T38" t="s">
        <v>58</v>
      </c>
      <c r="U38" t="s">
        <v>59</v>
      </c>
      <c r="V38">
        <v>0.58722399999999997</v>
      </c>
      <c r="W38" t="s">
        <v>53</v>
      </c>
      <c r="X38" t="s">
        <v>53</v>
      </c>
      <c r="Y38" t="s">
        <v>87</v>
      </c>
      <c r="Z38" t="str">
        <f t="shared" si="0"/>
        <v>Mayor que 40 - hasta 50</v>
      </c>
      <c r="AA38">
        <f t="shared" si="1"/>
        <v>1</v>
      </c>
      <c r="AB38">
        <v>5190</v>
      </c>
      <c r="AC38" t="s">
        <v>61</v>
      </c>
      <c r="AD38" t="s">
        <v>88</v>
      </c>
      <c r="AE38">
        <v>0.71915499999999999</v>
      </c>
      <c r="AF38" t="s">
        <v>63</v>
      </c>
      <c r="AG38">
        <v>35.867618999999998</v>
      </c>
      <c r="AH38" t="s">
        <v>61</v>
      </c>
      <c r="AI38" t="s">
        <v>62</v>
      </c>
      <c r="AJ38">
        <v>1.804951</v>
      </c>
      <c r="AK38" t="s">
        <v>76</v>
      </c>
      <c r="AL38">
        <v>74.415137000000001</v>
      </c>
      <c r="AM38" s="4" t="s">
        <v>64</v>
      </c>
      <c r="AN38" s="5">
        <v>2162.8803489396596</v>
      </c>
      <c r="AO38" s="4" t="s">
        <v>65</v>
      </c>
      <c r="AP38" s="6">
        <v>545</v>
      </c>
      <c r="AQ38">
        <v>4</v>
      </c>
      <c r="AR38">
        <v>2317.8589299999999</v>
      </c>
      <c r="AS38" t="s">
        <v>66</v>
      </c>
      <c r="AT38" t="s">
        <v>53</v>
      </c>
    </row>
    <row r="39" spans="1:46">
      <c r="A39">
        <v>338</v>
      </c>
      <c r="B39" t="s">
        <v>46</v>
      </c>
      <c r="C39">
        <v>5</v>
      </c>
      <c r="D39">
        <v>197</v>
      </c>
      <c r="E39" t="s">
        <v>173</v>
      </c>
      <c r="F39" t="s">
        <v>48</v>
      </c>
      <c r="G39">
        <v>5197</v>
      </c>
      <c r="H39">
        <v>5197</v>
      </c>
      <c r="I39" t="s">
        <v>49</v>
      </c>
      <c r="J39">
        <v>506</v>
      </c>
      <c r="K39" t="s">
        <v>68</v>
      </c>
      <c r="L39" t="s">
        <v>69</v>
      </c>
      <c r="M39" t="s">
        <v>53</v>
      </c>
      <c r="N39">
        <v>16390</v>
      </c>
      <c r="O39" t="s">
        <v>53</v>
      </c>
      <c r="P39" t="s">
        <v>70</v>
      </c>
      <c r="Q39" t="s">
        <v>71</v>
      </c>
      <c r="R39" t="s">
        <v>72</v>
      </c>
      <c r="S39" t="s">
        <v>57</v>
      </c>
      <c r="T39" t="s">
        <v>73</v>
      </c>
      <c r="U39" t="s">
        <v>119</v>
      </c>
      <c r="V39">
        <v>0.68110400000000004</v>
      </c>
      <c r="W39" t="s">
        <v>53</v>
      </c>
      <c r="X39" t="s">
        <v>53</v>
      </c>
      <c r="Y39" t="s">
        <v>167</v>
      </c>
      <c r="Z39" t="str">
        <f t="shared" si="0"/>
        <v>Mayor que 50 - hasta 60</v>
      </c>
      <c r="AA39">
        <f t="shared" si="1"/>
        <v>1</v>
      </c>
      <c r="AB39">
        <v>5197</v>
      </c>
      <c r="AC39" t="s">
        <v>61</v>
      </c>
      <c r="AD39" t="s">
        <v>174</v>
      </c>
      <c r="AE39">
        <v>0.57848200000000005</v>
      </c>
      <c r="AF39" t="s">
        <v>63</v>
      </c>
      <c r="AG39">
        <v>21.596551000000002</v>
      </c>
      <c r="AH39" t="s">
        <v>61</v>
      </c>
      <c r="AI39" t="s">
        <v>62</v>
      </c>
      <c r="AJ39">
        <v>2.0249860000000002</v>
      </c>
      <c r="AK39" t="s">
        <v>77</v>
      </c>
      <c r="AL39">
        <v>80.964884999999995</v>
      </c>
      <c r="AM39" s="4" t="s">
        <v>65</v>
      </c>
      <c r="AN39" s="5">
        <v>14694.069077355722</v>
      </c>
      <c r="AO39" s="4" t="s">
        <v>65</v>
      </c>
      <c r="AP39" s="6">
        <v>5632</v>
      </c>
      <c r="AQ39">
        <v>4</v>
      </c>
      <c r="AR39">
        <v>12887.049199999999</v>
      </c>
      <c r="AS39" t="s">
        <v>66</v>
      </c>
      <c r="AT39" t="s">
        <v>53</v>
      </c>
    </row>
    <row r="40" spans="1:46">
      <c r="A40">
        <v>337</v>
      </c>
      <c r="B40" t="s">
        <v>46</v>
      </c>
      <c r="C40">
        <v>5</v>
      </c>
      <c r="D40">
        <v>206</v>
      </c>
      <c r="E40" t="s">
        <v>175</v>
      </c>
      <c r="F40" t="s">
        <v>48</v>
      </c>
      <c r="G40">
        <v>5206</v>
      </c>
      <c r="H40">
        <v>5206</v>
      </c>
      <c r="I40" t="s">
        <v>49</v>
      </c>
      <c r="J40">
        <v>506</v>
      </c>
      <c r="K40" t="s">
        <v>68</v>
      </c>
      <c r="L40" t="s">
        <v>69</v>
      </c>
      <c r="M40" t="s">
        <v>53</v>
      </c>
      <c r="N40">
        <v>5020</v>
      </c>
      <c r="O40" t="s">
        <v>53</v>
      </c>
      <c r="P40" t="s">
        <v>70</v>
      </c>
      <c r="Q40" t="s">
        <v>71</v>
      </c>
      <c r="R40" t="s">
        <v>105</v>
      </c>
      <c r="S40" t="s">
        <v>57</v>
      </c>
      <c r="T40" t="s">
        <v>73</v>
      </c>
      <c r="U40" t="s">
        <v>59</v>
      </c>
      <c r="V40">
        <v>0.55643299999999996</v>
      </c>
      <c r="W40">
        <v>2017</v>
      </c>
      <c r="X40" t="s">
        <v>176</v>
      </c>
      <c r="Y40" t="s">
        <v>177</v>
      </c>
      <c r="Z40" t="str">
        <f t="shared" si="0"/>
        <v>Mayor que 20 - hasta 30</v>
      </c>
      <c r="AA40">
        <f t="shared" si="1"/>
        <v>0</v>
      </c>
      <c r="AB40">
        <v>5206</v>
      </c>
      <c r="AC40" t="s">
        <v>61</v>
      </c>
      <c r="AD40" t="s">
        <v>88</v>
      </c>
      <c r="AE40">
        <v>0.74561999999999995</v>
      </c>
      <c r="AF40" t="s">
        <v>63</v>
      </c>
      <c r="AG40">
        <v>13.402438999999999</v>
      </c>
      <c r="AH40" t="s">
        <v>61</v>
      </c>
      <c r="AI40" t="s">
        <v>62</v>
      </c>
      <c r="AJ40">
        <v>1.8081689999999999</v>
      </c>
      <c r="AK40" t="s">
        <v>76</v>
      </c>
      <c r="AL40">
        <v>51.418585999999998</v>
      </c>
      <c r="AM40" t="s">
        <v>64</v>
      </c>
      <c r="AN40" s="7">
        <v>5749.8965712044146</v>
      </c>
      <c r="AO40" t="s">
        <v>65</v>
      </c>
      <c r="AP40" s="3">
        <v>1416</v>
      </c>
      <c r="AQ40">
        <v>3</v>
      </c>
      <c r="AR40">
        <v>10273.026895000001</v>
      </c>
      <c r="AS40" t="s">
        <v>66</v>
      </c>
      <c r="AT40" t="s">
        <v>137</v>
      </c>
    </row>
    <row r="41" spans="1:46">
      <c r="A41">
        <v>336</v>
      </c>
      <c r="B41" t="s">
        <v>46</v>
      </c>
      <c r="C41">
        <v>5</v>
      </c>
      <c r="D41">
        <v>209</v>
      </c>
      <c r="E41" t="s">
        <v>178</v>
      </c>
      <c r="F41" t="s">
        <v>48</v>
      </c>
      <c r="G41">
        <v>5209</v>
      </c>
      <c r="H41">
        <v>5209</v>
      </c>
      <c r="I41" t="s">
        <v>49</v>
      </c>
      <c r="J41">
        <v>507</v>
      </c>
      <c r="K41" t="s">
        <v>90</v>
      </c>
      <c r="L41" t="s">
        <v>91</v>
      </c>
      <c r="M41" t="s">
        <v>53</v>
      </c>
      <c r="N41">
        <v>22540</v>
      </c>
      <c r="O41" t="s">
        <v>53</v>
      </c>
      <c r="P41" t="s">
        <v>70</v>
      </c>
      <c r="Q41" t="s">
        <v>71</v>
      </c>
      <c r="R41" t="s">
        <v>122</v>
      </c>
      <c r="S41" t="s">
        <v>57</v>
      </c>
      <c r="T41" t="s">
        <v>58</v>
      </c>
      <c r="U41" t="s">
        <v>59</v>
      </c>
      <c r="V41">
        <v>0.49070200000000003</v>
      </c>
      <c r="W41">
        <v>2024</v>
      </c>
      <c r="X41" t="s">
        <v>144</v>
      </c>
      <c r="Y41" t="s">
        <v>145</v>
      </c>
      <c r="Z41" t="str">
        <f t="shared" si="0"/>
        <v>Mayor que 70 - hasta 80</v>
      </c>
      <c r="AA41">
        <f t="shared" si="1"/>
        <v>0</v>
      </c>
      <c r="AB41">
        <v>5209</v>
      </c>
      <c r="AC41" t="s">
        <v>61</v>
      </c>
      <c r="AD41" t="s">
        <v>96</v>
      </c>
      <c r="AE41">
        <v>1.6733880000000001</v>
      </c>
      <c r="AF41" t="s">
        <v>76</v>
      </c>
      <c r="AG41">
        <v>59.147013000000001</v>
      </c>
      <c r="AH41" t="s">
        <v>61</v>
      </c>
      <c r="AI41" t="s">
        <v>62</v>
      </c>
      <c r="AJ41">
        <v>2.1490680000000002</v>
      </c>
      <c r="AK41" t="s">
        <v>77</v>
      </c>
      <c r="AL41">
        <v>82.353615000000005</v>
      </c>
      <c r="AM41" t="s">
        <v>65</v>
      </c>
      <c r="AN41" s="7">
        <v>1247.9042793929671</v>
      </c>
      <c r="AO41" t="s">
        <v>65</v>
      </c>
      <c r="AP41" s="3">
        <v>385</v>
      </c>
      <c r="AQ41">
        <v>4</v>
      </c>
      <c r="AR41">
        <v>1608.5656509999999</v>
      </c>
      <c r="AS41" t="s">
        <v>66</v>
      </c>
      <c r="AT41" t="s">
        <v>53</v>
      </c>
    </row>
    <row r="42" spans="1:46">
      <c r="A42">
        <v>335</v>
      </c>
      <c r="B42" t="s">
        <v>46</v>
      </c>
      <c r="C42">
        <v>5</v>
      </c>
      <c r="D42">
        <v>212</v>
      </c>
      <c r="E42" t="s">
        <v>179</v>
      </c>
      <c r="F42" t="s">
        <v>48</v>
      </c>
      <c r="G42">
        <v>5212</v>
      </c>
      <c r="H42">
        <v>5212</v>
      </c>
      <c r="I42" t="s">
        <v>49</v>
      </c>
      <c r="J42">
        <v>509</v>
      </c>
      <c r="K42" t="s">
        <v>50</v>
      </c>
      <c r="L42" t="s">
        <v>51</v>
      </c>
      <c r="M42" t="s">
        <v>53</v>
      </c>
      <c r="N42">
        <v>83559</v>
      </c>
      <c r="O42" t="s">
        <v>53</v>
      </c>
      <c r="P42" t="s">
        <v>92</v>
      </c>
      <c r="Q42" t="s">
        <v>125</v>
      </c>
      <c r="R42" t="s">
        <v>105</v>
      </c>
      <c r="S42" t="s">
        <v>57</v>
      </c>
      <c r="T42" t="s">
        <v>58</v>
      </c>
      <c r="U42" t="s">
        <v>81</v>
      </c>
      <c r="V42">
        <v>0.22087499999999999</v>
      </c>
      <c r="W42" t="s">
        <v>53</v>
      </c>
      <c r="X42" t="s">
        <v>53</v>
      </c>
      <c r="Y42" t="s">
        <v>139</v>
      </c>
      <c r="Z42" t="str">
        <f t="shared" si="0"/>
        <v>Mayor que 300 - hasta 400</v>
      </c>
      <c r="AA42">
        <f t="shared" si="1"/>
        <v>1</v>
      </c>
      <c r="AB42">
        <v>5212</v>
      </c>
      <c r="AC42" t="s">
        <v>61</v>
      </c>
      <c r="AD42" t="s">
        <v>179</v>
      </c>
      <c r="AE42">
        <v>0</v>
      </c>
      <c r="AF42" t="s">
        <v>63</v>
      </c>
      <c r="AG42">
        <v>0</v>
      </c>
      <c r="AH42" t="s">
        <v>61</v>
      </c>
      <c r="AI42" t="s">
        <v>62</v>
      </c>
      <c r="AJ42">
        <v>0.657443</v>
      </c>
      <c r="AK42" t="s">
        <v>63</v>
      </c>
      <c r="AL42">
        <v>14.429646</v>
      </c>
      <c r="AM42" s="4" t="s">
        <v>65</v>
      </c>
      <c r="AN42" s="5">
        <v>2599.3421709821232</v>
      </c>
      <c r="AO42" s="4" t="s">
        <v>65</v>
      </c>
      <c r="AP42" s="6">
        <v>1801</v>
      </c>
      <c r="AQ42">
        <v>4</v>
      </c>
      <c r="AR42">
        <v>3260.8815970000001</v>
      </c>
      <c r="AS42" t="s">
        <v>66</v>
      </c>
      <c r="AT42" t="s">
        <v>53</v>
      </c>
    </row>
    <row r="43" spans="1:46">
      <c r="A43">
        <v>397</v>
      </c>
      <c r="B43" t="s">
        <v>46</v>
      </c>
      <c r="C43">
        <v>5</v>
      </c>
      <c r="D43">
        <v>234</v>
      </c>
      <c r="E43" t="s">
        <v>180</v>
      </c>
      <c r="F43" t="s">
        <v>48</v>
      </c>
      <c r="G43">
        <v>5234</v>
      </c>
      <c r="H43">
        <v>5234</v>
      </c>
      <c r="I43" t="s">
        <v>49</v>
      </c>
      <c r="J43">
        <v>505</v>
      </c>
      <c r="K43" t="s">
        <v>79</v>
      </c>
      <c r="L43" t="s">
        <v>69</v>
      </c>
      <c r="M43" t="s">
        <v>53</v>
      </c>
      <c r="N43">
        <v>24377</v>
      </c>
      <c r="O43" t="s">
        <v>53</v>
      </c>
      <c r="P43" t="s">
        <v>70</v>
      </c>
      <c r="Q43" t="s">
        <v>71</v>
      </c>
      <c r="R43" t="s">
        <v>56</v>
      </c>
      <c r="S43" t="s">
        <v>126</v>
      </c>
      <c r="T43" t="s">
        <v>73</v>
      </c>
      <c r="U43" t="s">
        <v>101</v>
      </c>
      <c r="V43">
        <v>0.63197300000000001</v>
      </c>
      <c r="W43" t="s">
        <v>53</v>
      </c>
      <c r="X43" t="s">
        <v>53</v>
      </c>
      <c r="Y43" t="s">
        <v>167</v>
      </c>
      <c r="Z43" t="str">
        <f t="shared" si="0"/>
        <v>Mayor que 50 - hasta 60</v>
      </c>
      <c r="AA43">
        <f t="shared" si="1"/>
        <v>1</v>
      </c>
      <c r="AB43">
        <v>5234</v>
      </c>
      <c r="AC43" t="s">
        <v>61</v>
      </c>
      <c r="AD43" t="s">
        <v>171</v>
      </c>
      <c r="AE43">
        <v>3.2705220000000002</v>
      </c>
      <c r="AF43" t="s">
        <v>84</v>
      </c>
      <c r="AG43">
        <v>111.165599</v>
      </c>
      <c r="AH43" t="s">
        <v>61</v>
      </c>
      <c r="AI43" t="s">
        <v>62</v>
      </c>
      <c r="AJ43">
        <v>5.0043620000000004</v>
      </c>
      <c r="AK43" t="s">
        <v>181</v>
      </c>
      <c r="AL43">
        <v>148.19007199999999</v>
      </c>
      <c r="AM43" s="4" t="s">
        <v>64</v>
      </c>
      <c r="AN43" s="5">
        <v>28468.493523177374</v>
      </c>
      <c r="AO43" s="4" t="s">
        <v>65</v>
      </c>
      <c r="AP43" s="6">
        <v>1195</v>
      </c>
      <c r="AQ43">
        <v>3</v>
      </c>
      <c r="AR43">
        <v>30810.790164999999</v>
      </c>
      <c r="AS43" t="s">
        <v>66</v>
      </c>
      <c r="AT43" t="s">
        <v>53</v>
      </c>
    </row>
    <row r="44" spans="1:46">
      <c r="A44">
        <v>334</v>
      </c>
      <c r="B44" t="s">
        <v>46</v>
      </c>
      <c r="C44">
        <v>5</v>
      </c>
      <c r="D44">
        <v>237</v>
      </c>
      <c r="E44" t="s">
        <v>182</v>
      </c>
      <c r="F44" t="s">
        <v>48</v>
      </c>
      <c r="G44">
        <v>5237</v>
      </c>
      <c r="H44">
        <v>5237</v>
      </c>
      <c r="I44" t="s">
        <v>49</v>
      </c>
      <c r="J44">
        <v>504</v>
      </c>
      <c r="K44" t="s">
        <v>112</v>
      </c>
      <c r="L44" t="s">
        <v>91</v>
      </c>
      <c r="M44" t="s">
        <v>53</v>
      </c>
      <c r="N44">
        <v>20198</v>
      </c>
      <c r="O44" t="s">
        <v>53</v>
      </c>
      <c r="P44" t="s">
        <v>70</v>
      </c>
      <c r="Q44" t="s">
        <v>71</v>
      </c>
      <c r="R44" t="s">
        <v>93</v>
      </c>
      <c r="S44" t="s">
        <v>57</v>
      </c>
      <c r="T44" t="s">
        <v>58</v>
      </c>
      <c r="U44" t="s">
        <v>59</v>
      </c>
      <c r="V44">
        <v>0.41681099999999999</v>
      </c>
      <c r="W44">
        <v>2017</v>
      </c>
      <c r="X44" t="s">
        <v>109</v>
      </c>
      <c r="Y44" t="s">
        <v>183</v>
      </c>
      <c r="Z44" t="str">
        <f t="shared" si="0"/>
        <v>Mayor que 120 - hasta 140</v>
      </c>
      <c r="AA44">
        <f t="shared" si="1"/>
        <v>1</v>
      </c>
      <c r="AB44">
        <v>5237</v>
      </c>
      <c r="AC44" t="s">
        <v>61</v>
      </c>
      <c r="AD44" t="s">
        <v>88</v>
      </c>
      <c r="AE44">
        <v>0.58781899999999998</v>
      </c>
      <c r="AF44" t="s">
        <v>63</v>
      </c>
      <c r="AG44">
        <v>21.393606999999999</v>
      </c>
      <c r="AH44" t="s">
        <v>61</v>
      </c>
      <c r="AI44" t="s">
        <v>62</v>
      </c>
      <c r="AJ44">
        <v>1.3911100000000001</v>
      </c>
      <c r="AK44" t="s">
        <v>76</v>
      </c>
      <c r="AL44">
        <v>45.562950999999998</v>
      </c>
      <c r="AM44" t="s">
        <v>65</v>
      </c>
      <c r="AN44" s="7">
        <v>6792.9104607806776</v>
      </c>
      <c r="AO44" t="s">
        <v>65</v>
      </c>
      <c r="AP44" s="3">
        <v>1724</v>
      </c>
      <c r="AQ44">
        <v>3</v>
      </c>
      <c r="AR44">
        <v>7754.7500229999996</v>
      </c>
      <c r="AS44" t="s">
        <v>66</v>
      </c>
      <c r="AT44" t="s">
        <v>137</v>
      </c>
    </row>
    <row r="45" spans="1:46">
      <c r="A45">
        <v>333</v>
      </c>
      <c r="B45" t="s">
        <v>46</v>
      </c>
      <c r="C45">
        <v>5</v>
      </c>
      <c r="D45">
        <v>240</v>
      </c>
      <c r="E45" t="s">
        <v>184</v>
      </c>
      <c r="F45" t="s">
        <v>48</v>
      </c>
      <c r="G45">
        <v>5240</v>
      </c>
      <c r="H45">
        <v>5240</v>
      </c>
      <c r="I45" t="s">
        <v>49</v>
      </c>
      <c r="J45">
        <v>505</v>
      </c>
      <c r="K45" t="s">
        <v>79</v>
      </c>
      <c r="L45" t="s">
        <v>69</v>
      </c>
      <c r="M45" t="s">
        <v>53</v>
      </c>
      <c r="N45">
        <v>12713</v>
      </c>
      <c r="O45" t="s">
        <v>53</v>
      </c>
      <c r="P45" t="s">
        <v>70</v>
      </c>
      <c r="Q45" t="s">
        <v>71</v>
      </c>
      <c r="R45" t="s">
        <v>122</v>
      </c>
      <c r="S45" t="s">
        <v>57</v>
      </c>
      <c r="T45" t="s">
        <v>58</v>
      </c>
      <c r="U45" t="s">
        <v>59</v>
      </c>
      <c r="V45">
        <v>0.64028799999999997</v>
      </c>
      <c r="W45" t="s">
        <v>53</v>
      </c>
      <c r="X45" t="s">
        <v>53</v>
      </c>
      <c r="Y45" t="s">
        <v>120</v>
      </c>
      <c r="Z45" t="str">
        <f t="shared" si="0"/>
        <v>Mayor que 200 - hasta 250</v>
      </c>
      <c r="AA45">
        <f t="shared" si="1"/>
        <v>1</v>
      </c>
      <c r="AB45">
        <v>5240</v>
      </c>
      <c r="AC45" t="s">
        <v>61</v>
      </c>
      <c r="AD45" t="s">
        <v>83</v>
      </c>
      <c r="AE45">
        <v>2.0030429999999999</v>
      </c>
      <c r="AF45" t="s">
        <v>77</v>
      </c>
      <c r="AG45">
        <v>50.167113999999998</v>
      </c>
      <c r="AH45" t="s">
        <v>61</v>
      </c>
      <c r="AI45" t="s">
        <v>62</v>
      </c>
      <c r="AJ45">
        <v>2.0924130000000001</v>
      </c>
      <c r="AK45" t="s">
        <v>77</v>
      </c>
      <c r="AL45">
        <v>40.527417</v>
      </c>
      <c r="AM45" s="4" t="s">
        <v>97</v>
      </c>
      <c r="AN45" s="5">
        <v>8652.6450675915221</v>
      </c>
      <c r="AO45" s="4" t="s">
        <v>65</v>
      </c>
      <c r="AP45" s="6">
        <v>3572</v>
      </c>
      <c r="AQ45">
        <v>3</v>
      </c>
      <c r="AR45">
        <v>8818.5137630000008</v>
      </c>
      <c r="AS45" t="s">
        <v>66</v>
      </c>
      <c r="AT45" t="s">
        <v>53</v>
      </c>
    </row>
    <row r="46" spans="1:46">
      <c r="A46">
        <v>332</v>
      </c>
      <c r="B46" t="s">
        <v>46</v>
      </c>
      <c r="C46">
        <v>5</v>
      </c>
      <c r="D46">
        <v>250</v>
      </c>
      <c r="E46" t="s">
        <v>185</v>
      </c>
      <c r="F46" t="s">
        <v>48</v>
      </c>
      <c r="G46">
        <v>5250</v>
      </c>
      <c r="H46">
        <v>5250</v>
      </c>
      <c r="I46" t="s">
        <v>49</v>
      </c>
      <c r="J46">
        <v>501</v>
      </c>
      <c r="K46" t="s">
        <v>152</v>
      </c>
      <c r="L46" t="s">
        <v>91</v>
      </c>
      <c r="M46" t="s">
        <v>53</v>
      </c>
      <c r="N46">
        <v>55845</v>
      </c>
      <c r="O46" t="s">
        <v>53</v>
      </c>
      <c r="P46" t="s">
        <v>92</v>
      </c>
      <c r="Q46" t="s">
        <v>118</v>
      </c>
      <c r="R46" t="s">
        <v>122</v>
      </c>
      <c r="S46" t="s">
        <v>100</v>
      </c>
      <c r="T46" t="s">
        <v>73</v>
      </c>
      <c r="U46" t="s">
        <v>101</v>
      </c>
      <c r="V46">
        <v>0.89128099999999999</v>
      </c>
      <c r="W46" t="s">
        <v>53</v>
      </c>
      <c r="X46" t="s">
        <v>53</v>
      </c>
      <c r="Y46" t="s">
        <v>82</v>
      </c>
      <c r="Z46" t="str">
        <f t="shared" si="0"/>
        <v>Mayor que 15 - hasta 20</v>
      </c>
      <c r="AA46">
        <f t="shared" si="1"/>
        <v>1</v>
      </c>
      <c r="AB46">
        <v>5250</v>
      </c>
      <c r="AC46" t="s">
        <v>61</v>
      </c>
      <c r="AD46" t="s">
        <v>185</v>
      </c>
      <c r="AE46">
        <v>0</v>
      </c>
      <c r="AF46" t="s">
        <v>63</v>
      </c>
      <c r="AG46">
        <v>0</v>
      </c>
      <c r="AH46" t="s">
        <v>129</v>
      </c>
      <c r="AI46" t="s">
        <v>130</v>
      </c>
      <c r="AJ46">
        <v>4.3523870000000002</v>
      </c>
      <c r="AK46" t="s">
        <v>85</v>
      </c>
      <c r="AL46">
        <v>205.22896800000001</v>
      </c>
      <c r="AM46" s="4" t="s">
        <v>97</v>
      </c>
      <c r="AN46" s="5">
        <v>89731.712259846361</v>
      </c>
      <c r="AO46" s="4" t="s">
        <v>64</v>
      </c>
      <c r="AP46" s="6">
        <v>901</v>
      </c>
      <c r="AQ46">
        <v>4</v>
      </c>
      <c r="AR46">
        <v>71538.317511999994</v>
      </c>
      <c r="AS46" t="s">
        <v>66</v>
      </c>
      <c r="AT46" t="s">
        <v>53</v>
      </c>
    </row>
    <row r="47" spans="1:46">
      <c r="A47">
        <v>331</v>
      </c>
      <c r="B47" t="s">
        <v>46</v>
      </c>
      <c r="C47">
        <v>5</v>
      </c>
      <c r="D47">
        <v>264</v>
      </c>
      <c r="E47" t="s">
        <v>186</v>
      </c>
      <c r="F47" t="s">
        <v>48</v>
      </c>
      <c r="G47">
        <v>5264</v>
      </c>
      <c r="H47">
        <v>5264</v>
      </c>
      <c r="I47" t="s">
        <v>49</v>
      </c>
      <c r="J47">
        <v>504</v>
      </c>
      <c r="K47" t="s">
        <v>112</v>
      </c>
      <c r="L47" t="s">
        <v>69</v>
      </c>
      <c r="M47" t="s">
        <v>53</v>
      </c>
      <c r="N47">
        <v>11982</v>
      </c>
      <c r="O47" t="s">
        <v>53</v>
      </c>
      <c r="P47" t="s">
        <v>70</v>
      </c>
      <c r="Q47" t="s">
        <v>71</v>
      </c>
      <c r="R47" t="s">
        <v>105</v>
      </c>
      <c r="S47" t="s">
        <v>57</v>
      </c>
      <c r="T47" t="s">
        <v>58</v>
      </c>
      <c r="U47" t="s">
        <v>81</v>
      </c>
      <c r="V47">
        <v>0.31399199999999999</v>
      </c>
      <c r="W47">
        <v>2017</v>
      </c>
      <c r="X47" t="s">
        <v>147</v>
      </c>
      <c r="Y47" t="s">
        <v>187</v>
      </c>
      <c r="Z47" t="str">
        <f t="shared" si="0"/>
        <v>Mayor que 80 - hasta 100</v>
      </c>
      <c r="AA47">
        <f t="shared" si="1"/>
        <v>1</v>
      </c>
      <c r="AB47">
        <v>5264</v>
      </c>
      <c r="AC47" t="s">
        <v>61</v>
      </c>
      <c r="AD47" t="s">
        <v>88</v>
      </c>
      <c r="AE47">
        <v>1.069663</v>
      </c>
      <c r="AF47" t="s">
        <v>76</v>
      </c>
      <c r="AG47">
        <v>44.528635999999999</v>
      </c>
      <c r="AH47" t="s">
        <v>61</v>
      </c>
      <c r="AI47" t="s">
        <v>62</v>
      </c>
      <c r="AJ47">
        <v>1.651265</v>
      </c>
      <c r="AK47" t="s">
        <v>76</v>
      </c>
      <c r="AL47">
        <v>48.224473000000003</v>
      </c>
      <c r="AM47" t="s">
        <v>65</v>
      </c>
      <c r="AN47" s="7">
        <v>7096.8091024838941</v>
      </c>
      <c r="AO47" t="s">
        <v>65</v>
      </c>
      <c r="AP47" s="3">
        <v>1711</v>
      </c>
      <c r="AQ47">
        <v>3</v>
      </c>
      <c r="AR47">
        <v>7737.4490100000003</v>
      </c>
      <c r="AS47" t="s">
        <v>66</v>
      </c>
      <c r="AT47" t="s">
        <v>137</v>
      </c>
    </row>
    <row r="48" spans="1:46">
      <c r="A48">
        <v>330</v>
      </c>
      <c r="B48" t="s">
        <v>46</v>
      </c>
      <c r="C48">
        <v>5</v>
      </c>
      <c r="D48">
        <v>266</v>
      </c>
      <c r="E48" t="s">
        <v>188</v>
      </c>
      <c r="F48" t="s">
        <v>48</v>
      </c>
      <c r="G48">
        <v>5266</v>
      </c>
      <c r="H48">
        <v>5266</v>
      </c>
      <c r="I48" t="s">
        <v>49</v>
      </c>
      <c r="J48">
        <v>509</v>
      </c>
      <c r="K48" t="s">
        <v>50</v>
      </c>
      <c r="L48" t="s">
        <v>51</v>
      </c>
      <c r="M48" t="s">
        <v>53</v>
      </c>
      <c r="N48">
        <v>246327</v>
      </c>
      <c r="O48" t="s">
        <v>53</v>
      </c>
      <c r="P48" t="s">
        <v>54</v>
      </c>
      <c r="Q48" t="s">
        <v>138</v>
      </c>
      <c r="R48" t="s">
        <v>93</v>
      </c>
      <c r="S48" t="s">
        <v>57</v>
      </c>
      <c r="T48" t="s">
        <v>58</v>
      </c>
      <c r="U48" t="s">
        <v>81</v>
      </c>
      <c r="V48">
        <v>0.24862899999999999</v>
      </c>
      <c r="W48" t="s">
        <v>53</v>
      </c>
      <c r="X48" t="s">
        <v>53</v>
      </c>
      <c r="Y48" t="s">
        <v>139</v>
      </c>
      <c r="Z48" t="str">
        <f t="shared" si="0"/>
        <v>Mayor que 300 - hasta 400</v>
      </c>
      <c r="AA48">
        <f t="shared" si="1"/>
        <v>1</v>
      </c>
      <c r="AB48">
        <v>5266</v>
      </c>
      <c r="AC48" t="s">
        <v>61</v>
      </c>
      <c r="AD48" t="s">
        <v>188</v>
      </c>
      <c r="AE48">
        <v>0</v>
      </c>
      <c r="AF48" t="s">
        <v>63</v>
      </c>
      <c r="AG48">
        <v>0</v>
      </c>
      <c r="AH48" t="s">
        <v>61</v>
      </c>
      <c r="AI48" t="s">
        <v>62</v>
      </c>
      <c r="AJ48">
        <v>0.52163499999999996</v>
      </c>
      <c r="AK48" t="s">
        <v>63</v>
      </c>
      <c r="AL48">
        <v>11.518376999999999</v>
      </c>
      <c r="AM48" s="4" t="s">
        <v>65</v>
      </c>
      <c r="AN48" s="5">
        <v>2298.3810185208213</v>
      </c>
      <c r="AO48" s="4" t="s">
        <v>65</v>
      </c>
      <c r="AP48" s="6">
        <v>1233</v>
      </c>
      <c r="AQ48">
        <v>4</v>
      </c>
      <c r="AR48">
        <v>2744.8411070000002</v>
      </c>
      <c r="AS48" t="s">
        <v>66</v>
      </c>
      <c r="AT48" t="s">
        <v>53</v>
      </c>
    </row>
    <row r="49" spans="1:46">
      <c r="A49">
        <v>329</v>
      </c>
      <c r="B49" t="s">
        <v>46</v>
      </c>
      <c r="C49">
        <v>5</v>
      </c>
      <c r="D49">
        <v>282</v>
      </c>
      <c r="E49" t="s">
        <v>189</v>
      </c>
      <c r="F49" t="s">
        <v>48</v>
      </c>
      <c r="G49">
        <v>5282</v>
      </c>
      <c r="H49">
        <v>5282</v>
      </c>
      <c r="I49" t="s">
        <v>49</v>
      </c>
      <c r="J49">
        <v>507</v>
      </c>
      <c r="K49" t="s">
        <v>90</v>
      </c>
      <c r="L49" t="s">
        <v>91</v>
      </c>
      <c r="M49" t="s">
        <v>53</v>
      </c>
      <c r="N49">
        <v>25764</v>
      </c>
      <c r="O49" t="s">
        <v>53</v>
      </c>
      <c r="P49" t="s">
        <v>70</v>
      </c>
      <c r="Q49" t="s">
        <v>71</v>
      </c>
      <c r="R49" t="s">
        <v>105</v>
      </c>
      <c r="S49" t="s">
        <v>57</v>
      </c>
      <c r="T49" t="s">
        <v>58</v>
      </c>
      <c r="U49" t="s">
        <v>59</v>
      </c>
      <c r="V49">
        <v>0.29403099999999999</v>
      </c>
      <c r="W49">
        <v>2024</v>
      </c>
      <c r="X49" t="s">
        <v>190</v>
      </c>
      <c r="Y49" t="s">
        <v>191</v>
      </c>
      <c r="Z49" t="str">
        <f t="shared" si="0"/>
        <v>Mayor que 100 - hasta 120</v>
      </c>
      <c r="AA49">
        <f t="shared" si="1"/>
        <v>0</v>
      </c>
      <c r="AB49">
        <v>5282</v>
      </c>
      <c r="AC49" t="s">
        <v>61</v>
      </c>
      <c r="AD49" t="s">
        <v>96</v>
      </c>
      <c r="AE49">
        <v>0.82813800000000004</v>
      </c>
      <c r="AF49" t="s">
        <v>63</v>
      </c>
      <c r="AG49">
        <v>23.258074000000001</v>
      </c>
      <c r="AH49" t="s">
        <v>61</v>
      </c>
      <c r="AI49" t="s">
        <v>62</v>
      </c>
      <c r="AJ49">
        <v>1.3038179999999999</v>
      </c>
      <c r="AK49" t="s">
        <v>76</v>
      </c>
      <c r="AL49">
        <v>46.464675</v>
      </c>
      <c r="AM49" t="s">
        <v>65</v>
      </c>
      <c r="AN49" s="7">
        <v>1792.37658476296</v>
      </c>
      <c r="AO49" t="s">
        <v>65</v>
      </c>
      <c r="AP49" s="3">
        <v>1417</v>
      </c>
      <c r="AQ49">
        <v>2</v>
      </c>
      <c r="AR49">
        <v>1251.278679</v>
      </c>
      <c r="AS49" t="s">
        <v>66</v>
      </c>
      <c r="AT49" t="s">
        <v>53</v>
      </c>
    </row>
    <row r="50" spans="1:46">
      <c r="A50">
        <v>398</v>
      </c>
      <c r="B50" t="s">
        <v>46</v>
      </c>
      <c r="C50">
        <v>5</v>
      </c>
      <c r="D50">
        <v>284</v>
      </c>
      <c r="E50" t="s">
        <v>192</v>
      </c>
      <c r="F50" t="s">
        <v>48</v>
      </c>
      <c r="G50">
        <v>5284</v>
      </c>
      <c r="H50">
        <v>5284</v>
      </c>
      <c r="I50" t="s">
        <v>49</v>
      </c>
      <c r="J50">
        <v>505</v>
      </c>
      <c r="K50" t="s">
        <v>79</v>
      </c>
      <c r="L50" t="s">
        <v>69</v>
      </c>
      <c r="M50" t="s">
        <v>53</v>
      </c>
      <c r="N50">
        <v>21737</v>
      </c>
      <c r="O50" t="s">
        <v>53</v>
      </c>
      <c r="P50" t="s">
        <v>70</v>
      </c>
      <c r="Q50" t="s">
        <v>71</v>
      </c>
      <c r="R50" t="s">
        <v>56</v>
      </c>
      <c r="S50" t="s">
        <v>57</v>
      </c>
      <c r="T50" t="s">
        <v>73</v>
      </c>
      <c r="U50" t="s">
        <v>119</v>
      </c>
      <c r="V50">
        <v>0.535964</v>
      </c>
      <c r="W50" t="s">
        <v>53</v>
      </c>
      <c r="X50" t="s">
        <v>53</v>
      </c>
      <c r="Y50" t="s">
        <v>82</v>
      </c>
      <c r="Z50" t="str">
        <f t="shared" si="0"/>
        <v>Mayor que 15 - hasta 20</v>
      </c>
      <c r="AA50">
        <f t="shared" si="1"/>
        <v>1</v>
      </c>
      <c r="AB50">
        <v>5284</v>
      </c>
      <c r="AC50" t="s">
        <v>61</v>
      </c>
      <c r="AD50" t="s">
        <v>83</v>
      </c>
      <c r="AE50">
        <v>3.6785100000000002</v>
      </c>
      <c r="AF50" t="s">
        <v>84</v>
      </c>
      <c r="AG50">
        <v>111.335447</v>
      </c>
      <c r="AH50" t="s">
        <v>61</v>
      </c>
      <c r="AI50" t="s">
        <v>62</v>
      </c>
      <c r="AJ50">
        <v>4.2393869999999998</v>
      </c>
      <c r="AK50" t="s">
        <v>85</v>
      </c>
      <c r="AL50">
        <v>120.61950899999999</v>
      </c>
      <c r="AM50" s="4" t="s">
        <v>64</v>
      </c>
      <c r="AN50" s="5">
        <v>6673.6193283564944</v>
      </c>
      <c r="AO50" s="4" t="s">
        <v>65</v>
      </c>
      <c r="AP50" s="6">
        <v>844</v>
      </c>
      <c r="AQ50">
        <v>4</v>
      </c>
      <c r="AR50">
        <v>6542.9650570000003</v>
      </c>
      <c r="AS50" t="s">
        <v>66</v>
      </c>
      <c r="AT50" t="s">
        <v>53</v>
      </c>
    </row>
    <row r="51" spans="1:46">
      <c r="A51">
        <v>328</v>
      </c>
      <c r="B51" t="s">
        <v>46</v>
      </c>
      <c r="C51">
        <v>5</v>
      </c>
      <c r="D51">
        <v>306</v>
      </c>
      <c r="E51" t="s">
        <v>193</v>
      </c>
      <c r="F51" t="s">
        <v>48</v>
      </c>
      <c r="G51">
        <v>5306</v>
      </c>
      <c r="H51">
        <v>5306</v>
      </c>
      <c r="I51" t="s">
        <v>49</v>
      </c>
      <c r="J51">
        <v>505</v>
      </c>
      <c r="K51" t="s">
        <v>79</v>
      </c>
      <c r="L51" t="s">
        <v>69</v>
      </c>
      <c r="M51" t="s">
        <v>53</v>
      </c>
      <c r="N51">
        <v>5899</v>
      </c>
      <c r="O51" t="s">
        <v>53</v>
      </c>
      <c r="P51" t="s">
        <v>70</v>
      </c>
      <c r="Q51" t="s">
        <v>71</v>
      </c>
      <c r="R51" t="s">
        <v>56</v>
      </c>
      <c r="S51" t="s">
        <v>57</v>
      </c>
      <c r="T51" t="s">
        <v>58</v>
      </c>
      <c r="U51" t="s">
        <v>119</v>
      </c>
      <c r="V51">
        <v>0.91188199999999997</v>
      </c>
      <c r="W51" t="s">
        <v>53</v>
      </c>
      <c r="X51" t="s">
        <v>53</v>
      </c>
      <c r="Y51" t="s">
        <v>116</v>
      </c>
      <c r="Z51" t="str">
        <f t="shared" si="0"/>
        <v>Mayor que 30 - hasta 40</v>
      </c>
      <c r="AA51">
        <f t="shared" si="1"/>
        <v>1</v>
      </c>
      <c r="AB51">
        <v>5306</v>
      </c>
      <c r="AC51" t="s">
        <v>61</v>
      </c>
      <c r="AD51" t="s">
        <v>83</v>
      </c>
      <c r="AE51">
        <v>2.6209289999999998</v>
      </c>
      <c r="AF51" t="s">
        <v>77</v>
      </c>
      <c r="AG51">
        <v>80.184985999999995</v>
      </c>
      <c r="AH51" t="s">
        <v>61</v>
      </c>
      <c r="AI51" t="s">
        <v>62</v>
      </c>
      <c r="AJ51">
        <v>3.1818059999999999</v>
      </c>
      <c r="AK51" t="s">
        <v>84</v>
      </c>
      <c r="AL51">
        <v>89.469048000000001</v>
      </c>
      <c r="AM51" s="4" t="s">
        <v>64</v>
      </c>
      <c r="AN51" s="5">
        <v>4503.5312714864485</v>
      </c>
      <c r="AO51" s="4" t="s">
        <v>65</v>
      </c>
      <c r="AP51" s="6">
        <v>1105</v>
      </c>
      <c r="AQ51">
        <v>4</v>
      </c>
      <c r="AR51">
        <v>6515.5510089999998</v>
      </c>
      <c r="AS51" t="s">
        <v>66</v>
      </c>
      <c r="AT51" t="s">
        <v>53</v>
      </c>
    </row>
    <row r="52" spans="1:46">
      <c r="A52">
        <v>396</v>
      </c>
      <c r="B52" t="s">
        <v>46</v>
      </c>
      <c r="C52">
        <v>5</v>
      </c>
      <c r="D52">
        <v>308</v>
      </c>
      <c r="E52" t="s">
        <v>194</v>
      </c>
      <c r="F52" t="s">
        <v>48</v>
      </c>
      <c r="G52">
        <v>5308</v>
      </c>
      <c r="H52">
        <v>5308</v>
      </c>
      <c r="I52" t="s">
        <v>49</v>
      </c>
      <c r="J52">
        <v>509</v>
      </c>
      <c r="K52" t="s">
        <v>50</v>
      </c>
      <c r="L52" t="s">
        <v>51</v>
      </c>
      <c r="M52" t="s">
        <v>53</v>
      </c>
      <c r="N52">
        <v>55483</v>
      </c>
      <c r="O52" t="s">
        <v>53</v>
      </c>
      <c r="P52" t="s">
        <v>92</v>
      </c>
      <c r="Q52" t="s">
        <v>125</v>
      </c>
      <c r="R52" t="s">
        <v>56</v>
      </c>
      <c r="S52" t="s">
        <v>57</v>
      </c>
      <c r="T52" t="s">
        <v>58</v>
      </c>
      <c r="U52" t="s">
        <v>81</v>
      </c>
      <c r="V52">
        <v>0.33839599999999997</v>
      </c>
      <c r="W52" t="s">
        <v>53</v>
      </c>
      <c r="X52" t="s">
        <v>53</v>
      </c>
      <c r="Y52" t="s">
        <v>195</v>
      </c>
      <c r="Z52" t="str">
        <f t="shared" si="0"/>
        <v>Mayor que 250 - hasta 300</v>
      </c>
      <c r="AA52">
        <f t="shared" si="1"/>
        <v>1</v>
      </c>
      <c r="AB52">
        <v>5308</v>
      </c>
      <c r="AC52" t="s">
        <v>61</v>
      </c>
      <c r="AD52" t="s">
        <v>194</v>
      </c>
      <c r="AE52">
        <v>0</v>
      </c>
      <c r="AF52" t="s">
        <v>63</v>
      </c>
      <c r="AG52">
        <v>0</v>
      </c>
      <c r="AH52" t="s">
        <v>61</v>
      </c>
      <c r="AI52" t="s">
        <v>62</v>
      </c>
      <c r="AJ52">
        <v>0.88267399999999996</v>
      </c>
      <c r="AK52" t="s">
        <v>63</v>
      </c>
      <c r="AL52">
        <v>23.703658000000001</v>
      </c>
      <c r="AM52" s="4" t="s">
        <v>65</v>
      </c>
      <c r="AN52" s="5">
        <v>2756.3864361211408</v>
      </c>
      <c r="AO52" s="4" t="s">
        <v>65</v>
      </c>
      <c r="AP52" s="6">
        <v>1140</v>
      </c>
      <c r="AQ52">
        <v>4</v>
      </c>
      <c r="AR52">
        <v>1989.2134550000001</v>
      </c>
      <c r="AS52" t="s">
        <v>66</v>
      </c>
      <c r="AT52" t="s">
        <v>53</v>
      </c>
    </row>
    <row r="53" spans="1:46">
      <c r="A53">
        <v>395</v>
      </c>
      <c r="B53" t="s">
        <v>46</v>
      </c>
      <c r="C53">
        <v>5</v>
      </c>
      <c r="D53">
        <v>310</v>
      </c>
      <c r="E53" t="s">
        <v>196</v>
      </c>
      <c r="F53" t="s">
        <v>48</v>
      </c>
      <c r="G53">
        <v>5310</v>
      </c>
      <c r="H53">
        <v>5310</v>
      </c>
      <c r="I53" t="s">
        <v>49</v>
      </c>
      <c r="J53">
        <v>504</v>
      </c>
      <c r="K53" t="s">
        <v>112</v>
      </c>
      <c r="L53" t="s">
        <v>69</v>
      </c>
      <c r="M53" t="s">
        <v>53</v>
      </c>
      <c r="N53">
        <v>10300</v>
      </c>
      <c r="O53" t="s">
        <v>53</v>
      </c>
      <c r="P53" t="s">
        <v>70</v>
      </c>
      <c r="Q53" t="s">
        <v>71</v>
      </c>
      <c r="R53" t="s">
        <v>105</v>
      </c>
      <c r="S53" t="s">
        <v>57</v>
      </c>
      <c r="T53" t="s">
        <v>58</v>
      </c>
      <c r="U53" t="s">
        <v>81</v>
      </c>
      <c r="V53">
        <v>0.48908600000000002</v>
      </c>
      <c r="W53" t="s">
        <v>53</v>
      </c>
      <c r="X53" t="s">
        <v>53</v>
      </c>
      <c r="Y53" t="s">
        <v>116</v>
      </c>
      <c r="Z53" t="str">
        <f t="shared" si="0"/>
        <v>Mayor que 30 - hasta 40</v>
      </c>
      <c r="AA53">
        <f t="shared" si="1"/>
        <v>1</v>
      </c>
      <c r="AB53">
        <v>5310</v>
      </c>
      <c r="AC53" t="s">
        <v>61</v>
      </c>
      <c r="AD53" t="s">
        <v>88</v>
      </c>
      <c r="AE53">
        <v>0.84891099999999997</v>
      </c>
      <c r="AF53" t="s">
        <v>63</v>
      </c>
      <c r="AG53">
        <v>40.548737000000003</v>
      </c>
      <c r="AH53" t="s">
        <v>61</v>
      </c>
      <c r="AI53" t="s">
        <v>62</v>
      </c>
      <c r="AJ53">
        <v>1.934707</v>
      </c>
      <c r="AK53" t="s">
        <v>76</v>
      </c>
      <c r="AL53">
        <v>79.096254999999999</v>
      </c>
      <c r="AM53" s="4" t="s">
        <v>64</v>
      </c>
      <c r="AN53" s="5">
        <v>18241.565556816844</v>
      </c>
      <c r="AO53" s="4" t="s">
        <v>65</v>
      </c>
      <c r="AP53" s="6">
        <v>2007</v>
      </c>
      <c r="AQ53">
        <v>2</v>
      </c>
      <c r="AR53">
        <v>11050.436605000001</v>
      </c>
      <c r="AS53" t="s">
        <v>66</v>
      </c>
      <c r="AT53" t="s">
        <v>53</v>
      </c>
    </row>
    <row r="54" spans="1:46">
      <c r="A54">
        <v>394</v>
      </c>
      <c r="B54" t="s">
        <v>46</v>
      </c>
      <c r="C54">
        <v>5</v>
      </c>
      <c r="D54">
        <v>313</v>
      </c>
      <c r="E54" t="s">
        <v>197</v>
      </c>
      <c r="F54" t="s">
        <v>48</v>
      </c>
      <c r="G54">
        <v>5313</v>
      </c>
      <c r="H54">
        <v>5313</v>
      </c>
      <c r="I54" t="s">
        <v>49</v>
      </c>
      <c r="J54">
        <v>506</v>
      </c>
      <c r="K54" t="s">
        <v>68</v>
      </c>
      <c r="L54" t="s">
        <v>91</v>
      </c>
      <c r="M54" t="s">
        <v>53</v>
      </c>
      <c r="N54">
        <v>10700</v>
      </c>
      <c r="O54" t="s">
        <v>53</v>
      </c>
      <c r="P54" t="s">
        <v>70</v>
      </c>
      <c r="Q54" t="s">
        <v>71</v>
      </c>
      <c r="R54" t="s">
        <v>72</v>
      </c>
      <c r="S54" t="s">
        <v>57</v>
      </c>
      <c r="T54" t="s">
        <v>73</v>
      </c>
      <c r="U54" t="s">
        <v>101</v>
      </c>
      <c r="V54">
        <v>0.81717499999999998</v>
      </c>
      <c r="W54" t="s">
        <v>53</v>
      </c>
      <c r="X54" t="s">
        <v>53</v>
      </c>
      <c r="Y54" t="s">
        <v>87</v>
      </c>
      <c r="Z54" t="str">
        <f t="shared" si="0"/>
        <v>Mayor que 40 - hasta 50</v>
      </c>
      <c r="AA54">
        <f t="shared" si="1"/>
        <v>1</v>
      </c>
      <c r="AB54">
        <v>5313</v>
      </c>
      <c r="AC54" t="s">
        <v>61</v>
      </c>
      <c r="AD54" t="s">
        <v>174</v>
      </c>
      <c r="AE54">
        <v>0.42392099999999999</v>
      </c>
      <c r="AF54" t="s">
        <v>63</v>
      </c>
      <c r="AG54">
        <v>14.295332</v>
      </c>
      <c r="AH54" t="s">
        <v>61</v>
      </c>
      <c r="AI54" t="s">
        <v>62</v>
      </c>
      <c r="AJ54">
        <v>1.8704259999999999</v>
      </c>
      <c r="AK54" t="s">
        <v>76</v>
      </c>
      <c r="AL54">
        <v>73.663664999999995</v>
      </c>
      <c r="AM54" s="4" t="s">
        <v>65</v>
      </c>
      <c r="AN54" s="5">
        <v>13025.641417856687</v>
      </c>
      <c r="AO54" s="4" t="s">
        <v>65</v>
      </c>
      <c r="AP54" s="6">
        <v>4581</v>
      </c>
      <c r="AQ54">
        <v>4</v>
      </c>
      <c r="AR54">
        <v>7601.054459</v>
      </c>
      <c r="AS54" t="s">
        <v>66</v>
      </c>
      <c r="AT54" t="s">
        <v>53</v>
      </c>
    </row>
    <row r="55" spans="1:46">
      <c r="A55">
        <v>393</v>
      </c>
      <c r="B55" t="s">
        <v>46</v>
      </c>
      <c r="C55">
        <v>5</v>
      </c>
      <c r="D55">
        <v>315</v>
      </c>
      <c r="E55" t="s">
        <v>198</v>
      </c>
      <c r="F55" t="s">
        <v>48</v>
      </c>
      <c r="G55">
        <v>5315</v>
      </c>
      <c r="H55">
        <v>5315</v>
      </c>
      <c r="I55" t="s">
        <v>49</v>
      </c>
      <c r="J55">
        <v>504</v>
      </c>
      <c r="K55" t="s">
        <v>112</v>
      </c>
      <c r="L55" t="s">
        <v>91</v>
      </c>
      <c r="M55" t="s">
        <v>53</v>
      </c>
      <c r="N55">
        <v>6926</v>
      </c>
      <c r="O55" t="s">
        <v>53</v>
      </c>
      <c r="P55" t="s">
        <v>70</v>
      </c>
      <c r="Q55" t="s">
        <v>71</v>
      </c>
      <c r="R55" t="s">
        <v>56</v>
      </c>
      <c r="S55" t="s">
        <v>57</v>
      </c>
      <c r="T55" t="s">
        <v>73</v>
      </c>
      <c r="U55" t="s">
        <v>119</v>
      </c>
      <c r="V55">
        <v>0.64909499999999998</v>
      </c>
      <c r="W55" t="s">
        <v>53</v>
      </c>
      <c r="X55" t="s">
        <v>53</v>
      </c>
      <c r="Y55" t="s">
        <v>102</v>
      </c>
      <c r="Z55" t="str">
        <f t="shared" si="0"/>
        <v>Mayor que 20 - hasta 30</v>
      </c>
      <c r="AA55">
        <f t="shared" si="1"/>
        <v>1</v>
      </c>
      <c r="AB55">
        <v>5315</v>
      </c>
      <c r="AC55" t="s">
        <v>61</v>
      </c>
      <c r="AD55" t="s">
        <v>88</v>
      </c>
      <c r="AE55">
        <v>1.3239069999999999</v>
      </c>
      <c r="AF55" t="s">
        <v>76</v>
      </c>
      <c r="AG55">
        <v>60.252395</v>
      </c>
      <c r="AH55" t="s">
        <v>61</v>
      </c>
      <c r="AI55" t="s">
        <v>62</v>
      </c>
      <c r="AJ55">
        <v>2.4097029999999999</v>
      </c>
      <c r="AK55" t="s">
        <v>77</v>
      </c>
      <c r="AL55">
        <v>98.799913000000004</v>
      </c>
      <c r="AM55" s="4" t="s">
        <v>64</v>
      </c>
      <c r="AN55" s="5">
        <v>6438.0568487995379</v>
      </c>
      <c r="AO55" s="4" t="s">
        <v>65</v>
      </c>
      <c r="AP55" s="6">
        <v>1114</v>
      </c>
      <c r="AQ55">
        <v>3</v>
      </c>
      <c r="AR55">
        <v>6769.7257360000003</v>
      </c>
      <c r="AS55" t="s">
        <v>66</v>
      </c>
      <c r="AT55" t="s">
        <v>53</v>
      </c>
    </row>
    <row r="56" spans="1:46">
      <c r="A56">
        <v>392</v>
      </c>
      <c r="B56" t="s">
        <v>46</v>
      </c>
      <c r="C56">
        <v>5</v>
      </c>
      <c r="D56">
        <v>318</v>
      </c>
      <c r="E56" t="s">
        <v>199</v>
      </c>
      <c r="F56" t="s">
        <v>48</v>
      </c>
      <c r="G56">
        <v>5318</v>
      </c>
      <c r="H56">
        <v>5318</v>
      </c>
      <c r="I56" t="s">
        <v>49</v>
      </c>
      <c r="J56">
        <v>506</v>
      </c>
      <c r="K56" t="s">
        <v>68</v>
      </c>
      <c r="L56" t="s">
        <v>91</v>
      </c>
      <c r="M56" t="s">
        <v>53</v>
      </c>
      <c r="N56">
        <v>59226</v>
      </c>
      <c r="O56" t="s">
        <v>53</v>
      </c>
      <c r="P56" t="s">
        <v>92</v>
      </c>
      <c r="Q56" t="s">
        <v>125</v>
      </c>
      <c r="R56" t="s">
        <v>105</v>
      </c>
      <c r="S56" t="s">
        <v>57</v>
      </c>
      <c r="T56" t="s">
        <v>58</v>
      </c>
      <c r="U56" t="s">
        <v>59</v>
      </c>
      <c r="V56">
        <v>0.65484500000000001</v>
      </c>
      <c r="W56" t="s">
        <v>53</v>
      </c>
      <c r="X56" t="s">
        <v>53</v>
      </c>
      <c r="Y56" t="s">
        <v>139</v>
      </c>
      <c r="Z56" t="str">
        <f t="shared" si="0"/>
        <v>Mayor que 300 - hasta 400</v>
      </c>
      <c r="AA56">
        <f t="shared" si="1"/>
        <v>1</v>
      </c>
      <c r="AB56">
        <v>5318</v>
      </c>
      <c r="AC56" t="s">
        <v>61</v>
      </c>
      <c r="AD56" t="s">
        <v>200</v>
      </c>
      <c r="AE56">
        <v>0.41183599999999998</v>
      </c>
      <c r="AF56" t="s">
        <v>63</v>
      </c>
      <c r="AG56">
        <v>19.348023000000001</v>
      </c>
      <c r="AH56" t="s">
        <v>61</v>
      </c>
      <c r="AI56" t="s">
        <v>62</v>
      </c>
      <c r="AJ56">
        <v>1.025798</v>
      </c>
      <c r="AK56" t="s">
        <v>76</v>
      </c>
      <c r="AL56">
        <v>25.335028999999999</v>
      </c>
      <c r="AM56" s="4" t="s">
        <v>65</v>
      </c>
      <c r="AN56" s="5">
        <v>6706.2673530766706</v>
      </c>
      <c r="AO56" s="4" t="s">
        <v>65</v>
      </c>
      <c r="AP56" s="6">
        <v>5024</v>
      </c>
      <c r="AQ56">
        <v>2</v>
      </c>
      <c r="AR56">
        <v>3953.6772299999998</v>
      </c>
      <c r="AS56" t="s">
        <v>66</v>
      </c>
      <c r="AT56" t="s">
        <v>53</v>
      </c>
    </row>
    <row r="57" spans="1:46">
      <c r="A57">
        <v>391</v>
      </c>
      <c r="B57" t="s">
        <v>46</v>
      </c>
      <c r="C57">
        <v>5</v>
      </c>
      <c r="D57">
        <v>321</v>
      </c>
      <c r="E57" t="s">
        <v>201</v>
      </c>
      <c r="F57" t="s">
        <v>48</v>
      </c>
      <c r="G57">
        <v>5321</v>
      </c>
      <c r="H57">
        <v>5321</v>
      </c>
      <c r="I57" t="s">
        <v>49</v>
      </c>
      <c r="J57">
        <v>506</v>
      </c>
      <c r="K57" t="s">
        <v>68</v>
      </c>
      <c r="L57" t="s">
        <v>91</v>
      </c>
      <c r="M57" t="s">
        <v>53</v>
      </c>
      <c r="N57">
        <v>8945</v>
      </c>
      <c r="O57" t="s">
        <v>53</v>
      </c>
      <c r="P57" t="s">
        <v>70</v>
      </c>
      <c r="Q57" t="s">
        <v>71</v>
      </c>
      <c r="R57" t="s">
        <v>56</v>
      </c>
      <c r="S57" t="s">
        <v>57</v>
      </c>
      <c r="T57" t="s">
        <v>58</v>
      </c>
      <c r="U57" t="s">
        <v>59</v>
      </c>
      <c r="V57">
        <v>0.39099200000000001</v>
      </c>
      <c r="W57" t="s">
        <v>53</v>
      </c>
      <c r="X57" t="s">
        <v>53</v>
      </c>
      <c r="Y57" t="s">
        <v>139</v>
      </c>
      <c r="Z57" t="str">
        <f t="shared" si="0"/>
        <v>Mayor que 300 - hasta 400</v>
      </c>
      <c r="AA57">
        <f t="shared" si="1"/>
        <v>1</v>
      </c>
      <c r="AB57">
        <v>5321</v>
      </c>
      <c r="AC57" t="s">
        <v>61</v>
      </c>
      <c r="AD57" t="s">
        <v>174</v>
      </c>
      <c r="AE57">
        <v>0.85728800000000005</v>
      </c>
      <c r="AF57" t="s">
        <v>63</v>
      </c>
      <c r="AG57">
        <v>22.772286999999999</v>
      </c>
      <c r="AH57" t="s">
        <v>61</v>
      </c>
      <c r="AI57" t="s">
        <v>62</v>
      </c>
      <c r="AJ57">
        <v>2.1958700000000002</v>
      </c>
      <c r="AK57" t="s">
        <v>77</v>
      </c>
      <c r="AL57">
        <v>77.112193000000005</v>
      </c>
      <c r="AM57" s="4" t="s">
        <v>65</v>
      </c>
      <c r="AN57" s="5">
        <v>4114.591151024566</v>
      </c>
      <c r="AO57" s="4" t="s">
        <v>65</v>
      </c>
      <c r="AP57" s="6">
        <v>1743</v>
      </c>
      <c r="AQ57">
        <v>3</v>
      </c>
      <c r="AR57">
        <v>2159.2934340000002</v>
      </c>
      <c r="AS57" t="s">
        <v>66</v>
      </c>
      <c r="AT57" t="s">
        <v>53</v>
      </c>
    </row>
    <row r="58" spans="1:46">
      <c r="A58">
        <v>390</v>
      </c>
      <c r="B58" t="s">
        <v>46</v>
      </c>
      <c r="C58">
        <v>5</v>
      </c>
      <c r="D58">
        <v>347</v>
      </c>
      <c r="E58" t="s">
        <v>202</v>
      </c>
      <c r="F58" t="s">
        <v>48</v>
      </c>
      <c r="G58">
        <v>5347</v>
      </c>
      <c r="H58">
        <v>5347</v>
      </c>
      <c r="I58" t="s">
        <v>49</v>
      </c>
      <c r="J58">
        <v>505</v>
      </c>
      <c r="K58" t="s">
        <v>79</v>
      </c>
      <c r="L58" t="s">
        <v>69</v>
      </c>
      <c r="M58" t="s">
        <v>53</v>
      </c>
      <c r="N58">
        <v>5682</v>
      </c>
      <c r="O58" t="s">
        <v>53</v>
      </c>
      <c r="P58" t="s">
        <v>70</v>
      </c>
      <c r="Q58" t="s">
        <v>71</v>
      </c>
      <c r="R58" t="s">
        <v>105</v>
      </c>
      <c r="S58" t="s">
        <v>57</v>
      </c>
      <c r="T58" t="s">
        <v>58</v>
      </c>
      <c r="U58" t="s">
        <v>59</v>
      </c>
      <c r="V58">
        <v>0.76456800000000003</v>
      </c>
      <c r="W58" t="s">
        <v>53</v>
      </c>
      <c r="X58" t="s">
        <v>53</v>
      </c>
      <c r="Y58" t="s">
        <v>167</v>
      </c>
      <c r="Z58" t="str">
        <f t="shared" si="0"/>
        <v>Mayor que 50 - hasta 60</v>
      </c>
      <c r="AA58">
        <f t="shared" si="1"/>
        <v>1</v>
      </c>
      <c r="AB58">
        <v>5347</v>
      </c>
      <c r="AC58" t="s">
        <v>61</v>
      </c>
      <c r="AD58" t="s">
        <v>203</v>
      </c>
      <c r="AE58">
        <v>1.1848719999999999</v>
      </c>
      <c r="AF58" t="s">
        <v>76</v>
      </c>
      <c r="AG58">
        <v>24.145078999999999</v>
      </c>
      <c r="AH58" t="s">
        <v>61</v>
      </c>
      <c r="AI58" t="s">
        <v>62</v>
      </c>
      <c r="AJ58">
        <v>1.460224</v>
      </c>
      <c r="AK58" t="s">
        <v>76</v>
      </c>
      <c r="AL58">
        <v>36.874726000000003</v>
      </c>
      <c r="AM58" s="4" t="s">
        <v>64</v>
      </c>
      <c r="AN58" s="5">
        <v>5543.86454798659</v>
      </c>
      <c r="AO58" s="4" t="s">
        <v>65</v>
      </c>
      <c r="AP58" s="6">
        <v>1453</v>
      </c>
      <c r="AQ58">
        <v>4</v>
      </c>
      <c r="AR58">
        <v>6172.8326310000002</v>
      </c>
      <c r="AS58" t="s">
        <v>66</v>
      </c>
      <c r="AT58" t="s">
        <v>53</v>
      </c>
    </row>
    <row r="59" spans="1:46">
      <c r="A59">
        <v>389</v>
      </c>
      <c r="B59" t="s">
        <v>46</v>
      </c>
      <c r="C59">
        <v>5</v>
      </c>
      <c r="D59">
        <v>353</v>
      </c>
      <c r="E59" t="s">
        <v>204</v>
      </c>
      <c r="F59" t="s">
        <v>48</v>
      </c>
      <c r="G59">
        <v>5353</v>
      </c>
      <c r="H59">
        <v>5353</v>
      </c>
      <c r="I59" t="s">
        <v>49</v>
      </c>
      <c r="J59">
        <v>507</v>
      </c>
      <c r="K59" t="s">
        <v>90</v>
      </c>
      <c r="L59" t="s">
        <v>91</v>
      </c>
      <c r="M59" t="s">
        <v>53</v>
      </c>
      <c r="N59">
        <v>5790</v>
      </c>
      <c r="O59" t="s">
        <v>53</v>
      </c>
      <c r="P59" t="s">
        <v>70</v>
      </c>
      <c r="Q59" t="s">
        <v>71</v>
      </c>
      <c r="R59" t="s">
        <v>72</v>
      </c>
      <c r="S59" t="s">
        <v>57</v>
      </c>
      <c r="T59" t="s">
        <v>58</v>
      </c>
      <c r="U59" t="s">
        <v>81</v>
      </c>
      <c r="V59">
        <v>0.13922499999999999</v>
      </c>
      <c r="W59">
        <v>2024</v>
      </c>
      <c r="X59" t="s">
        <v>141</v>
      </c>
      <c r="Y59" t="s">
        <v>142</v>
      </c>
      <c r="Z59" t="str">
        <f t="shared" si="0"/>
        <v>Mayor que 60 - hasta 70</v>
      </c>
      <c r="AA59">
        <f t="shared" si="1"/>
        <v>0</v>
      </c>
      <c r="AB59">
        <v>5353</v>
      </c>
      <c r="AC59" t="s">
        <v>61</v>
      </c>
      <c r="AD59" t="s">
        <v>96</v>
      </c>
      <c r="AE59">
        <v>1.8134479999999999</v>
      </c>
      <c r="AF59" t="s">
        <v>76</v>
      </c>
      <c r="AG59">
        <v>67.738181999999995</v>
      </c>
      <c r="AH59" t="s">
        <v>61</v>
      </c>
      <c r="AI59" t="s">
        <v>62</v>
      </c>
      <c r="AJ59">
        <v>2.2891279999999998</v>
      </c>
      <c r="AK59" t="s">
        <v>77</v>
      </c>
      <c r="AL59">
        <v>90.944783000000001</v>
      </c>
      <c r="AM59" t="s">
        <v>64</v>
      </c>
      <c r="AN59" s="7">
        <v>373.83833590855278</v>
      </c>
      <c r="AO59" t="s">
        <v>65</v>
      </c>
      <c r="AP59" s="3">
        <v>31</v>
      </c>
      <c r="AQ59">
        <v>1</v>
      </c>
      <c r="AR59">
        <v>497.82641999999998</v>
      </c>
      <c r="AS59" t="s">
        <v>66</v>
      </c>
      <c r="AT59" t="s">
        <v>53</v>
      </c>
    </row>
    <row r="60" spans="1:46">
      <c r="A60">
        <v>388</v>
      </c>
      <c r="B60" t="s">
        <v>46</v>
      </c>
      <c r="C60">
        <v>5</v>
      </c>
      <c r="D60">
        <v>360</v>
      </c>
      <c r="E60" t="s">
        <v>205</v>
      </c>
      <c r="F60" t="s">
        <v>48</v>
      </c>
      <c r="G60">
        <v>5360</v>
      </c>
      <c r="H60">
        <v>5360</v>
      </c>
      <c r="I60" t="s">
        <v>49</v>
      </c>
      <c r="J60">
        <v>509</v>
      </c>
      <c r="K60" t="s">
        <v>50</v>
      </c>
      <c r="L60" t="s">
        <v>51</v>
      </c>
      <c r="M60" t="s">
        <v>53</v>
      </c>
      <c r="N60">
        <v>296953</v>
      </c>
      <c r="O60" t="s">
        <v>53</v>
      </c>
      <c r="P60" t="s">
        <v>54</v>
      </c>
      <c r="Q60" t="s">
        <v>138</v>
      </c>
      <c r="R60" t="s">
        <v>72</v>
      </c>
      <c r="S60" t="s">
        <v>57</v>
      </c>
      <c r="T60" t="s">
        <v>58</v>
      </c>
      <c r="U60" t="s">
        <v>81</v>
      </c>
      <c r="V60">
        <v>0.58634500000000001</v>
      </c>
      <c r="W60" t="s">
        <v>53</v>
      </c>
      <c r="X60" t="s">
        <v>53</v>
      </c>
      <c r="Y60" t="s">
        <v>139</v>
      </c>
      <c r="Z60" t="str">
        <f t="shared" si="0"/>
        <v>Mayor que 300 - hasta 400</v>
      </c>
      <c r="AA60">
        <f t="shared" si="1"/>
        <v>1</v>
      </c>
      <c r="AB60">
        <v>5360</v>
      </c>
      <c r="AC60" t="s">
        <v>61</v>
      </c>
      <c r="AD60" t="s">
        <v>206</v>
      </c>
      <c r="AE60">
        <v>0</v>
      </c>
      <c r="AF60" t="s">
        <v>63</v>
      </c>
      <c r="AG60">
        <v>0</v>
      </c>
      <c r="AH60" t="s">
        <v>61</v>
      </c>
      <c r="AI60" t="s">
        <v>62</v>
      </c>
      <c r="AJ60">
        <v>0.41679899999999998</v>
      </c>
      <c r="AK60" t="s">
        <v>63</v>
      </c>
      <c r="AL60">
        <v>13.629645999999999</v>
      </c>
      <c r="AM60" s="4" t="s">
        <v>65</v>
      </c>
      <c r="AN60" s="5">
        <v>266.44573155133986</v>
      </c>
      <c r="AO60" s="4" t="s">
        <v>65</v>
      </c>
      <c r="AP60" s="6">
        <v>136</v>
      </c>
      <c r="AQ60">
        <v>3</v>
      </c>
      <c r="AR60">
        <v>383.17046099999999</v>
      </c>
      <c r="AS60" t="s">
        <v>66</v>
      </c>
      <c r="AT60" t="s">
        <v>53</v>
      </c>
    </row>
    <row r="61" spans="1:46">
      <c r="A61">
        <v>399</v>
      </c>
      <c r="B61" t="s">
        <v>46</v>
      </c>
      <c r="C61">
        <v>5</v>
      </c>
      <c r="D61">
        <v>361</v>
      </c>
      <c r="E61" t="s">
        <v>207</v>
      </c>
      <c r="F61" t="s">
        <v>48</v>
      </c>
      <c r="G61">
        <v>5361</v>
      </c>
      <c r="H61">
        <v>5361</v>
      </c>
      <c r="I61" t="s">
        <v>49</v>
      </c>
      <c r="J61">
        <v>504</v>
      </c>
      <c r="K61" t="s">
        <v>112</v>
      </c>
      <c r="L61" t="s">
        <v>80</v>
      </c>
      <c r="M61" t="s">
        <v>53</v>
      </c>
      <c r="N61">
        <v>28634</v>
      </c>
      <c r="O61" t="s">
        <v>53</v>
      </c>
      <c r="P61" t="s">
        <v>70</v>
      </c>
      <c r="Q61" t="s">
        <v>71</v>
      </c>
      <c r="R61" t="s">
        <v>93</v>
      </c>
      <c r="S61" t="s">
        <v>100</v>
      </c>
      <c r="T61" t="s">
        <v>73</v>
      </c>
      <c r="U61" t="s">
        <v>115</v>
      </c>
      <c r="V61">
        <v>0.52466299999999999</v>
      </c>
      <c r="W61" t="s">
        <v>53</v>
      </c>
      <c r="X61" t="s">
        <v>53</v>
      </c>
      <c r="Y61" t="s">
        <v>102</v>
      </c>
      <c r="Z61" t="str">
        <f t="shared" si="0"/>
        <v>Mayor que 20 - hasta 30</v>
      </c>
      <c r="AA61">
        <f t="shared" si="1"/>
        <v>1</v>
      </c>
      <c r="AB61">
        <v>5361</v>
      </c>
      <c r="AC61" t="s">
        <v>61</v>
      </c>
      <c r="AD61" t="s">
        <v>113</v>
      </c>
      <c r="AE61">
        <v>3.4965649999999999</v>
      </c>
      <c r="AF61" t="s">
        <v>84</v>
      </c>
      <c r="AG61">
        <v>101.520014</v>
      </c>
      <c r="AH61" t="s">
        <v>61</v>
      </c>
      <c r="AI61" t="s">
        <v>62</v>
      </c>
      <c r="AJ61">
        <v>4.9438769999999996</v>
      </c>
      <c r="AK61" t="s">
        <v>85</v>
      </c>
      <c r="AL61">
        <v>155.198903</v>
      </c>
      <c r="AM61" s="4" t="s">
        <v>97</v>
      </c>
      <c r="AN61" s="5">
        <v>90895.313097879742</v>
      </c>
      <c r="AO61" s="4" t="s">
        <v>65</v>
      </c>
      <c r="AP61" s="6">
        <v>2764</v>
      </c>
      <c r="AQ61">
        <v>4</v>
      </c>
      <c r="AR61">
        <v>91990.817330000005</v>
      </c>
      <c r="AS61" t="s">
        <v>66</v>
      </c>
      <c r="AT61" t="s">
        <v>53</v>
      </c>
    </row>
    <row r="62" spans="1:46">
      <c r="A62">
        <v>387</v>
      </c>
      <c r="B62" t="s">
        <v>46</v>
      </c>
      <c r="C62">
        <v>5</v>
      </c>
      <c r="D62">
        <v>364</v>
      </c>
      <c r="E62" t="s">
        <v>208</v>
      </c>
      <c r="F62" t="s">
        <v>48</v>
      </c>
      <c r="G62">
        <v>5364</v>
      </c>
      <c r="H62">
        <v>5364</v>
      </c>
      <c r="I62" t="s">
        <v>49</v>
      </c>
      <c r="J62">
        <v>507</v>
      </c>
      <c r="K62" t="s">
        <v>90</v>
      </c>
      <c r="L62" t="s">
        <v>91</v>
      </c>
      <c r="M62" t="s">
        <v>53</v>
      </c>
      <c r="N62">
        <v>15400</v>
      </c>
      <c r="O62" t="s">
        <v>53</v>
      </c>
      <c r="P62" t="s">
        <v>70</v>
      </c>
      <c r="Q62" t="s">
        <v>71</v>
      </c>
      <c r="R62" t="s">
        <v>56</v>
      </c>
      <c r="S62" t="s">
        <v>57</v>
      </c>
      <c r="T62" t="s">
        <v>58</v>
      </c>
      <c r="U62" t="s">
        <v>59</v>
      </c>
      <c r="V62">
        <v>0.21349899999999999</v>
      </c>
      <c r="W62">
        <v>2024</v>
      </c>
      <c r="X62" t="s">
        <v>190</v>
      </c>
      <c r="Y62" t="s">
        <v>191</v>
      </c>
      <c r="Z62" t="str">
        <f t="shared" si="0"/>
        <v>Mayor que 100 - hasta 120</v>
      </c>
      <c r="AA62">
        <f t="shared" si="1"/>
        <v>0</v>
      </c>
      <c r="AB62">
        <v>5364</v>
      </c>
      <c r="AC62" t="s">
        <v>61</v>
      </c>
      <c r="AD62" t="s">
        <v>96</v>
      </c>
      <c r="AE62">
        <v>2.7673160000000001</v>
      </c>
      <c r="AF62" t="s">
        <v>77</v>
      </c>
      <c r="AG62">
        <v>101.38448</v>
      </c>
      <c r="AH62" t="s">
        <v>61</v>
      </c>
      <c r="AI62" t="s">
        <v>62</v>
      </c>
      <c r="AJ62">
        <v>3.2429960000000002</v>
      </c>
      <c r="AK62" t="s">
        <v>84</v>
      </c>
      <c r="AL62">
        <v>124.591082</v>
      </c>
      <c r="AM62" t="s">
        <v>65</v>
      </c>
      <c r="AN62" s="7">
        <v>464.40330071741641</v>
      </c>
      <c r="AO62" t="s">
        <v>65</v>
      </c>
      <c r="AP62" s="3">
        <v>234</v>
      </c>
      <c r="AQ62">
        <v>4</v>
      </c>
      <c r="AR62">
        <v>265.33262999999999</v>
      </c>
      <c r="AS62" t="s">
        <v>66</v>
      </c>
      <c r="AT62" t="s">
        <v>53</v>
      </c>
    </row>
    <row r="63" spans="1:46">
      <c r="A63">
        <v>386</v>
      </c>
      <c r="B63" t="s">
        <v>46</v>
      </c>
      <c r="C63">
        <v>5</v>
      </c>
      <c r="D63">
        <v>368</v>
      </c>
      <c r="E63" t="s">
        <v>209</v>
      </c>
      <c r="F63" t="s">
        <v>48</v>
      </c>
      <c r="G63">
        <v>5368</v>
      </c>
      <c r="H63">
        <v>5368</v>
      </c>
      <c r="I63" t="s">
        <v>49</v>
      </c>
      <c r="J63">
        <v>507</v>
      </c>
      <c r="K63" t="s">
        <v>90</v>
      </c>
      <c r="L63" t="s">
        <v>91</v>
      </c>
      <c r="M63" t="s">
        <v>53</v>
      </c>
      <c r="N63">
        <v>14344</v>
      </c>
      <c r="O63" t="s">
        <v>53</v>
      </c>
      <c r="P63" t="s">
        <v>70</v>
      </c>
      <c r="Q63" t="s">
        <v>71</v>
      </c>
      <c r="R63" t="s">
        <v>122</v>
      </c>
      <c r="S63" t="s">
        <v>57</v>
      </c>
      <c r="T63" t="s">
        <v>58</v>
      </c>
      <c r="U63" t="s">
        <v>81</v>
      </c>
      <c r="V63">
        <v>0.282032</v>
      </c>
      <c r="W63">
        <v>2024</v>
      </c>
      <c r="X63" t="s">
        <v>106</v>
      </c>
      <c r="Y63" t="s">
        <v>107</v>
      </c>
      <c r="Z63" t="str">
        <f t="shared" si="0"/>
        <v>Mayor que 80 - hasta 100</v>
      </c>
      <c r="AA63">
        <f t="shared" si="1"/>
        <v>0</v>
      </c>
      <c r="AB63">
        <v>5368</v>
      </c>
      <c r="AC63" t="s">
        <v>61</v>
      </c>
      <c r="AD63" t="s">
        <v>96</v>
      </c>
      <c r="AE63">
        <v>2.1532119999999999</v>
      </c>
      <c r="AF63" t="s">
        <v>77</v>
      </c>
      <c r="AG63">
        <v>75.212192999999999</v>
      </c>
      <c r="AH63" t="s">
        <v>61</v>
      </c>
      <c r="AI63" t="s">
        <v>62</v>
      </c>
      <c r="AJ63">
        <v>2.6288909999999999</v>
      </c>
      <c r="AK63" t="s">
        <v>77</v>
      </c>
      <c r="AL63">
        <v>98.418795000000003</v>
      </c>
      <c r="AM63" t="s">
        <v>64</v>
      </c>
      <c r="AN63" s="7">
        <v>974.98803847107718</v>
      </c>
      <c r="AO63" t="s">
        <v>65</v>
      </c>
      <c r="AP63" s="3">
        <v>131</v>
      </c>
      <c r="AQ63">
        <v>2</v>
      </c>
      <c r="AR63">
        <v>1090.2439449999999</v>
      </c>
      <c r="AS63" t="s">
        <v>66</v>
      </c>
      <c r="AT63" t="s">
        <v>53</v>
      </c>
    </row>
    <row r="64" spans="1:46">
      <c r="A64">
        <v>385</v>
      </c>
      <c r="B64" t="s">
        <v>46</v>
      </c>
      <c r="C64">
        <v>5</v>
      </c>
      <c r="D64">
        <v>376</v>
      </c>
      <c r="E64" t="s">
        <v>75</v>
      </c>
      <c r="F64" t="s">
        <v>48</v>
      </c>
      <c r="G64">
        <v>5376</v>
      </c>
      <c r="H64">
        <v>5376</v>
      </c>
      <c r="I64" t="s">
        <v>49</v>
      </c>
      <c r="J64">
        <v>506</v>
      </c>
      <c r="K64" t="s">
        <v>68</v>
      </c>
      <c r="L64" t="s">
        <v>91</v>
      </c>
      <c r="M64" t="s">
        <v>53</v>
      </c>
      <c r="N64">
        <v>69831</v>
      </c>
      <c r="O64" t="s">
        <v>53</v>
      </c>
      <c r="P64" t="s">
        <v>92</v>
      </c>
      <c r="Q64" t="s">
        <v>125</v>
      </c>
      <c r="R64" t="s">
        <v>105</v>
      </c>
      <c r="S64" t="s">
        <v>57</v>
      </c>
      <c r="T64" t="s">
        <v>58</v>
      </c>
      <c r="U64" t="s">
        <v>59</v>
      </c>
      <c r="V64">
        <v>0.299263</v>
      </c>
      <c r="W64" t="s">
        <v>53</v>
      </c>
      <c r="X64" t="s">
        <v>53</v>
      </c>
      <c r="Y64" t="s">
        <v>195</v>
      </c>
      <c r="Z64" t="str">
        <f t="shared" si="0"/>
        <v>Mayor que 250 - hasta 300</v>
      </c>
      <c r="AA64">
        <f t="shared" si="1"/>
        <v>1</v>
      </c>
      <c r="AB64">
        <v>5376</v>
      </c>
      <c r="AC64" t="s">
        <v>61</v>
      </c>
      <c r="AD64" t="s">
        <v>75</v>
      </c>
      <c r="AE64">
        <v>0</v>
      </c>
      <c r="AF64" t="s">
        <v>63</v>
      </c>
      <c r="AG64">
        <v>0</v>
      </c>
      <c r="AH64" t="s">
        <v>61</v>
      </c>
      <c r="AI64" t="s">
        <v>62</v>
      </c>
      <c r="AJ64">
        <v>1.0784149999999999</v>
      </c>
      <c r="AK64" t="s">
        <v>76</v>
      </c>
      <c r="AL64">
        <v>38.271782000000002</v>
      </c>
      <c r="AM64" s="4" t="s">
        <v>65</v>
      </c>
      <c r="AN64" s="5">
        <v>7558.6170715916896</v>
      </c>
      <c r="AO64" s="4" t="s">
        <v>65</v>
      </c>
      <c r="AP64" s="6">
        <v>3171</v>
      </c>
      <c r="AQ64">
        <v>4</v>
      </c>
      <c r="AR64">
        <v>5993.4824559999997</v>
      </c>
      <c r="AS64" t="s">
        <v>66</v>
      </c>
      <c r="AT64" t="s">
        <v>53</v>
      </c>
    </row>
    <row r="65" spans="1:46">
      <c r="A65">
        <v>1117</v>
      </c>
      <c r="B65" t="s">
        <v>46</v>
      </c>
      <c r="C65">
        <v>5</v>
      </c>
      <c r="D65">
        <v>380</v>
      </c>
      <c r="E65" t="s">
        <v>203</v>
      </c>
      <c r="F65" t="s">
        <v>48</v>
      </c>
      <c r="G65">
        <v>5380</v>
      </c>
      <c r="H65">
        <v>5380</v>
      </c>
      <c r="I65" t="s">
        <v>49</v>
      </c>
      <c r="J65">
        <v>509</v>
      </c>
      <c r="K65" t="s">
        <v>50</v>
      </c>
      <c r="L65" t="s">
        <v>51</v>
      </c>
      <c r="M65" t="s">
        <v>53</v>
      </c>
      <c r="N65">
        <v>76971</v>
      </c>
      <c r="O65" t="s">
        <v>53</v>
      </c>
      <c r="P65" t="s">
        <v>92</v>
      </c>
      <c r="Q65" t="s">
        <v>210</v>
      </c>
      <c r="R65" t="s">
        <v>211</v>
      </c>
      <c r="S65" t="s">
        <v>57</v>
      </c>
      <c r="T65" t="s">
        <v>58</v>
      </c>
      <c r="U65" t="s">
        <v>81</v>
      </c>
      <c r="V65">
        <v>0.31348100000000001</v>
      </c>
      <c r="W65" t="s">
        <v>53</v>
      </c>
      <c r="X65" t="s">
        <v>53</v>
      </c>
      <c r="Y65" t="s">
        <v>120</v>
      </c>
      <c r="Z65" t="str">
        <f t="shared" si="0"/>
        <v>Mayor que 200 - hasta 250</v>
      </c>
      <c r="AA65">
        <f t="shared" si="1"/>
        <v>1</v>
      </c>
      <c r="AB65">
        <v>5380</v>
      </c>
      <c r="AC65" t="s">
        <v>61</v>
      </c>
      <c r="AD65" t="s">
        <v>203</v>
      </c>
      <c r="AE65">
        <v>0</v>
      </c>
      <c r="AF65" t="s">
        <v>63</v>
      </c>
      <c r="AG65">
        <v>0</v>
      </c>
      <c r="AH65" t="s">
        <v>61</v>
      </c>
      <c r="AI65" t="s">
        <v>62</v>
      </c>
      <c r="AJ65">
        <v>0.47692499999999999</v>
      </c>
      <c r="AK65" t="s">
        <v>63</v>
      </c>
      <c r="AL65">
        <v>19.675231</v>
      </c>
      <c r="AM65" s="4" t="s">
        <v>64</v>
      </c>
      <c r="AN65" s="5">
        <v>1355.7788724233847</v>
      </c>
      <c r="AO65" s="4" t="s">
        <v>65</v>
      </c>
      <c r="AP65" s="6">
        <v>547</v>
      </c>
      <c r="AQ65">
        <v>4</v>
      </c>
      <c r="AR65">
        <v>2163.4947900000002</v>
      </c>
      <c r="AS65" t="s">
        <v>66</v>
      </c>
      <c r="AT65" t="s">
        <v>53</v>
      </c>
    </row>
    <row r="66" spans="1:46">
      <c r="A66">
        <v>384</v>
      </c>
      <c r="B66" t="s">
        <v>46</v>
      </c>
      <c r="C66">
        <v>5</v>
      </c>
      <c r="D66">
        <v>390</v>
      </c>
      <c r="E66" t="s">
        <v>212</v>
      </c>
      <c r="F66" t="s">
        <v>48</v>
      </c>
      <c r="G66">
        <v>5390</v>
      </c>
      <c r="H66">
        <v>5390</v>
      </c>
      <c r="I66" t="s">
        <v>49</v>
      </c>
      <c r="J66">
        <v>507</v>
      </c>
      <c r="K66" t="s">
        <v>90</v>
      </c>
      <c r="L66" t="s">
        <v>91</v>
      </c>
      <c r="M66" t="s">
        <v>53</v>
      </c>
      <c r="N66">
        <v>8571</v>
      </c>
      <c r="O66" t="s">
        <v>53</v>
      </c>
      <c r="P66" t="s">
        <v>70</v>
      </c>
      <c r="Q66" t="s">
        <v>71</v>
      </c>
      <c r="R66" t="s">
        <v>122</v>
      </c>
      <c r="S66" t="s">
        <v>57</v>
      </c>
      <c r="T66" t="s">
        <v>58</v>
      </c>
      <c r="U66" t="s">
        <v>59</v>
      </c>
      <c r="V66">
        <v>0.64743600000000001</v>
      </c>
      <c r="W66">
        <v>2024</v>
      </c>
      <c r="X66" t="s">
        <v>106</v>
      </c>
      <c r="Y66" t="s">
        <v>107</v>
      </c>
      <c r="Z66" t="str">
        <f t="shared" si="0"/>
        <v>Mayor que 80 - hasta 100</v>
      </c>
      <c r="AA66">
        <f t="shared" si="1"/>
        <v>0</v>
      </c>
      <c r="AB66">
        <v>5390</v>
      </c>
      <c r="AC66" t="s">
        <v>61</v>
      </c>
      <c r="AD66" t="s">
        <v>96</v>
      </c>
      <c r="AE66">
        <v>1.344608</v>
      </c>
      <c r="AF66" t="s">
        <v>76</v>
      </c>
      <c r="AG66">
        <v>50.093102000000002</v>
      </c>
      <c r="AH66" t="s">
        <v>61</v>
      </c>
      <c r="AI66" t="s">
        <v>62</v>
      </c>
      <c r="AJ66">
        <v>1.8202879999999999</v>
      </c>
      <c r="AK66" t="s">
        <v>76</v>
      </c>
      <c r="AL66">
        <v>73.299704000000006</v>
      </c>
      <c r="AM66" t="s">
        <v>64</v>
      </c>
      <c r="AN66" s="7">
        <v>2659.2422097887338</v>
      </c>
      <c r="AO66" t="s">
        <v>65</v>
      </c>
      <c r="AP66" s="3">
        <v>237</v>
      </c>
      <c r="AQ66">
        <v>3</v>
      </c>
      <c r="AR66">
        <v>2710.194113</v>
      </c>
      <c r="AS66" t="s">
        <v>66</v>
      </c>
      <c r="AT66" t="s">
        <v>53</v>
      </c>
    </row>
    <row r="67" spans="1:46">
      <c r="A67">
        <v>383</v>
      </c>
      <c r="B67" t="s">
        <v>46</v>
      </c>
      <c r="C67">
        <v>5</v>
      </c>
      <c r="D67">
        <v>400</v>
      </c>
      <c r="E67" t="s">
        <v>213</v>
      </c>
      <c r="F67" t="s">
        <v>48</v>
      </c>
      <c r="G67">
        <v>5400</v>
      </c>
      <c r="H67">
        <v>5400</v>
      </c>
      <c r="I67" t="s">
        <v>49</v>
      </c>
      <c r="J67">
        <v>506</v>
      </c>
      <c r="K67" t="s">
        <v>68</v>
      </c>
      <c r="L67" t="s">
        <v>91</v>
      </c>
      <c r="M67" t="s">
        <v>53</v>
      </c>
      <c r="N67">
        <v>22870</v>
      </c>
      <c r="O67" t="s">
        <v>53</v>
      </c>
      <c r="P67" t="s">
        <v>70</v>
      </c>
      <c r="Q67" t="s">
        <v>71</v>
      </c>
      <c r="R67" t="s">
        <v>56</v>
      </c>
      <c r="S67" t="s">
        <v>57</v>
      </c>
      <c r="T67" t="s">
        <v>58</v>
      </c>
      <c r="U67" t="s">
        <v>59</v>
      </c>
      <c r="V67">
        <v>0.36036299999999999</v>
      </c>
      <c r="W67" t="s">
        <v>53</v>
      </c>
      <c r="X67" t="s">
        <v>53</v>
      </c>
      <c r="Y67" t="s">
        <v>183</v>
      </c>
      <c r="Z67" t="str">
        <f t="shared" ref="Z67:Z130" si="2">IF(LEFT(Y67,10)="Irradiado_",
   RIGHT(Y67, LEN(Y67)-10),   Y67)</f>
        <v>Mayor que 120 - hasta 140</v>
      </c>
      <c r="AA67">
        <f t="shared" ref="AA67:AA130" si="3">IF(LEFT(Y67,10)="Irradiado_", 1, 0)</f>
        <v>1</v>
      </c>
      <c r="AB67">
        <v>5400</v>
      </c>
      <c r="AC67" t="s">
        <v>61</v>
      </c>
      <c r="AD67" t="s">
        <v>75</v>
      </c>
      <c r="AE67">
        <v>0.28956100000000001</v>
      </c>
      <c r="AF67" t="s">
        <v>63</v>
      </c>
      <c r="AG67">
        <v>11.905381999999999</v>
      </c>
      <c r="AH67" t="s">
        <v>61</v>
      </c>
      <c r="AI67" t="s">
        <v>62</v>
      </c>
      <c r="AJ67">
        <v>1.352031</v>
      </c>
      <c r="AK67" t="s">
        <v>76</v>
      </c>
      <c r="AL67">
        <v>50.118586000000001</v>
      </c>
      <c r="AM67" s="4" t="s">
        <v>65</v>
      </c>
      <c r="AN67" s="5">
        <v>10857.846029339631</v>
      </c>
      <c r="AO67" s="4" t="s">
        <v>65</v>
      </c>
      <c r="AP67" s="6">
        <v>3165</v>
      </c>
      <c r="AQ67">
        <v>4</v>
      </c>
      <c r="AR67">
        <v>7029.433618</v>
      </c>
      <c r="AS67" t="s">
        <v>66</v>
      </c>
      <c r="AT67" t="s">
        <v>53</v>
      </c>
    </row>
    <row r="68" spans="1:46">
      <c r="A68">
        <v>382</v>
      </c>
      <c r="B68" t="s">
        <v>46</v>
      </c>
      <c r="C68">
        <v>5</v>
      </c>
      <c r="D68">
        <v>411</v>
      </c>
      <c r="E68" t="s">
        <v>214</v>
      </c>
      <c r="F68" t="s">
        <v>48</v>
      </c>
      <c r="G68">
        <v>5411</v>
      </c>
      <c r="H68">
        <v>5411</v>
      </c>
      <c r="I68" t="s">
        <v>49</v>
      </c>
      <c r="J68">
        <v>505</v>
      </c>
      <c r="K68" t="s">
        <v>79</v>
      </c>
      <c r="L68" t="s">
        <v>80</v>
      </c>
      <c r="M68" t="s">
        <v>53</v>
      </c>
      <c r="N68">
        <v>10556</v>
      </c>
      <c r="O68" t="s">
        <v>53</v>
      </c>
      <c r="P68" t="s">
        <v>70</v>
      </c>
      <c r="Q68" t="s">
        <v>71</v>
      </c>
      <c r="R68" t="s">
        <v>72</v>
      </c>
      <c r="S68" t="s">
        <v>57</v>
      </c>
      <c r="T68" t="s">
        <v>58</v>
      </c>
      <c r="U68" t="s">
        <v>81</v>
      </c>
      <c r="V68">
        <v>0.679562</v>
      </c>
      <c r="W68" t="s">
        <v>53</v>
      </c>
      <c r="X68" t="s">
        <v>53</v>
      </c>
      <c r="Y68" t="s">
        <v>136</v>
      </c>
      <c r="Z68" t="str">
        <f t="shared" si="2"/>
        <v>Mayor que 100 - hasta 120</v>
      </c>
      <c r="AA68">
        <f t="shared" si="3"/>
        <v>1</v>
      </c>
      <c r="AB68">
        <v>5411</v>
      </c>
      <c r="AC68" t="s">
        <v>61</v>
      </c>
      <c r="AD68" t="s">
        <v>83</v>
      </c>
      <c r="AE68">
        <v>2.1155210000000002</v>
      </c>
      <c r="AF68" t="s">
        <v>77</v>
      </c>
      <c r="AG68">
        <v>71.193816999999996</v>
      </c>
      <c r="AH68" t="s">
        <v>61</v>
      </c>
      <c r="AI68" t="s">
        <v>62</v>
      </c>
      <c r="AJ68">
        <v>2.6763979999999998</v>
      </c>
      <c r="AK68" t="s">
        <v>77</v>
      </c>
      <c r="AL68">
        <v>80.477879000000001</v>
      </c>
      <c r="AM68" s="4" t="s">
        <v>64</v>
      </c>
      <c r="AN68" s="5">
        <v>11175.65948825048</v>
      </c>
      <c r="AO68" s="4" t="s">
        <v>65</v>
      </c>
      <c r="AP68" s="6">
        <v>2560</v>
      </c>
      <c r="AQ68">
        <v>4</v>
      </c>
      <c r="AR68">
        <v>11809.197129</v>
      </c>
      <c r="AS68" t="s">
        <v>66</v>
      </c>
      <c r="AT68" t="s">
        <v>53</v>
      </c>
    </row>
    <row r="69" spans="1:46">
      <c r="A69">
        <v>381</v>
      </c>
      <c r="B69" t="s">
        <v>46</v>
      </c>
      <c r="C69">
        <v>5</v>
      </c>
      <c r="D69">
        <v>425</v>
      </c>
      <c r="E69" t="s">
        <v>215</v>
      </c>
      <c r="F69" t="s">
        <v>48</v>
      </c>
      <c r="G69">
        <v>5425</v>
      </c>
      <c r="H69">
        <v>5425</v>
      </c>
      <c r="I69" t="s">
        <v>49</v>
      </c>
      <c r="J69">
        <v>502</v>
      </c>
      <c r="K69" t="s">
        <v>158</v>
      </c>
      <c r="L69" t="s">
        <v>69</v>
      </c>
      <c r="M69" t="s">
        <v>53</v>
      </c>
      <c r="N69">
        <v>8646</v>
      </c>
      <c r="O69" t="s">
        <v>53</v>
      </c>
      <c r="P69" t="s">
        <v>70</v>
      </c>
      <c r="Q69" t="s">
        <v>71</v>
      </c>
      <c r="R69" t="s">
        <v>93</v>
      </c>
      <c r="S69" t="s">
        <v>57</v>
      </c>
      <c r="T69" t="s">
        <v>58</v>
      </c>
      <c r="U69" t="s">
        <v>119</v>
      </c>
      <c r="V69">
        <v>0.52038899999999999</v>
      </c>
      <c r="W69" t="s">
        <v>53</v>
      </c>
      <c r="X69" t="s">
        <v>53</v>
      </c>
      <c r="Y69" t="s">
        <v>116</v>
      </c>
      <c r="Z69" t="str">
        <f t="shared" si="2"/>
        <v>Mayor que 30 - hasta 40</v>
      </c>
      <c r="AA69">
        <f t="shared" si="3"/>
        <v>1</v>
      </c>
      <c r="AB69">
        <v>5425</v>
      </c>
      <c r="AC69" t="s">
        <v>61</v>
      </c>
      <c r="AD69" t="s">
        <v>159</v>
      </c>
      <c r="AE69">
        <v>1.3356969999999999</v>
      </c>
      <c r="AF69" t="s">
        <v>76</v>
      </c>
      <c r="AG69">
        <v>63.392597000000002</v>
      </c>
      <c r="AH69" t="s">
        <v>61</v>
      </c>
      <c r="AI69" t="s">
        <v>62</v>
      </c>
      <c r="AJ69">
        <v>2.9205399999999999</v>
      </c>
      <c r="AK69" t="s">
        <v>77</v>
      </c>
      <c r="AL69">
        <v>117.66976200000001</v>
      </c>
      <c r="AM69" s="4" t="s">
        <v>64</v>
      </c>
      <c r="AN69" s="5">
        <v>23076.829110829338</v>
      </c>
      <c r="AO69" s="4" t="s">
        <v>65</v>
      </c>
      <c r="AP69" s="6">
        <v>1379</v>
      </c>
      <c r="AQ69">
        <v>4</v>
      </c>
      <c r="AR69">
        <v>23884.720410000002</v>
      </c>
      <c r="AS69" t="s">
        <v>66</v>
      </c>
      <c r="AT69" t="s">
        <v>53</v>
      </c>
    </row>
    <row r="70" spans="1:46">
      <c r="A70">
        <v>380</v>
      </c>
      <c r="B70" t="s">
        <v>46</v>
      </c>
      <c r="C70">
        <v>5</v>
      </c>
      <c r="D70">
        <v>440</v>
      </c>
      <c r="E70" t="s">
        <v>200</v>
      </c>
      <c r="F70" t="s">
        <v>48</v>
      </c>
      <c r="G70">
        <v>5440</v>
      </c>
      <c r="H70">
        <v>5440</v>
      </c>
      <c r="I70" t="s">
        <v>49</v>
      </c>
      <c r="J70">
        <v>506</v>
      </c>
      <c r="K70" t="s">
        <v>68</v>
      </c>
      <c r="L70" t="s">
        <v>91</v>
      </c>
      <c r="M70" t="s">
        <v>53</v>
      </c>
      <c r="N70">
        <v>69343</v>
      </c>
      <c r="O70" t="s">
        <v>53</v>
      </c>
      <c r="P70" t="s">
        <v>92</v>
      </c>
      <c r="Q70" t="s">
        <v>134</v>
      </c>
      <c r="R70" t="s">
        <v>122</v>
      </c>
      <c r="S70" t="s">
        <v>57</v>
      </c>
      <c r="T70" t="s">
        <v>58</v>
      </c>
      <c r="U70" t="s">
        <v>59</v>
      </c>
      <c r="V70">
        <v>0.424126</v>
      </c>
      <c r="W70" t="s">
        <v>53</v>
      </c>
      <c r="X70" t="s">
        <v>53</v>
      </c>
      <c r="Y70" t="s">
        <v>195</v>
      </c>
      <c r="Z70" t="str">
        <f t="shared" si="2"/>
        <v>Mayor que 250 - hasta 300</v>
      </c>
      <c r="AA70">
        <f t="shared" si="3"/>
        <v>1</v>
      </c>
      <c r="AB70">
        <v>5440</v>
      </c>
      <c r="AC70" t="s">
        <v>61</v>
      </c>
      <c r="AD70" t="s">
        <v>200</v>
      </c>
      <c r="AE70">
        <v>0</v>
      </c>
      <c r="AF70" t="s">
        <v>63</v>
      </c>
      <c r="AG70">
        <v>0</v>
      </c>
      <c r="AH70" t="s">
        <v>61</v>
      </c>
      <c r="AI70" t="s">
        <v>62</v>
      </c>
      <c r="AJ70">
        <v>1.288767</v>
      </c>
      <c r="AK70" t="s">
        <v>76</v>
      </c>
      <c r="AL70">
        <v>49.218586000000002</v>
      </c>
      <c r="AM70" s="4" t="s">
        <v>65</v>
      </c>
      <c r="AN70" s="5">
        <v>9666.6394033004108</v>
      </c>
      <c r="AO70" s="4" t="s">
        <v>65</v>
      </c>
      <c r="AP70" s="6">
        <v>6639</v>
      </c>
      <c r="AQ70">
        <v>2</v>
      </c>
      <c r="AR70">
        <v>5873.6215700000002</v>
      </c>
      <c r="AS70" t="s">
        <v>66</v>
      </c>
      <c r="AT70" t="s">
        <v>53</v>
      </c>
    </row>
    <row r="71" spans="1:46">
      <c r="A71">
        <v>379</v>
      </c>
      <c r="B71" t="s">
        <v>46</v>
      </c>
      <c r="C71">
        <v>5</v>
      </c>
      <c r="D71">
        <v>467</v>
      </c>
      <c r="E71" t="s">
        <v>216</v>
      </c>
      <c r="F71" t="s">
        <v>48</v>
      </c>
      <c r="G71">
        <v>5467</v>
      </c>
      <c r="H71">
        <v>5467</v>
      </c>
      <c r="I71" t="s">
        <v>49</v>
      </c>
      <c r="J71">
        <v>507</v>
      </c>
      <c r="K71" t="s">
        <v>90</v>
      </c>
      <c r="L71" t="s">
        <v>91</v>
      </c>
      <c r="M71" t="s">
        <v>53</v>
      </c>
      <c r="N71">
        <v>6973</v>
      </c>
      <c r="O71" t="s">
        <v>53</v>
      </c>
      <c r="P71" t="s">
        <v>70</v>
      </c>
      <c r="Q71" t="s">
        <v>71</v>
      </c>
      <c r="R71" t="s">
        <v>122</v>
      </c>
      <c r="S71" t="s">
        <v>57</v>
      </c>
      <c r="T71" t="s">
        <v>73</v>
      </c>
      <c r="U71" t="s">
        <v>59</v>
      </c>
      <c r="V71">
        <v>0.28265600000000002</v>
      </c>
      <c r="W71">
        <v>2024</v>
      </c>
      <c r="X71" t="s">
        <v>217</v>
      </c>
      <c r="Y71" t="s">
        <v>218</v>
      </c>
      <c r="Z71" t="str">
        <f t="shared" si="2"/>
        <v>Mayor que 40 - hasta 50</v>
      </c>
      <c r="AA71">
        <f t="shared" si="3"/>
        <v>0</v>
      </c>
      <c r="AB71">
        <v>5467</v>
      </c>
      <c r="AC71" t="s">
        <v>61</v>
      </c>
      <c r="AD71" t="s">
        <v>75</v>
      </c>
      <c r="AE71">
        <v>0.74345799999999995</v>
      </c>
      <c r="AF71" t="s">
        <v>63</v>
      </c>
      <c r="AG71">
        <v>23.179393999999998</v>
      </c>
      <c r="AH71" t="s">
        <v>61</v>
      </c>
      <c r="AI71" t="s">
        <v>62</v>
      </c>
      <c r="AJ71">
        <v>1.262116</v>
      </c>
      <c r="AK71" t="s">
        <v>76</v>
      </c>
      <c r="AL71">
        <v>49.858787999999997</v>
      </c>
      <c r="AM71" t="s">
        <v>65</v>
      </c>
      <c r="AN71" s="7">
        <v>937.99482607551761</v>
      </c>
      <c r="AO71" t="s">
        <v>65</v>
      </c>
      <c r="AP71" s="3">
        <v>566</v>
      </c>
      <c r="AQ71">
        <v>3</v>
      </c>
      <c r="AR71">
        <v>914.562949</v>
      </c>
      <c r="AS71" t="s">
        <v>66</v>
      </c>
      <c r="AT71" t="s">
        <v>53</v>
      </c>
    </row>
    <row r="72" spans="1:46">
      <c r="A72">
        <v>401</v>
      </c>
      <c r="B72" t="s">
        <v>46</v>
      </c>
      <c r="C72">
        <v>5</v>
      </c>
      <c r="D72">
        <v>475</v>
      </c>
      <c r="E72" t="s">
        <v>219</v>
      </c>
      <c r="F72" t="s">
        <v>48</v>
      </c>
      <c r="G72">
        <v>5475</v>
      </c>
      <c r="H72">
        <v>5475</v>
      </c>
      <c r="I72" t="s">
        <v>49</v>
      </c>
      <c r="J72">
        <v>508</v>
      </c>
      <c r="K72" t="s">
        <v>124</v>
      </c>
      <c r="L72" t="s">
        <v>80</v>
      </c>
      <c r="M72" t="s">
        <v>53</v>
      </c>
      <c r="N72">
        <v>5263</v>
      </c>
      <c r="O72" t="s">
        <v>53</v>
      </c>
      <c r="P72" t="s">
        <v>70</v>
      </c>
      <c r="Q72" t="s">
        <v>71</v>
      </c>
      <c r="R72" t="s">
        <v>105</v>
      </c>
      <c r="S72" t="s">
        <v>220</v>
      </c>
      <c r="T72" t="s">
        <v>73</v>
      </c>
      <c r="U72" t="s">
        <v>119</v>
      </c>
      <c r="V72">
        <v>0.1875</v>
      </c>
      <c r="W72" t="s">
        <v>53</v>
      </c>
      <c r="X72" t="s">
        <v>53</v>
      </c>
      <c r="Y72" t="s">
        <v>82</v>
      </c>
      <c r="Z72" t="str">
        <f t="shared" si="2"/>
        <v>Mayor que 15 - hasta 20</v>
      </c>
      <c r="AA72">
        <f t="shared" si="3"/>
        <v>1</v>
      </c>
      <c r="AB72">
        <v>5475</v>
      </c>
      <c r="AC72" t="s">
        <v>61</v>
      </c>
      <c r="AD72" t="s">
        <v>171</v>
      </c>
      <c r="AE72">
        <v>5.858009</v>
      </c>
      <c r="AF72" t="s">
        <v>211</v>
      </c>
      <c r="AG72">
        <v>150.45626300000001</v>
      </c>
      <c r="AH72" t="s">
        <v>129</v>
      </c>
      <c r="AI72" t="s">
        <v>130</v>
      </c>
      <c r="AJ72">
        <v>10.672777</v>
      </c>
      <c r="AK72" t="s">
        <v>221</v>
      </c>
      <c r="AL72">
        <v>402.57375200000001</v>
      </c>
      <c r="AM72" s="4" t="e">
        <v>#N/A</v>
      </c>
      <c r="AN72" s="5" t="e">
        <v>#N/A</v>
      </c>
      <c r="AO72" s="4" t="e">
        <v>#N/A</v>
      </c>
      <c r="AP72" s="6" t="e">
        <v>#N/A</v>
      </c>
      <c r="AQ72">
        <v>2</v>
      </c>
      <c r="AR72">
        <v>390.06256400000001</v>
      </c>
      <c r="AS72" t="s">
        <v>66</v>
      </c>
      <c r="AT72" t="s">
        <v>53</v>
      </c>
    </row>
    <row r="73" spans="1:46">
      <c r="A73">
        <v>378</v>
      </c>
      <c r="B73" t="s">
        <v>46</v>
      </c>
      <c r="C73">
        <v>5</v>
      </c>
      <c r="D73">
        <v>480</v>
      </c>
      <c r="E73" t="s">
        <v>222</v>
      </c>
      <c r="F73" t="s">
        <v>48</v>
      </c>
      <c r="G73">
        <v>5480</v>
      </c>
      <c r="H73">
        <v>5480</v>
      </c>
      <c r="I73" t="s">
        <v>49</v>
      </c>
      <c r="J73">
        <v>508</v>
      </c>
      <c r="K73" t="s">
        <v>124</v>
      </c>
      <c r="L73" t="s">
        <v>80</v>
      </c>
      <c r="M73" t="s">
        <v>53</v>
      </c>
      <c r="N73">
        <v>14904</v>
      </c>
      <c r="O73" t="s">
        <v>53</v>
      </c>
      <c r="P73" t="s">
        <v>70</v>
      </c>
      <c r="Q73" t="s">
        <v>71</v>
      </c>
      <c r="R73" t="s">
        <v>56</v>
      </c>
      <c r="S73" t="s">
        <v>126</v>
      </c>
      <c r="T73" t="s">
        <v>73</v>
      </c>
      <c r="U73" t="s">
        <v>101</v>
      </c>
      <c r="V73">
        <v>0.66421300000000005</v>
      </c>
      <c r="W73" t="s">
        <v>53</v>
      </c>
      <c r="X73" t="s">
        <v>53</v>
      </c>
      <c r="Y73" t="s">
        <v>87</v>
      </c>
      <c r="Z73" t="str">
        <f t="shared" si="2"/>
        <v>Mayor que 40 - hasta 50</v>
      </c>
      <c r="AA73">
        <f t="shared" si="3"/>
        <v>1</v>
      </c>
      <c r="AB73">
        <v>5480</v>
      </c>
      <c r="AC73" t="s">
        <v>61</v>
      </c>
      <c r="AD73" t="s">
        <v>171</v>
      </c>
      <c r="AE73">
        <v>1.10378</v>
      </c>
      <c r="AF73" t="s">
        <v>76</v>
      </c>
      <c r="AG73">
        <v>61.009754999999998</v>
      </c>
      <c r="AH73" t="s">
        <v>129</v>
      </c>
      <c r="AI73" t="s">
        <v>130</v>
      </c>
      <c r="AJ73">
        <v>5.9185489999999996</v>
      </c>
      <c r="AK73" t="s">
        <v>181</v>
      </c>
      <c r="AL73">
        <v>313.12724400000002</v>
      </c>
      <c r="AM73" s="4" t="s">
        <v>64</v>
      </c>
      <c r="AN73" s="5">
        <v>33408.306943055184</v>
      </c>
      <c r="AO73" s="4" t="s">
        <v>65</v>
      </c>
      <c r="AP73" s="6">
        <v>698</v>
      </c>
      <c r="AQ73">
        <v>2</v>
      </c>
      <c r="AR73">
        <v>20262.348677000002</v>
      </c>
      <c r="AS73" t="s">
        <v>66</v>
      </c>
      <c r="AT73" t="s">
        <v>53</v>
      </c>
    </row>
    <row r="74" spans="1:46">
      <c r="A74">
        <v>377</v>
      </c>
      <c r="B74" t="s">
        <v>46</v>
      </c>
      <c r="C74">
        <v>5</v>
      </c>
      <c r="D74">
        <v>483</v>
      </c>
      <c r="E74" t="s">
        <v>223</v>
      </c>
      <c r="F74" t="s">
        <v>48</v>
      </c>
      <c r="G74">
        <v>5483</v>
      </c>
      <c r="H74">
        <v>5483</v>
      </c>
      <c r="I74" t="s">
        <v>49</v>
      </c>
      <c r="J74">
        <v>506</v>
      </c>
      <c r="K74" t="s">
        <v>68</v>
      </c>
      <c r="L74" t="s">
        <v>69</v>
      </c>
      <c r="M74" t="s">
        <v>53</v>
      </c>
      <c r="N74">
        <v>10723</v>
      </c>
      <c r="O74" t="s">
        <v>53</v>
      </c>
      <c r="P74" t="s">
        <v>70</v>
      </c>
      <c r="Q74" t="s">
        <v>71</v>
      </c>
      <c r="R74" t="s">
        <v>56</v>
      </c>
      <c r="S74" t="s">
        <v>57</v>
      </c>
      <c r="T74" t="s">
        <v>73</v>
      </c>
      <c r="U74" t="s">
        <v>119</v>
      </c>
      <c r="V74">
        <v>0.40675600000000001</v>
      </c>
      <c r="W74" t="s">
        <v>53</v>
      </c>
      <c r="X74" t="s">
        <v>53</v>
      </c>
      <c r="Y74" t="s">
        <v>116</v>
      </c>
      <c r="Z74" t="str">
        <f t="shared" si="2"/>
        <v>Mayor que 30 - hasta 40</v>
      </c>
      <c r="AA74">
        <f t="shared" si="3"/>
        <v>1</v>
      </c>
      <c r="AB74">
        <v>5483</v>
      </c>
      <c r="AC74" t="s">
        <v>61</v>
      </c>
      <c r="AD74" t="s">
        <v>75</v>
      </c>
      <c r="AE74">
        <v>1.921017</v>
      </c>
      <c r="AF74" t="s">
        <v>76</v>
      </c>
      <c r="AG74">
        <v>78.350671000000006</v>
      </c>
      <c r="AH74" t="s">
        <v>61</v>
      </c>
      <c r="AI74" t="s">
        <v>62</v>
      </c>
      <c r="AJ74">
        <v>2.9834870000000002</v>
      </c>
      <c r="AK74" t="s">
        <v>77</v>
      </c>
      <c r="AL74">
        <v>116.563874</v>
      </c>
      <c r="AM74" s="4" t="s">
        <v>65</v>
      </c>
      <c r="AN74" s="5">
        <v>10489.310058391075</v>
      </c>
      <c r="AO74" s="4" t="s">
        <v>65</v>
      </c>
      <c r="AP74" s="6">
        <v>2412</v>
      </c>
      <c r="AQ74">
        <v>4</v>
      </c>
      <c r="AR74">
        <v>15869.726417</v>
      </c>
      <c r="AS74" t="s">
        <v>66</v>
      </c>
      <c r="AT74" t="s">
        <v>53</v>
      </c>
    </row>
    <row r="75" spans="1:46">
      <c r="A75">
        <v>376</v>
      </c>
      <c r="B75" t="s">
        <v>46</v>
      </c>
      <c r="C75">
        <v>5</v>
      </c>
      <c r="D75">
        <v>490</v>
      </c>
      <c r="E75" t="s">
        <v>224</v>
      </c>
      <c r="F75" t="s">
        <v>48</v>
      </c>
      <c r="G75">
        <v>5490</v>
      </c>
      <c r="H75">
        <v>5490</v>
      </c>
      <c r="I75" t="s">
        <v>49</v>
      </c>
      <c r="J75">
        <v>508</v>
      </c>
      <c r="K75" t="s">
        <v>124</v>
      </c>
      <c r="L75" t="s">
        <v>80</v>
      </c>
      <c r="M75" t="s">
        <v>53</v>
      </c>
      <c r="N75">
        <v>45151</v>
      </c>
      <c r="O75" t="s">
        <v>53</v>
      </c>
      <c r="P75" t="s">
        <v>92</v>
      </c>
      <c r="Q75" t="s">
        <v>71</v>
      </c>
      <c r="R75" t="s">
        <v>122</v>
      </c>
      <c r="S75" t="s">
        <v>126</v>
      </c>
      <c r="T75" t="s">
        <v>73</v>
      </c>
      <c r="U75" t="s">
        <v>119</v>
      </c>
      <c r="V75">
        <v>0.74726800000000004</v>
      </c>
      <c r="W75" t="s">
        <v>53</v>
      </c>
      <c r="X75" t="s">
        <v>53</v>
      </c>
      <c r="Y75" t="s">
        <v>102</v>
      </c>
      <c r="Z75" t="str">
        <f t="shared" si="2"/>
        <v>Mayor que 20 - hasta 30</v>
      </c>
      <c r="AA75">
        <f t="shared" si="3"/>
        <v>1</v>
      </c>
      <c r="AB75">
        <v>5490</v>
      </c>
      <c r="AC75" t="s">
        <v>61</v>
      </c>
      <c r="AD75" t="s">
        <v>225</v>
      </c>
      <c r="AE75">
        <v>0.88043899999999997</v>
      </c>
      <c r="AF75" t="s">
        <v>63</v>
      </c>
      <c r="AG75">
        <v>48.181832999999997</v>
      </c>
      <c r="AH75" t="s">
        <v>129</v>
      </c>
      <c r="AI75" t="s">
        <v>130</v>
      </c>
      <c r="AJ75">
        <v>3.0294089999999998</v>
      </c>
      <c r="AK75" t="s">
        <v>84</v>
      </c>
      <c r="AL75">
        <v>153.87219999999999</v>
      </c>
      <c r="AM75" s="4" t="s">
        <v>64</v>
      </c>
      <c r="AN75" s="5">
        <v>69841.389839779775</v>
      </c>
      <c r="AO75" s="4" t="s">
        <v>65</v>
      </c>
      <c r="AP75" s="6">
        <v>4406</v>
      </c>
      <c r="AQ75">
        <v>2</v>
      </c>
      <c r="AR75">
        <v>65560.978629000005</v>
      </c>
      <c r="AS75" t="s">
        <v>66</v>
      </c>
      <c r="AT75" t="s">
        <v>53</v>
      </c>
    </row>
    <row r="76" spans="1:46">
      <c r="A76">
        <v>375</v>
      </c>
      <c r="B76" t="s">
        <v>46</v>
      </c>
      <c r="C76">
        <v>5</v>
      </c>
      <c r="D76">
        <v>495</v>
      </c>
      <c r="E76" t="s">
        <v>226</v>
      </c>
      <c r="F76" t="s">
        <v>48</v>
      </c>
      <c r="G76">
        <v>5495</v>
      </c>
      <c r="H76">
        <v>5495</v>
      </c>
      <c r="I76" t="s">
        <v>49</v>
      </c>
      <c r="J76">
        <v>501</v>
      </c>
      <c r="K76" t="s">
        <v>152</v>
      </c>
      <c r="L76" t="s">
        <v>69</v>
      </c>
      <c r="M76" t="s">
        <v>53</v>
      </c>
      <c r="N76">
        <v>27705</v>
      </c>
      <c r="O76" t="s">
        <v>53</v>
      </c>
      <c r="P76" t="s">
        <v>70</v>
      </c>
      <c r="Q76" t="s">
        <v>71</v>
      </c>
      <c r="R76" t="s">
        <v>72</v>
      </c>
      <c r="S76" t="s">
        <v>100</v>
      </c>
      <c r="T76" t="s">
        <v>73</v>
      </c>
      <c r="U76" t="s">
        <v>101</v>
      </c>
      <c r="V76">
        <v>0.74826099999999995</v>
      </c>
      <c r="W76" t="s">
        <v>53</v>
      </c>
      <c r="X76" t="s">
        <v>53</v>
      </c>
      <c r="Y76" t="s">
        <v>102</v>
      </c>
      <c r="Z76" t="str">
        <f t="shared" si="2"/>
        <v>Mayor que 20 - hasta 30</v>
      </c>
      <c r="AA76">
        <f t="shared" si="3"/>
        <v>1</v>
      </c>
      <c r="AB76">
        <v>5495</v>
      </c>
      <c r="AC76" t="s">
        <v>61</v>
      </c>
      <c r="AD76" t="s">
        <v>153</v>
      </c>
      <c r="AE76">
        <v>2.250426</v>
      </c>
      <c r="AF76" t="s">
        <v>77</v>
      </c>
      <c r="AG76">
        <v>76.216860999999994</v>
      </c>
      <c r="AH76" t="s">
        <v>129</v>
      </c>
      <c r="AI76" t="s">
        <v>130</v>
      </c>
      <c r="AJ76">
        <v>4.2341100000000003</v>
      </c>
      <c r="AK76" t="s">
        <v>85</v>
      </c>
      <c r="AL76">
        <v>187.10987700000001</v>
      </c>
      <c r="AM76" s="4" t="s">
        <v>97</v>
      </c>
      <c r="AN76" s="5">
        <v>45724.506978698075</v>
      </c>
      <c r="AO76" s="4" t="s">
        <v>64</v>
      </c>
      <c r="AP76" s="6">
        <v>454</v>
      </c>
      <c r="AQ76">
        <v>3</v>
      </c>
      <c r="AR76">
        <v>49571.911448999999</v>
      </c>
      <c r="AS76" t="s">
        <v>66</v>
      </c>
      <c r="AT76" t="s">
        <v>53</v>
      </c>
    </row>
    <row r="77" spans="1:46">
      <c r="A77">
        <v>374</v>
      </c>
      <c r="B77" t="s">
        <v>46</v>
      </c>
      <c r="C77">
        <v>5</v>
      </c>
      <c r="D77">
        <v>501</v>
      </c>
      <c r="E77" t="s">
        <v>227</v>
      </c>
      <c r="F77" t="s">
        <v>48</v>
      </c>
      <c r="G77">
        <v>5501</v>
      </c>
      <c r="H77">
        <v>5501</v>
      </c>
      <c r="I77" t="s">
        <v>49</v>
      </c>
      <c r="J77">
        <v>505</v>
      </c>
      <c r="K77" t="s">
        <v>79</v>
      </c>
      <c r="L77" t="s">
        <v>80</v>
      </c>
      <c r="M77" t="s">
        <v>53</v>
      </c>
      <c r="N77">
        <v>3292</v>
      </c>
      <c r="O77" t="s">
        <v>53</v>
      </c>
      <c r="P77" t="s">
        <v>70</v>
      </c>
      <c r="Q77" t="s">
        <v>71</v>
      </c>
      <c r="R77" t="s">
        <v>72</v>
      </c>
      <c r="S77" t="s">
        <v>57</v>
      </c>
      <c r="T77" t="s">
        <v>58</v>
      </c>
      <c r="U77" t="s">
        <v>119</v>
      </c>
      <c r="V77">
        <v>0.55395300000000003</v>
      </c>
      <c r="W77" t="s">
        <v>53</v>
      </c>
      <c r="X77" t="s">
        <v>53</v>
      </c>
      <c r="Y77" t="s">
        <v>228</v>
      </c>
      <c r="Z77" t="str">
        <f t="shared" si="2"/>
        <v>Mayor que 180 - hasta 200</v>
      </c>
      <c r="AA77">
        <f t="shared" si="3"/>
        <v>1</v>
      </c>
      <c r="AB77">
        <v>5501</v>
      </c>
      <c r="AC77" t="s">
        <v>61</v>
      </c>
      <c r="AD77" t="s">
        <v>83</v>
      </c>
      <c r="AE77">
        <v>1.9567859999999999</v>
      </c>
      <c r="AF77" t="s">
        <v>76</v>
      </c>
      <c r="AG77">
        <v>64.582547000000005</v>
      </c>
      <c r="AH77" t="s">
        <v>61</v>
      </c>
      <c r="AI77" t="s">
        <v>62</v>
      </c>
      <c r="AJ77">
        <v>2.5176630000000002</v>
      </c>
      <c r="AK77" t="s">
        <v>77</v>
      </c>
      <c r="AL77">
        <v>73.866608999999997</v>
      </c>
      <c r="AM77" s="4" t="s">
        <v>64</v>
      </c>
      <c r="AN77" s="5">
        <v>4169.3492868422527</v>
      </c>
      <c r="AO77" s="4" t="s">
        <v>65</v>
      </c>
      <c r="AP77" s="6">
        <v>1276</v>
      </c>
      <c r="AQ77">
        <v>3</v>
      </c>
      <c r="AR77">
        <v>5893.6906779999999</v>
      </c>
      <c r="AS77" t="s">
        <v>66</v>
      </c>
      <c r="AT77" t="s">
        <v>53</v>
      </c>
    </row>
    <row r="78" spans="1:46">
      <c r="A78">
        <v>373</v>
      </c>
      <c r="B78" t="s">
        <v>46</v>
      </c>
      <c r="C78">
        <v>5</v>
      </c>
      <c r="D78">
        <v>541</v>
      </c>
      <c r="E78" t="s">
        <v>229</v>
      </c>
      <c r="F78" t="s">
        <v>48</v>
      </c>
      <c r="G78">
        <v>5541</v>
      </c>
      <c r="H78">
        <v>5541</v>
      </c>
      <c r="I78" t="s">
        <v>49</v>
      </c>
      <c r="J78">
        <v>506</v>
      </c>
      <c r="K78" t="s">
        <v>68</v>
      </c>
      <c r="L78" t="s">
        <v>91</v>
      </c>
      <c r="M78" t="s">
        <v>53</v>
      </c>
      <c r="N78">
        <v>22410</v>
      </c>
      <c r="O78" t="s">
        <v>53</v>
      </c>
      <c r="P78" t="s">
        <v>70</v>
      </c>
      <c r="Q78" t="s">
        <v>71</v>
      </c>
      <c r="R78" t="s">
        <v>56</v>
      </c>
      <c r="S78" t="s">
        <v>57</v>
      </c>
      <c r="T78" t="s">
        <v>58</v>
      </c>
      <c r="U78" t="s">
        <v>59</v>
      </c>
      <c r="V78">
        <v>0.31761299999999998</v>
      </c>
      <c r="W78" t="s">
        <v>53</v>
      </c>
      <c r="X78" t="s">
        <v>53</v>
      </c>
      <c r="Y78" t="s">
        <v>139</v>
      </c>
      <c r="Z78" t="str">
        <f t="shared" si="2"/>
        <v>Mayor que 300 - hasta 400</v>
      </c>
      <c r="AA78">
        <f t="shared" si="3"/>
        <v>1</v>
      </c>
      <c r="AB78">
        <v>5541</v>
      </c>
      <c r="AC78" t="s">
        <v>61</v>
      </c>
      <c r="AD78" t="s">
        <v>200</v>
      </c>
      <c r="AE78">
        <v>0.49896400000000002</v>
      </c>
      <c r="AF78" t="s">
        <v>63</v>
      </c>
      <c r="AG78">
        <v>15.195332000000001</v>
      </c>
      <c r="AH78" t="s">
        <v>61</v>
      </c>
      <c r="AI78" t="s">
        <v>62</v>
      </c>
      <c r="AJ78">
        <v>1.769374</v>
      </c>
      <c r="AK78" t="s">
        <v>76</v>
      </c>
      <c r="AL78">
        <v>64.413917999999995</v>
      </c>
      <c r="AM78" s="4" t="s">
        <v>65</v>
      </c>
      <c r="AN78" s="5">
        <v>8548.8710705612721</v>
      </c>
      <c r="AO78" s="4" t="s">
        <v>65</v>
      </c>
      <c r="AP78" s="6">
        <v>6550</v>
      </c>
      <c r="AQ78">
        <v>3</v>
      </c>
      <c r="AR78">
        <v>6554.0247589999999</v>
      </c>
      <c r="AS78" t="s">
        <v>66</v>
      </c>
      <c r="AT78" t="s">
        <v>53</v>
      </c>
    </row>
    <row r="79" spans="1:46">
      <c r="A79">
        <v>372</v>
      </c>
      <c r="B79" t="s">
        <v>46</v>
      </c>
      <c r="C79">
        <v>5</v>
      </c>
      <c r="D79">
        <v>543</v>
      </c>
      <c r="E79" t="s">
        <v>230</v>
      </c>
      <c r="F79" t="s">
        <v>48</v>
      </c>
      <c r="G79">
        <v>5543</v>
      </c>
      <c r="H79">
        <v>5543</v>
      </c>
      <c r="I79" t="s">
        <v>49</v>
      </c>
      <c r="J79">
        <v>505</v>
      </c>
      <c r="K79" t="s">
        <v>79</v>
      </c>
      <c r="L79" t="s">
        <v>80</v>
      </c>
      <c r="M79" t="s">
        <v>53</v>
      </c>
      <c r="N79">
        <v>8585</v>
      </c>
      <c r="O79" t="s">
        <v>53</v>
      </c>
      <c r="P79" t="s">
        <v>70</v>
      </c>
      <c r="Q79" t="s">
        <v>71</v>
      </c>
      <c r="R79" t="s">
        <v>72</v>
      </c>
      <c r="S79" t="s">
        <v>57</v>
      </c>
      <c r="T79" t="s">
        <v>58</v>
      </c>
      <c r="U79" t="s">
        <v>119</v>
      </c>
      <c r="V79">
        <v>0.75795599999999996</v>
      </c>
      <c r="W79" t="s">
        <v>53</v>
      </c>
      <c r="X79" t="s">
        <v>53</v>
      </c>
      <c r="Y79" t="s">
        <v>102</v>
      </c>
      <c r="Z79" t="str">
        <f t="shared" si="2"/>
        <v>Mayor que 20 - hasta 30</v>
      </c>
      <c r="AA79">
        <f t="shared" si="3"/>
        <v>1</v>
      </c>
      <c r="AB79">
        <v>5543</v>
      </c>
      <c r="AC79" t="s">
        <v>61</v>
      </c>
      <c r="AD79" t="s">
        <v>83</v>
      </c>
      <c r="AE79">
        <v>5.237546</v>
      </c>
      <c r="AF79" t="s">
        <v>211</v>
      </c>
      <c r="AG79">
        <v>132.627835</v>
      </c>
      <c r="AH79" t="s">
        <v>61</v>
      </c>
      <c r="AI79" t="s">
        <v>62</v>
      </c>
      <c r="AJ79">
        <v>5.7984229999999997</v>
      </c>
      <c r="AK79" t="s">
        <v>181</v>
      </c>
      <c r="AL79">
        <v>141.91189700000001</v>
      </c>
      <c r="AM79" s="4" t="s">
        <v>64</v>
      </c>
      <c r="AN79" s="5">
        <v>21228.527362491186</v>
      </c>
      <c r="AO79" s="4" t="s">
        <v>65</v>
      </c>
      <c r="AP79" s="6">
        <v>2290</v>
      </c>
      <c r="AQ79">
        <v>4</v>
      </c>
      <c r="AR79">
        <v>37956.819210000001</v>
      </c>
      <c r="AS79" t="s">
        <v>66</v>
      </c>
      <c r="AT79" t="s">
        <v>53</v>
      </c>
    </row>
    <row r="80" spans="1:46">
      <c r="A80">
        <v>371</v>
      </c>
      <c r="B80" t="s">
        <v>46</v>
      </c>
      <c r="C80">
        <v>5</v>
      </c>
      <c r="D80">
        <v>576</v>
      </c>
      <c r="E80" t="s">
        <v>231</v>
      </c>
      <c r="F80" t="s">
        <v>48</v>
      </c>
      <c r="G80">
        <v>5576</v>
      </c>
      <c r="H80">
        <v>5576</v>
      </c>
      <c r="I80" t="s">
        <v>49</v>
      </c>
      <c r="J80">
        <v>507</v>
      </c>
      <c r="K80" t="s">
        <v>90</v>
      </c>
      <c r="L80" t="s">
        <v>91</v>
      </c>
      <c r="M80" t="s">
        <v>53</v>
      </c>
      <c r="N80">
        <v>9124</v>
      </c>
      <c r="O80" t="s">
        <v>53</v>
      </c>
      <c r="P80" t="s">
        <v>70</v>
      </c>
      <c r="Q80" t="s">
        <v>71</v>
      </c>
      <c r="R80" t="s">
        <v>56</v>
      </c>
      <c r="S80" t="s">
        <v>57</v>
      </c>
      <c r="T80" t="s">
        <v>58</v>
      </c>
      <c r="U80" t="s">
        <v>81</v>
      </c>
      <c r="V80">
        <v>0.349823</v>
      </c>
      <c r="W80">
        <v>2024</v>
      </c>
      <c r="X80" t="s">
        <v>217</v>
      </c>
      <c r="Y80" t="s">
        <v>218</v>
      </c>
      <c r="Z80" t="str">
        <f t="shared" si="2"/>
        <v>Mayor que 40 - hasta 50</v>
      </c>
      <c r="AA80">
        <f t="shared" si="3"/>
        <v>0</v>
      </c>
      <c r="AB80">
        <v>5576</v>
      </c>
      <c r="AC80" t="s">
        <v>61</v>
      </c>
      <c r="AD80" t="s">
        <v>96</v>
      </c>
      <c r="AE80">
        <v>2.0983290000000001</v>
      </c>
      <c r="AF80" t="s">
        <v>77</v>
      </c>
      <c r="AG80">
        <v>71.428130999999993</v>
      </c>
      <c r="AH80" t="s">
        <v>61</v>
      </c>
      <c r="AI80" t="s">
        <v>62</v>
      </c>
      <c r="AJ80">
        <v>2.5740090000000002</v>
      </c>
      <c r="AK80" t="s">
        <v>77</v>
      </c>
      <c r="AL80">
        <v>94.634732999999997</v>
      </c>
      <c r="AM80" t="s">
        <v>65</v>
      </c>
      <c r="AN80" s="7">
        <v>2588.4170967425421</v>
      </c>
      <c r="AO80" t="s">
        <v>65</v>
      </c>
      <c r="AP80" s="3">
        <v>1113</v>
      </c>
      <c r="AQ80">
        <v>4</v>
      </c>
      <c r="AR80">
        <v>3274.0533359999999</v>
      </c>
      <c r="AS80" t="s">
        <v>66</v>
      </c>
      <c r="AT80" t="s">
        <v>53</v>
      </c>
    </row>
    <row r="81" spans="1:46">
      <c r="A81">
        <v>370</v>
      </c>
      <c r="B81" t="s">
        <v>46</v>
      </c>
      <c r="C81">
        <v>5</v>
      </c>
      <c r="D81">
        <v>579</v>
      </c>
      <c r="E81" t="s">
        <v>232</v>
      </c>
      <c r="F81" t="s">
        <v>48</v>
      </c>
      <c r="G81">
        <v>5579</v>
      </c>
      <c r="H81">
        <v>5579</v>
      </c>
      <c r="I81" t="s">
        <v>49</v>
      </c>
      <c r="J81">
        <v>502</v>
      </c>
      <c r="K81" t="s">
        <v>158</v>
      </c>
      <c r="L81" t="s">
        <v>91</v>
      </c>
      <c r="M81" t="s">
        <v>53</v>
      </c>
      <c r="N81">
        <v>41857</v>
      </c>
      <c r="O81" t="s">
        <v>53</v>
      </c>
      <c r="P81" t="s">
        <v>92</v>
      </c>
      <c r="Q81" t="s">
        <v>71</v>
      </c>
      <c r="R81" t="s">
        <v>56</v>
      </c>
      <c r="S81" t="s">
        <v>57</v>
      </c>
      <c r="T81" t="s">
        <v>73</v>
      </c>
      <c r="U81" t="s">
        <v>119</v>
      </c>
      <c r="V81">
        <v>0.60701099999999997</v>
      </c>
      <c r="W81">
        <v>2024</v>
      </c>
      <c r="X81" t="s">
        <v>217</v>
      </c>
      <c r="Y81" t="s">
        <v>218</v>
      </c>
      <c r="Z81" t="str">
        <f t="shared" si="2"/>
        <v>Mayor que 40 - hasta 50</v>
      </c>
      <c r="AA81">
        <f t="shared" si="3"/>
        <v>0</v>
      </c>
      <c r="AB81">
        <v>5579</v>
      </c>
      <c r="AC81" t="s">
        <v>61</v>
      </c>
      <c r="AD81" t="s">
        <v>159</v>
      </c>
      <c r="AE81">
        <v>0</v>
      </c>
      <c r="AF81" t="s">
        <v>63</v>
      </c>
      <c r="AG81">
        <v>0</v>
      </c>
      <c r="AH81" t="s">
        <v>61</v>
      </c>
      <c r="AI81" t="s">
        <v>62</v>
      </c>
      <c r="AJ81">
        <v>3.9198210000000002</v>
      </c>
      <c r="AK81" t="s">
        <v>84</v>
      </c>
      <c r="AL81">
        <v>167.63981999999999</v>
      </c>
      <c r="AM81" s="4" t="s">
        <v>97</v>
      </c>
      <c r="AN81" s="5">
        <v>76539.884291785391</v>
      </c>
      <c r="AO81" s="4" t="s">
        <v>65</v>
      </c>
      <c r="AP81" s="6">
        <v>571</v>
      </c>
      <c r="AQ81">
        <v>3</v>
      </c>
      <c r="AR81">
        <v>46062.203930000003</v>
      </c>
      <c r="AS81" t="s">
        <v>66</v>
      </c>
      <c r="AT81" t="s">
        <v>53</v>
      </c>
    </row>
    <row r="82" spans="1:46">
      <c r="A82">
        <v>369</v>
      </c>
      <c r="B82" t="s">
        <v>46</v>
      </c>
      <c r="C82">
        <v>5</v>
      </c>
      <c r="D82">
        <v>585</v>
      </c>
      <c r="E82" t="s">
        <v>233</v>
      </c>
      <c r="F82" t="s">
        <v>48</v>
      </c>
      <c r="G82">
        <v>5585</v>
      </c>
      <c r="H82">
        <v>5585</v>
      </c>
      <c r="I82" t="s">
        <v>49</v>
      </c>
      <c r="J82">
        <v>502</v>
      </c>
      <c r="K82" t="s">
        <v>158</v>
      </c>
      <c r="L82" t="s">
        <v>69</v>
      </c>
      <c r="M82" t="s">
        <v>53</v>
      </c>
      <c r="N82">
        <v>15124</v>
      </c>
      <c r="O82" t="s">
        <v>53</v>
      </c>
      <c r="P82" t="s">
        <v>70</v>
      </c>
      <c r="Q82" t="s">
        <v>71</v>
      </c>
      <c r="R82" t="s">
        <v>56</v>
      </c>
      <c r="S82" t="s">
        <v>57</v>
      </c>
      <c r="T82" t="s">
        <v>58</v>
      </c>
      <c r="U82" t="s">
        <v>81</v>
      </c>
      <c r="V82">
        <v>0.62368699999999999</v>
      </c>
      <c r="W82">
        <v>2024</v>
      </c>
      <c r="X82" t="s">
        <v>147</v>
      </c>
      <c r="Y82" t="s">
        <v>148</v>
      </c>
      <c r="Z82" t="str">
        <f t="shared" si="2"/>
        <v>Mayor que 50 - hasta 60</v>
      </c>
      <c r="AA82">
        <f t="shared" si="3"/>
        <v>0</v>
      </c>
      <c r="AB82">
        <v>5585</v>
      </c>
      <c r="AC82" t="s">
        <v>234</v>
      </c>
      <c r="AD82" t="s">
        <v>235</v>
      </c>
      <c r="AE82">
        <v>1.3323799999999999</v>
      </c>
      <c r="AF82" t="s">
        <v>76</v>
      </c>
      <c r="AG82">
        <v>56.411479</v>
      </c>
      <c r="AH82" t="s">
        <v>61</v>
      </c>
      <c r="AI82" t="s">
        <v>62</v>
      </c>
      <c r="AJ82">
        <v>4.5817129999999997</v>
      </c>
      <c r="AK82" t="s">
        <v>85</v>
      </c>
      <c r="AL82">
        <v>178.845202</v>
      </c>
      <c r="AM82" s="4" t="s">
        <v>97</v>
      </c>
      <c r="AN82" s="5">
        <v>28166.35769542247</v>
      </c>
      <c r="AO82" s="4" t="s">
        <v>64</v>
      </c>
      <c r="AP82" s="6">
        <v>369</v>
      </c>
      <c r="AQ82">
        <v>2</v>
      </c>
      <c r="AR82">
        <v>21851.994382000001</v>
      </c>
      <c r="AS82" t="s">
        <v>66</v>
      </c>
      <c r="AT82" t="s">
        <v>53</v>
      </c>
    </row>
    <row r="83" spans="1:46">
      <c r="A83">
        <v>368</v>
      </c>
      <c r="B83" t="s">
        <v>46</v>
      </c>
      <c r="C83">
        <v>5</v>
      </c>
      <c r="D83">
        <v>591</v>
      </c>
      <c r="E83" t="s">
        <v>236</v>
      </c>
      <c r="F83" t="s">
        <v>48</v>
      </c>
      <c r="G83">
        <v>5591</v>
      </c>
      <c r="H83">
        <v>5591</v>
      </c>
      <c r="I83" t="s">
        <v>49</v>
      </c>
      <c r="J83">
        <v>502</v>
      </c>
      <c r="K83" t="s">
        <v>158</v>
      </c>
      <c r="L83" t="s">
        <v>91</v>
      </c>
      <c r="M83" t="s">
        <v>53</v>
      </c>
      <c r="N83">
        <v>19387</v>
      </c>
      <c r="O83" t="s">
        <v>53</v>
      </c>
      <c r="P83" t="s">
        <v>70</v>
      </c>
      <c r="Q83" t="s">
        <v>71</v>
      </c>
      <c r="R83" t="s">
        <v>122</v>
      </c>
      <c r="S83" t="s">
        <v>57</v>
      </c>
      <c r="T83" t="s">
        <v>58</v>
      </c>
      <c r="U83" t="s">
        <v>59</v>
      </c>
      <c r="V83">
        <v>0.45177699999999998</v>
      </c>
      <c r="W83" t="s">
        <v>53</v>
      </c>
      <c r="X83" t="s">
        <v>53</v>
      </c>
      <c r="Y83" t="s">
        <v>187</v>
      </c>
      <c r="Z83" t="str">
        <f t="shared" si="2"/>
        <v>Mayor que 80 - hasta 100</v>
      </c>
      <c r="AA83">
        <f t="shared" si="3"/>
        <v>1</v>
      </c>
      <c r="AB83">
        <v>5591</v>
      </c>
      <c r="AC83" t="s">
        <v>234</v>
      </c>
      <c r="AD83" t="s">
        <v>235</v>
      </c>
      <c r="AE83">
        <v>0.91494500000000001</v>
      </c>
      <c r="AF83" t="s">
        <v>63</v>
      </c>
      <c r="AG83">
        <v>35.884776000000002</v>
      </c>
      <c r="AH83" t="s">
        <v>61</v>
      </c>
      <c r="AI83" t="s">
        <v>62</v>
      </c>
      <c r="AJ83">
        <v>4.3157370000000004</v>
      </c>
      <c r="AK83" t="s">
        <v>85</v>
      </c>
      <c r="AL83">
        <v>178.62215699999999</v>
      </c>
      <c r="AM83" s="4" t="s">
        <v>97</v>
      </c>
      <c r="AN83" s="5">
        <v>18863.212792982133</v>
      </c>
      <c r="AO83" s="4" t="s">
        <v>65</v>
      </c>
      <c r="AP83" s="6">
        <v>608</v>
      </c>
      <c r="AQ83">
        <v>2</v>
      </c>
      <c r="AR83">
        <v>21283.908604</v>
      </c>
      <c r="AS83" t="s">
        <v>66</v>
      </c>
      <c r="AT83" t="s">
        <v>53</v>
      </c>
    </row>
    <row r="84" spans="1:46">
      <c r="A84">
        <v>367</v>
      </c>
      <c r="B84" t="s">
        <v>46</v>
      </c>
      <c r="C84">
        <v>5</v>
      </c>
      <c r="D84">
        <v>604</v>
      </c>
      <c r="E84" t="s">
        <v>237</v>
      </c>
      <c r="F84" t="s">
        <v>48</v>
      </c>
      <c r="G84">
        <v>5604</v>
      </c>
      <c r="H84">
        <v>5604</v>
      </c>
      <c r="I84" t="s">
        <v>49</v>
      </c>
      <c r="J84">
        <v>503</v>
      </c>
      <c r="K84" t="s">
        <v>99</v>
      </c>
      <c r="L84" t="s">
        <v>69</v>
      </c>
      <c r="M84" t="s">
        <v>53</v>
      </c>
      <c r="N84">
        <v>30277</v>
      </c>
      <c r="O84" t="s">
        <v>53</v>
      </c>
      <c r="P84" t="s">
        <v>92</v>
      </c>
      <c r="Q84" t="s">
        <v>118</v>
      </c>
      <c r="R84" t="s">
        <v>93</v>
      </c>
      <c r="S84" t="s">
        <v>100</v>
      </c>
      <c r="T84" t="s">
        <v>73</v>
      </c>
      <c r="U84" t="s">
        <v>101</v>
      </c>
      <c r="V84">
        <v>0.74588500000000002</v>
      </c>
      <c r="W84" t="s">
        <v>53</v>
      </c>
      <c r="X84" t="s">
        <v>53</v>
      </c>
      <c r="Y84" t="s">
        <v>82</v>
      </c>
      <c r="Z84" t="str">
        <f t="shared" si="2"/>
        <v>Mayor que 15 - hasta 20</v>
      </c>
      <c r="AA84">
        <f t="shared" si="3"/>
        <v>1</v>
      </c>
      <c r="AB84">
        <v>5604</v>
      </c>
      <c r="AC84" t="s">
        <v>61</v>
      </c>
      <c r="AD84" t="s">
        <v>103</v>
      </c>
      <c r="AE84">
        <v>0.216002</v>
      </c>
      <c r="AF84" t="s">
        <v>63</v>
      </c>
      <c r="AG84">
        <v>8.5183769999999992</v>
      </c>
      <c r="AH84" t="s">
        <v>61</v>
      </c>
      <c r="AI84" t="s">
        <v>62</v>
      </c>
      <c r="AJ84">
        <v>4.2945219999999997</v>
      </c>
      <c r="AK84" t="s">
        <v>85</v>
      </c>
      <c r="AL84">
        <v>173.785404</v>
      </c>
      <c r="AM84" s="4" t="s">
        <v>64</v>
      </c>
      <c r="AN84" s="5">
        <v>122218.81392327358</v>
      </c>
      <c r="AO84" s="4" t="s">
        <v>65</v>
      </c>
      <c r="AP84" s="6">
        <v>1907</v>
      </c>
      <c r="AQ84">
        <v>3</v>
      </c>
      <c r="AR84">
        <v>102994.73104300001</v>
      </c>
      <c r="AS84" t="s">
        <v>66</v>
      </c>
      <c r="AT84" t="s">
        <v>53</v>
      </c>
    </row>
    <row r="85" spans="1:46">
      <c r="A85">
        <v>366</v>
      </c>
      <c r="B85" t="s">
        <v>46</v>
      </c>
      <c r="C85">
        <v>5</v>
      </c>
      <c r="D85">
        <v>607</v>
      </c>
      <c r="E85" t="s">
        <v>238</v>
      </c>
      <c r="F85" t="s">
        <v>48</v>
      </c>
      <c r="G85">
        <v>5607</v>
      </c>
      <c r="H85">
        <v>5607</v>
      </c>
      <c r="I85" t="s">
        <v>49</v>
      </c>
      <c r="J85">
        <v>506</v>
      </c>
      <c r="K85" t="s">
        <v>68</v>
      </c>
      <c r="L85" t="s">
        <v>91</v>
      </c>
      <c r="M85" t="s">
        <v>53</v>
      </c>
      <c r="N85">
        <v>25227</v>
      </c>
      <c r="O85" t="s">
        <v>53</v>
      </c>
      <c r="P85" t="s">
        <v>70</v>
      </c>
      <c r="Q85" t="s">
        <v>125</v>
      </c>
      <c r="R85" t="s">
        <v>122</v>
      </c>
      <c r="S85" t="s">
        <v>57</v>
      </c>
      <c r="T85" t="s">
        <v>58</v>
      </c>
      <c r="U85" t="s">
        <v>81</v>
      </c>
      <c r="V85">
        <v>0.24452599999999999</v>
      </c>
      <c r="W85" t="s">
        <v>53</v>
      </c>
      <c r="X85" t="s">
        <v>53</v>
      </c>
      <c r="Y85" t="s">
        <v>120</v>
      </c>
      <c r="Z85" t="str">
        <f t="shared" si="2"/>
        <v>Mayor que 200 - hasta 250</v>
      </c>
      <c r="AA85">
        <f t="shared" si="3"/>
        <v>1</v>
      </c>
      <c r="AB85">
        <v>5607</v>
      </c>
      <c r="AC85" t="s">
        <v>61</v>
      </c>
      <c r="AD85" t="s">
        <v>75</v>
      </c>
      <c r="AE85">
        <v>0.27981499999999998</v>
      </c>
      <c r="AF85" t="s">
        <v>63</v>
      </c>
      <c r="AG85">
        <v>15.309545</v>
      </c>
      <c r="AH85" t="s">
        <v>61</v>
      </c>
      <c r="AI85" t="s">
        <v>62</v>
      </c>
      <c r="AJ85">
        <v>0.93227700000000002</v>
      </c>
      <c r="AK85" t="s">
        <v>63</v>
      </c>
      <c r="AL85">
        <v>30.297771000000001</v>
      </c>
      <c r="AM85" s="4" t="s">
        <v>64</v>
      </c>
      <c r="AN85" s="5">
        <v>8277.2210810400829</v>
      </c>
      <c r="AO85" s="4" t="s">
        <v>65</v>
      </c>
      <c r="AP85" s="6">
        <v>2589</v>
      </c>
      <c r="AQ85">
        <v>4</v>
      </c>
      <c r="AR85">
        <v>12141.003296000001</v>
      </c>
      <c r="AS85" t="s">
        <v>66</v>
      </c>
      <c r="AT85" t="s">
        <v>53</v>
      </c>
    </row>
    <row r="86" spans="1:46">
      <c r="A86">
        <v>365</v>
      </c>
      <c r="B86" t="s">
        <v>46</v>
      </c>
      <c r="C86">
        <v>5</v>
      </c>
      <c r="D86">
        <v>615</v>
      </c>
      <c r="E86" t="s">
        <v>239</v>
      </c>
      <c r="F86" t="s">
        <v>48</v>
      </c>
      <c r="G86">
        <v>5615</v>
      </c>
      <c r="H86">
        <v>5615</v>
      </c>
      <c r="I86" t="s">
        <v>49</v>
      </c>
      <c r="J86">
        <v>506</v>
      </c>
      <c r="K86" t="s">
        <v>68</v>
      </c>
      <c r="L86" t="s">
        <v>51</v>
      </c>
      <c r="M86" t="s">
        <v>53</v>
      </c>
      <c r="N86">
        <v>145704</v>
      </c>
      <c r="O86" t="s">
        <v>53</v>
      </c>
      <c r="P86" t="s">
        <v>54</v>
      </c>
      <c r="Q86" t="s">
        <v>138</v>
      </c>
      <c r="R86" t="s">
        <v>56</v>
      </c>
      <c r="S86" t="s">
        <v>57</v>
      </c>
      <c r="T86" t="s">
        <v>58</v>
      </c>
      <c r="U86" t="s">
        <v>81</v>
      </c>
      <c r="V86">
        <v>0.21800800000000001</v>
      </c>
      <c r="W86" t="s">
        <v>53</v>
      </c>
      <c r="X86" t="s">
        <v>53</v>
      </c>
      <c r="Y86" t="s">
        <v>139</v>
      </c>
      <c r="Z86" t="str">
        <f t="shared" si="2"/>
        <v>Mayor que 300 - hasta 400</v>
      </c>
      <c r="AA86">
        <f t="shared" si="3"/>
        <v>1</v>
      </c>
      <c r="AB86">
        <v>5615</v>
      </c>
      <c r="AC86" t="s">
        <v>61</v>
      </c>
      <c r="AD86" t="s">
        <v>239</v>
      </c>
      <c r="AE86">
        <v>0</v>
      </c>
      <c r="AF86" t="s">
        <v>63</v>
      </c>
      <c r="AG86">
        <v>0</v>
      </c>
      <c r="AH86" t="s">
        <v>61</v>
      </c>
      <c r="AI86" t="s">
        <v>62</v>
      </c>
      <c r="AJ86">
        <v>1.5114749999999999</v>
      </c>
      <c r="AK86" t="s">
        <v>76</v>
      </c>
      <c r="AL86">
        <v>42.900208999999997</v>
      </c>
      <c r="AM86" s="4" t="s">
        <v>65</v>
      </c>
      <c r="AN86" s="5">
        <v>11734.021101929848</v>
      </c>
      <c r="AO86" s="4" t="s">
        <v>65</v>
      </c>
      <c r="AP86" s="6">
        <v>8407</v>
      </c>
      <c r="AQ86">
        <v>2</v>
      </c>
      <c r="AR86">
        <v>5624.1159420000004</v>
      </c>
      <c r="AS86" t="s">
        <v>66</v>
      </c>
      <c r="AT86" t="s">
        <v>53</v>
      </c>
    </row>
    <row r="87" spans="1:46">
      <c r="A87">
        <v>364</v>
      </c>
      <c r="B87" t="s">
        <v>46</v>
      </c>
      <c r="C87">
        <v>5</v>
      </c>
      <c r="D87">
        <v>628</v>
      </c>
      <c r="E87" t="s">
        <v>240</v>
      </c>
      <c r="F87" t="s">
        <v>48</v>
      </c>
      <c r="G87">
        <v>5628</v>
      </c>
      <c r="H87">
        <v>5628</v>
      </c>
      <c r="I87" t="s">
        <v>49</v>
      </c>
      <c r="J87">
        <v>505</v>
      </c>
      <c r="K87" t="s">
        <v>79</v>
      </c>
      <c r="L87" t="s">
        <v>69</v>
      </c>
      <c r="M87" t="s">
        <v>53</v>
      </c>
      <c r="N87">
        <v>9592</v>
      </c>
      <c r="O87" t="s">
        <v>53</v>
      </c>
      <c r="P87" t="s">
        <v>70</v>
      </c>
      <c r="Q87" t="s">
        <v>71</v>
      </c>
      <c r="R87" t="s">
        <v>72</v>
      </c>
      <c r="S87" t="s">
        <v>57</v>
      </c>
      <c r="T87" t="s">
        <v>58</v>
      </c>
      <c r="U87" t="s">
        <v>119</v>
      </c>
      <c r="V87">
        <v>0.87660700000000003</v>
      </c>
      <c r="W87" t="s">
        <v>53</v>
      </c>
      <c r="X87" t="s">
        <v>53</v>
      </c>
      <c r="Y87" t="s">
        <v>116</v>
      </c>
      <c r="Z87" t="str">
        <f t="shared" si="2"/>
        <v>Mayor que 30 - hasta 40</v>
      </c>
      <c r="AA87">
        <f t="shared" si="3"/>
        <v>1</v>
      </c>
      <c r="AB87">
        <v>5628</v>
      </c>
      <c r="AC87" t="s">
        <v>61</v>
      </c>
      <c r="AD87" t="s">
        <v>83</v>
      </c>
      <c r="AE87">
        <v>3.1687560000000001</v>
      </c>
      <c r="AF87" t="s">
        <v>84</v>
      </c>
      <c r="AG87">
        <v>95.363159999999993</v>
      </c>
      <c r="AH87" t="s">
        <v>61</v>
      </c>
      <c r="AI87" t="s">
        <v>62</v>
      </c>
      <c r="AJ87">
        <v>3.7296330000000002</v>
      </c>
      <c r="AK87" t="s">
        <v>84</v>
      </c>
      <c r="AL87">
        <v>104.647222</v>
      </c>
      <c r="AM87" s="4" t="s">
        <v>64</v>
      </c>
      <c r="AN87" s="5">
        <v>12529.780247351153</v>
      </c>
      <c r="AO87" s="4" t="s">
        <v>65</v>
      </c>
      <c r="AP87" s="6">
        <v>3331</v>
      </c>
      <c r="AQ87">
        <v>4</v>
      </c>
      <c r="AR87">
        <v>23228.343052</v>
      </c>
      <c r="AS87" t="s">
        <v>66</v>
      </c>
      <c r="AT87" t="s">
        <v>53</v>
      </c>
    </row>
    <row r="88" spans="1:46">
      <c r="A88">
        <v>1116</v>
      </c>
      <c r="B88" t="s">
        <v>46</v>
      </c>
      <c r="C88">
        <v>5</v>
      </c>
      <c r="D88">
        <v>631</v>
      </c>
      <c r="E88" t="s">
        <v>241</v>
      </c>
      <c r="F88" t="s">
        <v>48</v>
      </c>
      <c r="G88">
        <v>5631</v>
      </c>
      <c r="H88">
        <v>5631</v>
      </c>
      <c r="I88" t="s">
        <v>49</v>
      </c>
      <c r="J88">
        <v>509</v>
      </c>
      <c r="K88" t="s">
        <v>50</v>
      </c>
      <c r="L88" t="s">
        <v>51</v>
      </c>
      <c r="M88" t="s">
        <v>53</v>
      </c>
      <c r="N88">
        <v>88966</v>
      </c>
      <c r="O88" t="s">
        <v>53</v>
      </c>
      <c r="P88" t="s">
        <v>92</v>
      </c>
      <c r="Q88" t="s">
        <v>138</v>
      </c>
      <c r="R88" t="s">
        <v>56</v>
      </c>
      <c r="S88" t="s">
        <v>57</v>
      </c>
      <c r="T88" t="s">
        <v>58</v>
      </c>
      <c r="U88" t="s">
        <v>81</v>
      </c>
      <c r="V88">
        <v>0.116755</v>
      </c>
      <c r="W88" t="s">
        <v>53</v>
      </c>
      <c r="X88" t="s">
        <v>53</v>
      </c>
      <c r="Y88" t="s">
        <v>60</v>
      </c>
      <c r="Z88" t="str">
        <f t="shared" si="2"/>
        <v>Mayor que 400 - hasta 500</v>
      </c>
      <c r="AA88">
        <f t="shared" si="3"/>
        <v>1</v>
      </c>
      <c r="AB88">
        <v>5631</v>
      </c>
      <c r="AC88" t="s">
        <v>61</v>
      </c>
      <c r="AD88" t="s">
        <v>241</v>
      </c>
      <c r="AE88">
        <v>0</v>
      </c>
      <c r="AF88" t="s">
        <v>63</v>
      </c>
      <c r="AG88">
        <v>0</v>
      </c>
      <c r="AH88" t="s">
        <v>61</v>
      </c>
      <c r="AI88" t="s">
        <v>62</v>
      </c>
      <c r="AJ88">
        <v>0.46664299999999997</v>
      </c>
      <c r="AK88" t="s">
        <v>63</v>
      </c>
      <c r="AL88">
        <v>15.195332000000001</v>
      </c>
      <c r="AM88" s="4" t="s">
        <v>64</v>
      </c>
      <c r="AN88" s="5">
        <v>472.96383511551687</v>
      </c>
      <c r="AO88" s="4" t="s">
        <v>65</v>
      </c>
      <c r="AP88" s="6">
        <v>251</v>
      </c>
      <c r="AQ88">
        <v>4</v>
      </c>
      <c r="AR88">
        <v>856.171156</v>
      </c>
      <c r="AS88" t="s">
        <v>66</v>
      </c>
      <c r="AT88" t="s">
        <v>53</v>
      </c>
    </row>
    <row r="89" spans="1:46">
      <c r="A89">
        <v>363</v>
      </c>
      <c r="B89" t="s">
        <v>46</v>
      </c>
      <c r="C89">
        <v>5</v>
      </c>
      <c r="D89">
        <v>642</v>
      </c>
      <c r="E89" t="s">
        <v>242</v>
      </c>
      <c r="F89" t="s">
        <v>48</v>
      </c>
      <c r="G89">
        <v>5642</v>
      </c>
      <c r="H89">
        <v>5642</v>
      </c>
      <c r="I89" t="s">
        <v>49</v>
      </c>
      <c r="J89">
        <v>507</v>
      </c>
      <c r="K89" t="s">
        <v>90</v>
      </c>
      <c r="L89" t="s">
        <v>69</v>
      </c>
      <c r="M89" t="s">
        <v>53</v>
      </c>
      <c r="N89">
        <v>19153</v>
      </c>
      <c r="O89" t="s">
        <v>53</v>
      </c>
      <c r="P89" t="s">
        <v>70</v>
      </c>
      <c r="Q89" t="s">
        <v>71</v>
      </c>
      <c r="R89" t="s">
        <v>105</v>
      </c>
      <c r="S89" t="s">
        <v>57</v>
      </c>
      <c r="T89" t="s">
        <v>73</v>
      </c>
      <c r="U89" t="s">
        <v>119</v>
      </c>
      <c r="V89">
        <v>0.42072700000000002</v>
      </c>
      <c r="W89">
        <v>2024</v>
      </c>
      <c r="X89" t="s">
        <v>141</v>
      </c>
      <c r="Y89" t="s">
        <v>142</v>
      </c>
      <c r="Z89" t="str">
        <f t="shared" si="2"/>
        <v>Mayor que 60 - hasta 70</v>
      </c>
      <c r="AA89">
        <f t="shared" si="3"/>
        <v>0</v>
      </c>
      <c r="AB89">
        <v>5642</v>
      </c>
      <c r="AC89" t="s">
        <v>61</v>
      </c>
      <c r="AD89" t="s">
        <v>96</v>
      </c>
      <c r="AE89">
        <v>2.308443</v>
      </c>
      <c r="AF89" t="s">
        <v>77</v>
      </c>
      <c r="AG89">
        <v>67.793817000000004</v>
      </c>
      <c r="AH89" t="s">
        <v>61</v>
      </c>
      <c r="AI89" t="s">
        <v>62</v>
      </c>
      <c r="AJ89">
        <v>2.7841230000000001</v>
      </c>
      <c r="AK89" t="s">
        <v>77</v>
      </c>
      <c r="AL89">
        <v>91.000417999999996</v>
      </c>
      <c r="AM89" t="s">
        <v>65</v>
      </c>
      <c r="AN89" s="7">
        <v>2949.0175644655628</v>
      </c>
      <c r="AO89" t="s">
        <v>65</v>
      </c>
      <c r="AP89" s="3">
        <v>1040</v>
      </c>
      <c r="AQ89">
        <v>4</v>
      </c>
      <c r="AR89">
        <v>3309.8640289999998</v>
      </c>
      <c r="AS89" t="s">
        <v>66</v>
      </c>
      <c r="AT89" t="s">
        <v>53</v>
      </c>
    </row>
    <row r="90" spans="1:46">
      <c r="A90">
        <v>362</v>
      </c>
      <c r="B90" t="s">
        <v>46</v>
      </c>
      <c r="C90">
        <v>5</v>
      </c>
      <c r="D90">
        <v>647</v>
      </c>
      <c r="E90" t="s">
        <v>243</v>
      </c>
      <c r="F90" t="s">
        <v>48</v>
      </c>
      <c r="G90">
        <v>5647</v>
      </c>
      <c r="H90">
        <v>5647</v>
      </c>
      <c r="I90" t="s">
        <v>49</v>
      </c>
      <c r="J90">
        <v>504</v>
      </c>
      <c r="K90" t="s">
        <v>112</v>
      </c>
      <c r="L90" t="s">
        <v>69</v>
      </c>
      <c r="M90" t="s">
        <v>53</v>
      </c>
      <c r="N90">
        <v>7598</v>
      </c>
      <c r="O90" t="s">
        <v>53</v>
      </c>
      <c r="P90" t="s">
        <v>70</v>
      </c>
      <c r="Q90" t="s">
        <v>71</v>
      </c>
      <c r="R90" t="s">
        <v>56</v>
      </c>
      <c r="S90" t="s">
        <v>57</v>
      </c>
      <c r="T90" t="s">
        <v>73</v>
      </c>
      <c r="U90" t="s">
        <v>101</v>
      </c>
      <c r="V90">
        <v>0.65007999999999999</v>
      </c>
      <c r="W90" t="s">
        <v>53</v>
      </c>
      <c r="X90" t="s">
        <v>53</v>
      </c>
      <c r="Y90" t="s">
        <v>116</v>
      </c>
      <c r="Z90" t="str">
        <f t="shared" si="2"/>
        <v>Mayor que 30 - hasta 40</v>
      </c>
      <c r="AA90">
        <f t="shared" si="3"/>
        <v>1</v>
      </c>
      <c r="AB90">
        <v>5647</v>
      </c>
      <c r="AC90" t="s">
        <v>61</v>
      </c>
      <c r="AD90" t="s">
        <v>113</v>
      </c>
      <c r="AE90">
        <v>1.6190059999999999</v>
      </c>
      <c r="AF90" t="s">
        <v>76</v>
      </c>
      <c r="AG90">
        <v>54.629855999999997</v>
      </c>
      <c r="AH90" t="s">
        <v>61</v>
      </c>
      <c r="AI90" t="s">
        <v>62</v>
      </c>
      <c r="AJ90">
        <v>3.2176840000000002</v>
      </c>
      <c r="AK90" t="s">
        <v>84</v>
      </c>
      <c r="AL90">
        <v>124.46509399999999</v>
      </c>
      <c r="AM90" s="4" t="s">
        <v>64</v>
      </c>
      <c r="AN90" s="5">
        <v>10070.969346796886</v>
      </c>
      <c r="AO90" s="4" t="s">
        <v>65</v>
      </c>
      <c r="AP90" s="6">
        <v>1923</v>
      </c>
      <c r="AQ90">
        <v>3</v>
      </c>
      <c r="AR90">
        <v>10817.813351000001</v>
      </c>
      <c r="AS90" t="s">
        <v>66</v>
      </c>
      <c r="AT90" t="s">
        <v>53</v>
      </c>
    </row>
    <row r="91" spans="1:46">
      <c r="A91">
        <v>361</v>
      </c>
      <c r="B91" t="s">
        <v>46</v>
      </c>
      <c r="C91">
        <v>5</v>
      </c>
      <c r="D91">
        <v>649</v>
      </c>
      <c r="E91" t="s">
        <v>244</v>
      </c>
      <c r="F91" t="s">
        <v>48</v>
      </c>
      <c r="G91">
        <v>5649</v>
      </c>
      <c r="H91">
        <v>5649</v>
      </c>
      <c r="I91" t="s">
        <v>49</v>
      </c>
      <c r="J91">
        <v>506</v>
      </c>
      <c r="K91" t="s">
        <v>68</v>
      </c>
      <c r="L91" t="s">
        <v>69</v>
      </c>
      <c r="M91" t="s">
        <v>53</v>
      </c>
      <c r="N91">
        <v>16838</v>
      </c>
      <c r="O91" t="s">
        <v>53</v>
      </c>
      <c r="P91" t="s">
        <v>70</v>
      </c>
      <c r="Q91" t="s">
        <v>71</v>
      </c>
      <c r="R91" t="s">
        <v>122</v>
      </c>
      <c r="S91" t="s">
        <v>57</v>
      </c>
      <c r="T91" t="s">
        <v>73</v>
      </c>
      <c r="U91" t="s">
        <v>101</v>
      </c>
      <c r="V91">
        <v>0.660381</v>
      </c>
      <c r="W91" t="s">
        <v>53</v>
      </c>
      <c r="X91" t="s">
        <v>53</v>
      </c>
      <c r="Y91" t="s">
        <v>87</v>
      </c>
      <c r="Z91" t="str">
        <f t="shared" si="2"/>
        <v>Mayor que 40 - hasta 50</v>
      </c>
      <c r="AA91">
        <f t="shared" si="3"/>
        <v>1</v>
      </c>
      <c r="AB91">
        <v>5649</v>
      </c>
      <c r="AC91" t="s">
        <v>61</v>
      </c>
      <c r="AD91" t="s">
        <v>174</v>
      </c>
      <c r="AE91">
        <v>1.587464</v>
      </c>
      <c r="AF91" t="s">
        <v>76</v>
      </c>
      <c r="AG91">
        <v>45.704371999999999</v>
      </c>
      <c r="AH91" t="s">
        <v>61</v>
      </c>
      <c r="AI91" t="s">
        <v>62</v>
      </c>
      <c r="AJ91">
        <v>3.0339689999999999</v>
      </c>
      <c r="AK91" t="s">
        <v>84</v>
      </c>
      <c r="AL91">
        <v>105.072706</v>
      </c>
      <c r="AM91" s="4" t="s">
        <v>64</v>
      </c>
      <c r="AN91" s="5">
        <v>39750.323325269979</v>
      </c>
      <c r="AO91" s="4" t="s">
        <v>65</v>
      </c>
      <c r="AP91" s="6">
        <v>3763</v>
      </c>
      <c r="AQ91">
        <v>3</v>
      </c>
      <c r="AR91">
        <v>34447.835401999997</v>
      </c>
      <c r="AS91" t="s">
        <v>66</v>
      </c>
      <c r="AT91" t="s">
        <v>53</v>
      </c>
    </row>
    <row r="92" spans="1:46">
      <c r="A92">
        <v>360</v>
      </c>
      <c r="B92" t="s">
        <v>46</v>
      </c>
      <c r="C92">
        <v>5</v>
      </c>
      <c r="D92">
        <v>652</v>
      </c>
      <c r="E92" t="s">
        <v>245</v>
      </c>
      <c r="F92" t="s">
        <v>48</v>
      </c>
      <c r="G92">
        <v>5652</v>
      </c>
      <c r="H92">
        <v>5652</v>
      </c>
      <c r="I92" t="s">
        <v>49</v>
      </c>
      <c r="J92">
        <v>506</v>
      </c>
      <c r="K92" t="s">
        <v>68</v>
      </c>
      <c r="L92" t="s">
        <v>69</v>
      </c>
      <c r="M92" t="s">
        <v>53</v>
      </c>
      <c r="N92">
        <v>5945</v>
      </c>
      <c r="O92" t="s">
        <v>53</v>
      </c>
      <c r="P92" t="s">
        <v>70</v>
      </c>
      <c r="Q92" t="s">
        <v>71</v>
      </c>
      <c r="R92" t="s">
        <v>56</v>
      </c>
      <c r="S92" t="s">
        <v>57</v>
      </c>
      <c r="T92" t="s">
        <v>73</v>
      </c>
      <c r="U92" t="s">
        <v>101</v>
      </c>
      <c r="V92">
        <v>0.85555599999999998</v>
      </c>
      <c r="W92" t="s">
        <v>53</v>
      </c>
      <c r="X92" t="s">
        <v>53</v>
      </c>
      <c r="Y92" t="s">
        <v>167</v>
      </c>
      <c r="Z92" t="str">
        <f t="shared" si="2"/>
        <v>Mayor que 50 - hasta 60</v>
      </c>
      <c r="AA92">
        <f t="shared" si="3"/>
        <v>1</v>
      </c>
      <c r="AB92">
        <v>5652</v>
      </c>
      <c r="AC92" t="s">
        <v>61</v>
      </c>
      <c r="AD92" t="s">
        <v>174</v>
      </c>
      <c r="AE92">
        <v>0.96018599999999998</v>
      </c>
      <c r="AF92" t="s">
        <v>63</v>
      </c>
      <c r="AG92">
        <v>39.037467999999997</v>
      </c>
      <c r="AH92" t="s">
        <v>61</v>
      </c>
      <c r="AI92" t="s">
        <v>62</v>
      </c>
      <c r="AJ92">
        <v>2.4066909999999999</v>
      </c>
      <c r="AK92" t="s">
        <v>77</v>
      </c>
      <c r="AL92">
        <v>98.405800999999997</v>
      </c>
      <c r="AM92" s="4" t="s">
        <v>64</v>
      </c>
      <c r="AN92" s="5">
        <v>15673.532195464973</v>
      </c>
      <c r="AO92" s="4" t="s">
        <v>65</v>
      </c>
      <c r="AP92" s="6">
        <v>1305</v>
      </c>
      <c r="AQ92">
        <v>4</v>
      </c>
      <c r="AR92">
        <v>16330.175171999999</v>
      </c>
      <c r="AS92" t="s">
        <v>66</v>
      </c>
      <c r="AT92" t="s">
        <v>53</v>
      </c>
    </row>
    <row r="93" spans="1:46">
      <c r="A93">
        <v>359</v>
      </c>
      <c r="B93" t="s">
        <v>46</v>
      </c>
      <c r="C93">
        <v>5</v>
      </c>
      <c r="D93">
        <v>656</v>
      </c>
      <c r="E93" t="s">
        <v>246</v>
      </c>
      <c r="F93" t="s">
        <v>48</v>
      </c>
      <c r="G93">
        <v>5656</v>
      </c>
      <c r="H93">
        <v>5656</v>
      </c>
      <c r="I93" t="s">
        <v>49</v>
      </c>
      <c r="J93">
        <v>505</v>
      </c>
      <c r="K93" t="s">
        <v>79</v>
      </c>
      <c r="L93" t="s">
        <v>91</v>
      </c>
      <c r="M93" t="s">
        <v>53</v>
      </c>
      <c r="N93">
        <v>16368</v>
      </c>
      <c r="O93" t="s">
        <v>53</v>
      </c>
      <c r="P93" t="s">
        <v>70</v>
      </c>
      <c r="Q93" t="s">
        <v>71</v>
      </c>
      <c r="R93" t="s">
        <v>122</v>
      </c>
      <c r="S93" t="s">
        <v>57</v>
      </c>
      <c r="T93" t="s">
        <v>58</v>
      </c>
      <c r="U93" t="s">
        <v>59</v>
      </c>
      <c r="V93">
        <v>0.31393599999999999</v>
      </c>
      <c r="W93" t="s">
        <v>53</v>
      </c>
      <c r="X93" t="s">
        <v>53</v>
      </c>
      <c r="Y93" t="s">
        <v>165</v>
      </c>
      <c r="Z93" t="str">
        <f t="shared" si="2"/>
        <v>Mayor que 60 - hasta 70</v>
      </c>
      <c r="AA93">
        <f t="shared" si="3"/>
        <v>1</v>
      </c>
      <c r="AB93">
        <v>5656</v>
      </c>
      <c r="AC93" t="s">
        <v>61</v>
      </c>
      <c r="AD93" t="s">
        <v>83</v>
      </c>
      <c r="AE93">
        <v>1.1635899999999999</v>
      </c>
      <c r="AF93" t="s">
        <v>76</v>
      </c>
      <c r="AG93">
        <v>32.170563000000001</v>
      </c>
      <c r="AH93" t="s">
        <v>61</v>
      </c>
      <c r="AI93" t="s">
        <v>62</v>
      </c>
      <c r="AJ93">
        <v>1.7244660000000001</v>
      </c>
      <c r="AK93" t="s">
        <v>76</v>
      </c>
      <c r="AL93">
        <v>41.454625</v>
      </c>
      <c r="AM93" s="4" t="s">
        <v>65</v>
      </c>
      <c r="AN93" s="5">
        <v>6977.5877286313607</v>
      </c>
      <c r="AO93" s="4" t="s">
        <v>65</v>
      </c>
      <c r="AP93" s="6">
        <v>2643</v>
      </c>
      <c r="AQ93">
        <v>3</v>
      </c>
      <c r="AR93">
        <v>6186.4631200000003</v>
      </c>
      <c r="AS93" t="s">
        <v>66</v>
      </c>
      <c r="AT93" t="s">
        <v>53</v>
      </c>
    </row>
    <row r="94" spans="1:46">
      <c r="A94">
        <v>358</v>
      </c>
      <c r="B94" t="s">
        <v>46</v>
      </c>
      <c r="C94">
        <v>5</v>
      </c>
      <c r="D94">
        <v>658</v>
      </c>
      <c r="E94" t="s">
        <v>247</v>
      </c>
      <c r="F94" t="s">
        <v>48</v>
      </c>
      <c r="G94">
        <v>5658</v>
      </c>
      <c r="H94">
        <v>5658</v>
      </c>
      <c r="I94" t="s">
        <v>49</v>
      </c>
      <c r="J94">
        <v>504</v>
      </c>
      <c r="K94" t="s">
        <v>112</v>
      </c>
      <c r="L94" t="s">
        <v>69</v>
      </c>
      <c r="M94" t="s">
        <v>53</v>
      </c>
      <c r="N94">
        <v>3867</v>
      </c>
      <c r="O94" t="s">
        <v>53</v>
      </c>
      <c r="P94" t="s">
        <v>70</v>
      </c>
      <c r="Q94" t="s">
        <v>71</v>
      </c>
      <c r="R94" t="s">
        <v>56</v>
      </c>
      <c r="S94" t="s">
        <v>57</v>
      </c>
      <c r="T94" t="s">
        <v>58</v>
      </c>
      <c r="U94" t="s">
        <v>59</v>
      </c>
      <c r="V94">
        <v>0.28320800000000002</v>
      </c>
      <c r="W94" t="s">
        <v>53</v>
      </c>
      <c r="X94" t="s">
        <v>53</v>
      </c>
      <c r="Y94" t="s">
        <v>116</v>
      </c>
      <c r="Z94" t="str">
        <f t="shared" si="2"/>
        <v>Mayor que 30 - hasta 40</v>
      </c>
      <c r="AA94">
        <f t="shared" si="3"/>
        <v>1</v>
      </c>
      <c r="AB94">
        <v>5658</v>
      </c>
      <c r="AC94" t="s">
        <v>61</v>
      </c>
      <c r="AD94" t="s">
        <v>113</v>
      </c>
      <c r="AE94">
        <v>1.3391280000000001</v>
      </c>
      <c r="AF94" t="s">
        <v>76</v>
      </c>
      <c r="AG94">
        <v>50.808534999999999</v>
      </c>
      <c r="AH94" t="s">
        <v>61</v>
      </c>
      <c r="AI94" t="s">
        <v>62</v>
      </c>
      <c r="AJ94">
        <v>2.806136</v>
      </c>
      <c r="AK94" t="s">
        <v>77</v>
      </c>
      <c r="AL94">
        <v>95.731789000000006</v>
      </c>
      <c r="AM94" s="4" t="s">
        <v>64</v>
      </c>
      <c r="AN94" s="5">
        <v>8546.1229467267622</v>
      </c>
      <c r="AO94" s="4" t="s">
        <v>65</v>
      </c>
      <c r="AP94" s="6">
        <v>198</v>
      </c>
      <c r="AQ94">
        <v>3</v>
      </c>
      <c r="AR94">
        <v>5948.0395930000004</v>
      </c>
      <c r="AS94" t="s">
        <v>66</v>
      </c>
      <c r="AT94" t="s">
        <v>53</v>
      </c>
    </row>
    <row r="95" spans="1:46">
      <c r="A95">
        <v>357</v>
      </c>
      <c r="B95" t="s">
        <v>46</v>
      </c>
      <c r="C95">
        <v>5</v>
      </c>
      <c r="D95">
        <v>659</v>
      </c>
      <c r="E95" t="s">
        <v>248</v>
      </c>
      <c r="F95" t="s">
        <v>48</v>
      </c>
      <c r="G95">
        <v>5659</v>
      </c>
      <c r="H95">
        <v>5659</v>
      </c>
      <c r="I95" t="s">
        <v>49</v>
      </c>
      <c r="J95">
        <v>508</v>
      </c>
      <c r="K95" t="s">
        <v>124</v>
      </c>
      <c r="L95" t="s">
        <v>91</v>
      </c>
      <c r="M95" t="s">
        <v>53</v>
      </c>
      <c r="N95">
        <v>21540</v>
      </c>
      <c r="O95" t="s">
        <v>53</v>
      </c>
      <c r="P95" t="s">
        <v>70</v>
      </c>
      <c r="Q95" t="s">
        <v>71</v>
      </c>
      <c r="R95" t="s">
        <v>249</v>
      </c>
      <c r="S95" t="s">
        <v>57</v>
      </c>
      <c r="T95" t="s">
        <v>58</v>
      </c>
      <c r="U95" t="s">
        <v>59</v>
      </c>
      <c r="V95">
        <v>0.77954299999999999</v>
      </c>
      <c r="W95" t="s">
        <v>53</v>
      </c>
      <c r="X95" t="s">
        <v>53</v>
      </c>
      <c r="Y95" t="s">
        <v>102</v>
      </c>
      <c r="Z95" t="str">
        <f t="shared" si="2"/>
        <v>Mayor que 20 - hasta 30</v>
      </c>
      <c r="AA95">
        <f t="shared" si="3"/>
        <v>1</v>
      </c>
      <c r="AB95">
        <v>5659</v>
      </c>
      <c r="AC95" t="s">
        <v>129</v>
      </c>
      <c r="AD95" t="s">
        <v>130</v>
      </c>
      <c r="AE95">
        <v>1.9073910000000001</v>
      </c>
      <c r="AF95" t="s">
        <v>76</v>
      </c>
      <c r="AG95">
        <v>91.972496000000007</v>
      </c>
      <c r="AH95" t="s">
        <v>129</v>
      </c>
      <c r="AI95" t="s">
        <v>130</v>
      </c>
      <c r="AJ95">
        <v>1.8848929999999999</v>
      </c>
      <c r="AK95" t="s">
        <v>76</v>
      </c>
      <c r="AL95">
        <v>91.131074999999996</v>
      </c>
      <c r="AM95" s="4" t="s">
        <v>64</v>
      </c>
      <c r="AN95" s="5">
        <v>14709.31734912578</v>
      </c>
      <c r="AO95" s="4" t="s">
        <v>65</v>
      </c>
      <c r="AP95" s="6">
        <v>1881</v>
      </c>
      <c r="AQ95">
        <v>2</v>
      </c>
      <c r="AR95">
        <v>15573.393521</v>
      </c>
      <c r="AS95" t="s">
        <v>66</v>
      </c>
      <c r="AT95" t="s">
        <v>53</v>
      </c>
    </row>
    <row r="96" spans="1:46">
      <c r="A96">
        <v>356</v>
      </c>
      <c r="B96" t="s">
        <v>46</v>
      </c>
      <c r="C96">
        <v>5</v>
      </c>
      <c r="D96">
        <v>660</v>
      </c>
      <c r="E96" t="s">
        <v>250</v>
      </c>
      <c r="F96" t="s">
        <v>48</v>
      </c>
      <c r="G96">
        <v>5660</v>
      </c>
      <c r="H96">
        <v>5660</v>
      </c>
      <c r="I96" t="s">
        <v>49</v>
      </c>
      <c r="J96">
        <v>506</v>
      </c>
      <c r="K96" t="s">
        <v>68</v>
      </c>
      <c r="L96" t="s">
        <v>69</v>
      </c>
      <c r="M96" t="s">
        <v>53</v>
      </c>
      <c r="N96">
        <v>13690</v>
      </c>
      <c r="O96" t="s">
        <v>53</v>
      </c>
      <c r="P96" t="s">
        <v>70</v>
      </c>
      <c r="Q96" t="s">
        <v>71</v>
      </c>
      <c r="R96" t="s">
        <v>105</v>
      </c>
      <c r="S96" t="s">
        <v>57</v>
      </c>
      <c r="T96" t="s">
        <v>73</v>
      </c>
      <c r="U96" t="s">
        <v>101</v>
      </c>
      <c r="V96">
        <v>0.69517899999999999</v>
      </c>
      <c r="W96" t="s">
        <v>53</v>
      </c>
      <c r="X96" t="s">
        <v>53</v>
      </c>
      <c r="Y96" t="s">
        <v>167</v>
      </c>
      <c r="Z96" t="str">
        <f t="shared" si="2"/>
        <v>Mayor que 50 - hasta 60</v>
      </c>
      <c r="AA96">
        <f t="shared" si="3"/>
        <v>1</v>
      </c>
      <c r="AB96">
        <v>5660</v>
      </c>
      <c r="AC96" t="s">
        <v>61</v>
      </c>
      <c r="AD96" t="s">
        <v>174</v>
      </c>
      <c r="AE96">
        <v>1.7137830000000001</v>
      </c>
      <c r="AF96" t="s">
        <v>76</v>
      </c>
      <c r="AG96">
        <v>51.232799</v>
      </c>
      <c r="AH96" t="s">
        <v>61</v>
      </c>
      <c r="AI96" t="s">
        <v>62</v>
      </c>
      <c r="AJ96">
        <v>3.160288</v>
      </c>
      <c r="AK96" t="s">
        <v>84</v>
      </c>
      <c r="AL96">
        <v>110.601133</v>
      </c>
      <c r="AM96" s="4" t="s">
        <v>64</v>
      </c>
      <c r="AN96" s="5">
        <v>29639.010776471543</v>
      </c>
      <c r="AO96" s="4" t="s">
        <v>65</v>
      </c>
      <c r="AP96" s="6">
        <v>2942</v>
      </c>
      <c r="AQ96">
        <v>4</v>
      </c>
      <c r="AR96">
        <v>34903.857049999999</v>
      </c>
      <c r="AS96" t="s">
        <v>66</v>
      </c>
      <c r="AT96" t="s">
        <v>53</v>
      </c>
    </row>
    <row r="97" spans="1:46">
      <c r="A97">
        <v>355</v>
      </c>
      <c r="B97" t="s">
        <v>46</v>
      </c>
      <c r="C97">
        <v>5</v>
      </c>
      <c r="D97">
        <v>664</v>
      </c>
      <c r="E97" t="s">
        <v>251</v>
      </c>
      <c r="F97" t="s">
        <v>48</v>
      </c>
      <c r="G97">
        <v>5664</v>
      </c>
      <c r="H97">
        <v>5664</v>
      </c>
      <c r="I97" t="s">
        <v>49</v>
      </c>
      <c r="J97">
        <v>504</v>
      </c>
      <c r="K97" t="s">
        <v>112</v>
      </c>
      <c r="L97" t="s">
        <v>91</v>
      </c>
      <c r="M97" t="s">
        <v>53</v>
      </c>
      <c r="N97">
        <v>23409</v>
      </c>
      <c r="O97" t="s">
        <v>53</v>
      </c>
      <c r="P97" t="s">
        <v>70</v>
      </c>
      <c r="Q97" t="s">
        <v>71</v>
      </c>
      <c r="R97" t="s">
        <v>105</v>
      </c>
      <c r="S97" t="s">
        <v>57</v>
      </c>
      <c r="T97" t="s">
        <v>58</v>
      </c>
      <c r="U97" t="s">
        <v>59</v>
      </c>
      <c r="V97">
        <v>0.62728200000000001</v>
      </c>
      <c r="W97">
        <v>2017</v>
      </c>
      <c r="X97" t="s">
        <v>144</v>
      </c>
      <c r="Y97" t="s">
        <v>228</v>
      </c>
      <c r="Z97" t="str">
        <f t="shared" si="2"/>
        <v>Mayor que 180 - hasta 200</v>
      </c>
      <c r="AA97">
        <f t="shared" si="3"/>
        <v>1</v>
      </c>
      <c r="AB97">
        <v>5664</v>
      </c>
      <c r="AC97" t="s">
        <v>61</v>
      </c>
      <c r="AD97" t="s">
        <v>83</v>
      </c>
      <c r="AE97">
        <v>0.65426899999999999</v>
      </c>
      <c r="AF97" t="s">
        <v>63</v>
      </c>
      <c r="AG97">
        <v>20.320815</v>
      </c>
      <c r="AH97" t="s">
        <v>61</v>
      </c>
      <c r="AI97" t="s">
        <v>62</v>
      </c>
      <c r="AJ97">
        <v>1.2151449999999999</v>
      </c>
      <c r="AK97" t="s">
        <v>76</v>
      </c>
      <c r="AL97">
        <v>29.604876999999998</v>
      </c>
      <c r="AM97" t="s">
        <v>65</v>
      </c>
      <c r="AN97" s="7">
        <v>3114.2193535742922</v>
      </c>
      <c r="AO97" t="s">
        <v>65</v>
      </c>
      <c r="AP97" s="3">
        <v>1231</v>
      </c>
      <c r="AQ97">
        <v>3</v>
      </c>
      <c r="AR97">
        <v>1956.9621139999999</v>
      </c>
      <c r="AS97" t="s">
        <v>66</v>
      </c>
      <c r="AT97" t="s">
        <v>137</v>
      </c>
    </row>
    <row r="98" spans="1:46">
      <c r="A98">
        <v>354</v>
      </c>
      <c r="B98" t="s">
        <v>46</v>
      </c>
      <c r="C98">
        <v>5</v>
      </c>
      <c r="D98">
        <v>665</v>
      </c>
      <c r="E98" t="s">
        <v>252</v>
      </c>
      <c r="F98" t="s">
        <v>48</v>
      </c>
      <c r="G98">
        <v>5665</v>
      </c>
      <c r="H98">
        <v>5665</v>
      </c>
      <c r="I98" t="s">
        <v>49</v>
      </c>
      <c r="J98">
        <v>508</v>
      </c>
      <c r="K98" t="s">
        <v>124</v>
      </c>
      <c r="L98" t="s">
        <v>91</v>
      </c>
      <c r="M98" t="s">
        <v>53</v>
      </c>
      <c r="N98">
        <v>32895</v>
      </c>
      <c r="O98" t="s">
        <v>53</v>
      </c>
      <c r="P98" t="s">
        <v>92</v>
      </c>
      <c r="Q98" t="s">
        <v>71</v>
      </c>
      <c r="R98" t="s">
        <v>56</v>
      </c>
      <c r="S98" t="s">
        <v>126</v>
      </c>
      <c r="T98" t="s">
        <v>73</v>
      </c>
      <c r="U98" t="s">
        <v>59</v>
      </c>
      <c r="V98">
        <v>0.66353700000000004</v>
      </c>
      <c r="W98" t="s">
        <v>53</v>
      </c>
      <c r="X98" t="s">
        <v>53</v>
      </c>
      <c r="Y98" t="s">
        <v>82</v>
      </c>
      <c r="Z98" t="str">
        <f t="shared" si="2"/>
        <v>Mayor que 15 - hasta 20</v>
      </c>
      <c r="AA98">
        <f t="shared" si="3"/>
        <v>1</v>
      </c>
      <c r="AB98">
        <v>5665</v>
      </c>
      <c r="AC98" t="s">
        <v>61</v>
      </c>
      <c r="AD98" t="s">
        <v>225</v>
      </c>
      <c r="AE98">
        <v>1.357467</v>
      </c>
      <c r="AF98" t="s">
        <v>76</v>
      </c>
      <c r="AG98">
        <v>59.019804999999998</v>
      </c>
      <c r="AH98" t="s">
        <v>129</v>
      </c>
      <c r="AI98" t="s">
        <v>130</v>
      </c>
      <c r="AJ98">
        <v>3.0711140000000001</v>
      </c>
      <c r="AK98" t="s">
        <v>84</v>
      </c>
      <c r="AL98">
        <v>126.42834000000001</v>
      </c>
      <c r="AM98" s="4" t="s">
        <v>64</v>
      </c>
      <c r="AN98" s="5">
        <v>40729.263558261642</v>
      </c>
      <c r="AO98" s="4" t="s">
        <v>65</v>
      </c>
      <c r="AP98" s="6">
        <v>2066</v>
      </c>
      <c r="AQ98">
        <v>2</v>
      </c>
      <c r="AR98">
        <v>37498.869456</v>
      </c>
      <c r="AS98" t="s">
        <v>66</v>
      </c>
      <c r="AT98" t="s">
        <v>53</v>
      </c>
    </row>
    <row r="99" spans="1:46">
      <c r="A99">
        <v>353</v>
      </c>
      <c r="B99" t="s">
        <v>46</v>
      </c>
      <c r="C99">
        <v>5</v>
      </c>
      <c r="D99">
        <v>667</v>
      </c>
      <c r="E99" t="s">
        <v>253</v>
      </c>
      <c r="F99" t="s">
        <v>48</v>
      </c>
      <c r="G99">
        <v>5667</v>
      </c>
      <c r="H99">
        <v>5667</v>
      </c>
      <c r="I99" t="s">
        <v>49</v>
      </c>
      <c r="J99">
        <v>506</v>
      </c>
      <c r="K99" t="s">
        <v>68</v>
      </c>
      <c r="L99" t="s">
        <v>69</v>
      </c>
      <c r="M99" t="s">
        <v>53</v>
      </c>
      <c r="N99">
        <v>16489</v>
      </c>
      <c r="O99" t="s">
        <v>53</v>
      </c>
      <c r="P99" t="s">
        <v>70</v>
      </c>
      <c r="Q99" t="s">
        <v>71</v>
      </c>
      <c r="R99" t="s">
        <v>56</v>
      </c>
      <c r="S99" t="s">
        <v>57</v>
      </c>
      <c r="T99" t="s">
        <v>73</v>
      </c>
      <c r="U99" t="s">
        <v>119</v>
      </c>
      <c r="V99">
        <v>0.69622600000000001</v>
      </c>
      <c r="W99" t="s">
        <v>53</v>
      </c>
      <c r="X99" t="s">
        <v>53</v>
      </c>
      <c r="Y99" t="s">
        <v>116</v>
      </c>
      <c r="Z99" t="str">
        <f t="shared" si="2"/>
        <v>Mayor que 30 - hasta 40</v>
      </c>
      <c r="AA99">
        <f t="shared" si="3"/>
        <v>1</v>
      </c>
      <c r="AB99">
        <v>5667</v>
      </c>
      <c r="AC99" t="s">
        <v>61</v>
      </c>
      <c r="AD99" t="s">
        <v>174</v>
      </c>
      <c r="AE99">
        <v>1.4998849999999999</v>
      </c>
      <c r="AF99" t="s">
        <v>76</v>
      </c>
      <c r="AG99">
        <v>45.768838000000002</v>
      </c>
      <c r="AH99" t="s">
        <v>61</v>
      </c>
      <c r="AI99" t="s">
        <v>62</v>
      </c>
      <c r="AJ99">
        <v>2.7405170000000001</v>
      </c>
      <c r="AK99" t="s">
        <v>77</v>
      </c>
      <c r="AL99">
        <v>83.979097999999993</v>
      </c>
      <c r="AM99" s="4" t="s">
        <v>64</v>
      </c>
      <c r="AN99" s="5">
        <v>15385.517120450877</v>
      </c>
      <c r="AO99" s="4" t="s">
        <v>65</v>
      </c>
      <c r="AP99" s="6">
        <v>3302</v>
      </c>
      <c r="AQ99">
        <v>4</v>
      </c>
      <c r="AR99">
        <v>15526.661757</v>
      </c>
      <c r="AS99" t="s">
        <v>66</v>
      </c>
      <c r="AT99" t="s">
        <v>53</v>
      </c>
    </row>
    <row r="100" spans="1:46">
      <c r="A100">
        <v>352</v>
      </c>
      <c r="B100" t="s">
        <v>46</v>
      </c>
      <c r="C100">
        <v>5</v>
      </c>
      <c r="D100">
        <v>670</v>
      </c>
      <c r="E100" t="s">
        <v>254</v>
      </c>
      <c r="F100" t="s">
        <v>48</v>
      </c>
      <c r="G100">
        <v>5670</v>
      </c>
      <c r="H100">
        <v>5670</v>
      </c>
      <c r="I100" t="s">
        <v>49</v>
      </c>
      <c r="J100">
        <v>503</v>
      </c>
      <c r="K100" t="s">
        <v>99</v>
      </c>
      <c r="L100" t="s">
        <v>69</v>
      </c>
      <c r="M100" t="s">
        <v>53</v>
      </c>
      <c r="N100">
        <v>22775</v>
      </c>
      <c r="O100" t="s">
        <v>53</v>
      </c>
      <c r="P100" t="s">
        <v>70</v>
      </c>
      <c r="Q100" t="s">
        <v>71</v>
      </c>
      <c r="R100" t="s">
        <v>105</v>
      </c>
      <c r="S100" t="s">
        <v>57</v>
      </c>
      <c r="T100" t="s">
        <v>58</v>
      </c>
      <c r="U100" t="s">
        <v>119</v>
      </c>
      <c r="V100">
        <v>0.50116700000000003</v>
      </c>
      <c r="W100" t="s">
        <v>53</v>
      </c>
      <c r="X100" t="s">
        <v>53</v>
      </c>
      <c r="Y100" t="s">
        <v>87</v>
      </c>
      <c r="Z100" t="str">
        <f t="shared" si="2"/>
        <v>Mayor que 40 - hasta 50</v>
      </c>
      <c r="AA100">
        <f t="shared" si="3"/>
        <v>1</v>
      </c>
      <c r="AB100">
        <v>5670</v>
      </c>
      <c r="AC100" t="s">
        <v>61</v>
      </c>
      <c r="AD100" t="s">
        <v>88</v>
      </c>
      <c r="AE100">
        <v>1.204502</v>
      </c>
      <c r="AF100" t="s">
        <v>76</v>
      </c>
      <c r="AG100">
        <v>53.887214999999998</v>
      </c>
      <c r="AH100" t="s">
        <v>61</v>
      </c>
      <c r="AI100" t="s">
        <v>62</v>
      </c>
      <c r="AJ100">
        <v>2.2902979999999999</v>
      </c>
      <c r="AK100" t="s">
        <v>77</v>
      </c>
      <c r="AL100">
        <v>92.434732999999994</v>
      </c>
      <c r="AM100" s="4" t="s">
        <v>64</v>
      </c>
      <c r="AN100" s="5">
        <v>19963.364815300836</v>
      </c>
      <c r="AO100" s="4" t="s">
        <v>65</v>
      </c>
      <c r="AP100" s="6">
        <v>2186</v>
      </c>
      <c r="AQ100">
        <v>3</v>
      </c>
      <c r="AR100">
        <v>20742.11016</v>
      </c>
      <c r="AS100" t="s">
        <v>66</v>
      </c>
      <c r="AT100" t="s">
        <v>53</v>
      </c>
    </row>
    <row r="101" spans="1:46">
      <c r="A101">
        <v>351</v>
      </c>
      <c r="B101" t="s">
        <v>46</v>
      </c>
      <c r="C101">
        <v>5</v>
      </c>
      <c r="D101">
        <v>674</v>
      </c>
      <c r="E101" t="s">
        <v>255</v>
      </c>
      <c r="F101" t="s">
        <v>48</v>
      </c>
      <c r="G101">
        <v>5674</v>
      </c>
      <c r="H101">
        <v>5674</v>
      </c>
      <c r="I101" t="s">
        <v>49</v>
      </c>
      <c r="J101">
        <v>506</v>
      </c>
      <c r="K101" t="s">
        <v>68</v>
      </c>
      <c r="L101" t="s">
        <v>91</v>
      </c>
      <c r="M101" t="s">
        <v>53</v>
      </c>
      <c r="N101">
        <v>23349</v>
      </c>
      <c r="O101" t="s">
        <v>53</v>
      </c>
      <c r="P101" t="s">
        <v>70</v>
      </c>
      <c r="Q101" t="s">
        <v>71</v>
      </c>
      <c r="R101" t="s">
        <v>122</v>
      </c>
      <c r="S101" t="s">
        <v>57</v>
      </c>
      <c r="T101" t="s">
        <v>58</v>
      </c>
      <c r="U101" t="s">
        <v>81</v>
      </c>
      <c r="V101">
        <v>0.48338399999999998</v>
      </c>
      <c r="W101">
        <v>2017</v>
      </c>
      <c r="X101" t="s">
        <v>141</v>
      </c>
      <c r="Y101" t="s">
        <v>142</v>
      </c>
      <c r="Z101" t="str">
        <f t="shared" si="2"/>
        <v>Mayor que 60 - hasta 70</v>
      </c>
      <c r="AA101">
        <f t="shared" si="3"/>
        <v>0</v>
      </c>
      <c r="AB101">
        <v>5674</v>
      </c>
      <c r="AC101" t="s">
        <v>61</v>
      </c>
      <c r="AD101" t="s">
        <v>200</v>
      </c>
      <c r="AE101">
        <v>0.60894499999999996</v>
      </c>
      <c r="AF101" t="s">
        <v>63</v>
      </c>
      <c r="AG101">
        <v>20.513708000000001</v>
      </c>
      <c r="AH101" t="s">
        <v>61</v>
      </c>
      <c r="AI101" t="s">
        <v>62</v>
      </c>
      <c r="AJ101">
        <v>1.547517</v>
      </c>
      <c r="AK101" t="s">
        <v>76</v>
      </c>
      <c r="AL101">
        <v>45.014423000000001</v>
      </c>
      <c r="AM101" t="s">
        <v>65</v>
      </c>
      <c r="AN101" s="7">
        <v>3401.2886828259479</v>
      </c>
      <c r="AO101" t="s">
        <v>65</v>
      </c>
      <c r="AP101" s="3">
        <v>2577</v>
      </c>
      <c r="AQ101">
        <v>2</v>
      </c>
      <c r="AR101">
        <v>3652.5097300000002</v>
      </c>
      <c r="AS101" t="s">
        <v>66</v>
      </c>
      <c r="AT101" t="s">
        <v>137</v>
      </c>
    </row>
    <row r="102" spans="1:46">
      <c r="A102">
        <v>327</v>
      </c>
      <c r="B102" t="s">
        <v>46</v>
      </c>
      <c r="C102">
        <v>5</v>
      </c>
      <c r="D102">
        <v>679</v>
      </c>
      <c r="E102" t="s">
        <v>256</v>
      </c>
      <c r="F102" t="s">
        <v>48</v>
      </c>
      <c r="G102">
        <v>5679</v>
      </c>
      <c r="H102">
        <v>5679</v>
      </c>
      <c r="I102" t="s">
        <v>49</v>
      </c>
      <c r="J102">
        <v>507</v>
      </c>
      <c r="K102" t="s">
        <v>90</v>
      </c>
      <c r="L102" t="s">
        <v>91</v>
      </c>
      <c r="M102" t="s">
        <v>53</v>
      </c>
      <c r="N102">
        <v>27647</v>
      </c>
      <c r="O102" t="s">
        <v>53</v>
      </c>
      <c r="P102" t="s">
        <v>70</v>
      </c>
      <c r="Q102" t="s">
        <v>71</v>
      </c>
      <c r="R102" t="s">
        <v>105</v>
      </c>
      <c r="S102" t="s">
        <v>57</v>
      </c>
      <c r="T102" t="s">
        <v>58</v>
      </c>
      <c r="U102" t="s">
        <v>59</v>
      </c>
      <c r="V102">
        <v>0.48315999999999998</v>
      </c>
      <c r="W102">
        <v>2024</v>
      </c>
      <c r="X102" t="s">
        <v>106</v>
      </c>
      <c r="Y102" t="s">
        <v>107</v>
      </c>
      <c r="Z102" t="str">
        <f t="shared" si="2"/>
        <v>Mayor que 80 - hasta 100</v>
      </c>
      <c r="AA102">
        <f t="shared" si="3"/>
        <v>0</v>
      </c>
      <c r="AB102">
        <v>5679</v>
      </c>
      <c r="AC102" t="s">
        <v>61</v>
      </c>
      <c r="AD102" t="s">
        <v>96</v>
      </c>
      <c r="AE102">
        <v>0.77093999999999996</v>
      </c>
      <c r="AF102" t="s">
        <v>63</v>
      </c>
      <c r="AG102">
        <v>28.020814999999999</v>
      </c>
      <c r="AH102" t="s">
        <v>61</v>
      </c>
      <c r="AI102" t="s">
        <v>62</v>
      </c>
      <c r="AJ102">
        <v>1.2466200000000001</v>
      </c>
      <c r="AK102" t="s">
        <v>76</v>
      </c>
      <c r="AL102">
        <v>51.227417000000003</v>
      </c>
      <c r="AM102" t="s">
        <v>64</v>
      </c>
      <c r="AN102" s="7">
        <v>1421.5839226302619</v>
      </c>
      <c r="AO102" t="s">
        <v>65</v>
      </c>
      <c r="AP102" s="3">
        <v>106</v>
      </c>
      <c r="AQ102">
        <v>3</v>
      </c>
      <c r="AR102">
        <v>1419.718709</v>
      </c>
      <c r="AS102" t="s">
        <v>66</v>
      </c>
      <c r="AT102" t="s">
        <v>53</v>
      </c>
    </row>
    <row r="103" spans="1:46">
      <c r="A103">
        <v>326</v>
      </c>
      <c r="B103" t="s">
        <v>46</v>
      </c>
      <c r="C103">
        <v>5</v>
      </c>
      <c r="D103">
        <v>686</v>
      </c>
      <c r="E103" t="s">
        <v>257</v>
      </c>
      <c r="F103" t="s">
        <v>48</v>
      </c>
      <c r="G103">
        <v>5686</v>
      </c>
      <c r="H103">
        <v>5686</v>
      </c>
      <c r="I103" t="s">
        <v>49</v>
      </c>
      <c r="J103">
        <v>504</v>
      </c>
      <c r="K103" t="s">
        <v>112</v>
      </c>
      <c r="L103" t="s">
        <v>69</v>
      </c>
      <c r="M103" t="s">
        <v>53</v>
      </c>
      <c r="N103">
        <v>38748</v>
      </c>
      <c r="O103" t="s">
        <v>53</v>
      </c>
      <c r="P103" t="s">
        <v>92</v>
      </c>
      <c r="Q103" t="s">
        <v>118</v>
      </c>
      <c r="R103" t="s">
        <v>56</v>
      </c>
      <c r="S103" t="s">
        <v>57</v>
      </c>
      <c r="T103" t="s">
        <v>58</v>
      </c>
      <c r="U103" t="s">
        <v>59</v>
      </c>
      <c r="V103">
        <v>0.42055500000000001</v>
      </c>
      <c r="W103" t="s">
        <v>53</v>
      </c>
      <c r="X103" t="s">
        <v>53</v>
      </c>
      <c r="Y103" t="s">
        <v>165</v>
      </c>
      <c r="Z103" t="str">
        <f t="shared" si="2"/>
        <v>Mayor que 60 - hasta 70</v>
      </c>
      <c r="AA103">
        <f t="shared" si="3"/>
        <v>1</v>
      </c>
      <c r="AB103">
        <v>5686</v>
      </c>
      <c r="AC103" t="s">
        <v>61</v>
      </c>
      <c r="AD103" t="s">
        <v>113</v>
      </c>
      <c r="AE103">
        <v>1.101831</v>
      </c>
      <c r="AF103" t="s">
        <v>76</v>
      </c>
      <c r="AG103">
        <v>44.875945000000002</v>
      </c>
      <c r="AH103" t="s">
        <v>61</v>
      </c>
      <c r="AI103" t="s">
        <v>62</v>
      </c>
      <c r="AJ103">
        <v>1.9353</v>
      </c>
      <c r="AK103" t="s">
        <v>76</v>
      </c>
      <c r="AL103">
        <v>71.497979999999998</v>
      </c>
      <c r="AM103" s="4" t="s">
        <v>64</v>
      </c>
      <c r="AN103" s="5">
        <v>46958.116549422586</v>
      </c>
      <c r="AO103" s="4" t="s">
        <v>65</v>
      </c>
      <c r="AP103" s="6">
        <v>6359</v>
      </c>
      <c r="AQ103">
        <v>2</v>
      </c>
      <c r="AR103">
        <v>37646.122642000002</v>
      </c>
      <c r="AS103" t="s">
        <v>66</v>
      </c>
      <c r="AT103" t="s">
        <v>53</v>
      </c>
    </row>
    <row r="104" spans="1:46">
      <c r="A104">
        <v>325</v>
      </c>
      <c r="B104" t="s">
        <v>46</v>
      </c>
      <c r="C104">
        <v>5</v>
      </c>
      <c r="D104">
        <v>690</v>
      </c>
      <c r="E104" t="s">
        <v>258</v>
      </c>
      <c r="F104" t="s">
        <v>48</v>
      </c>
      <c r="G104">
        <v>5690</v>
      </c>
      <c r="H104">
        <v>5690</v>
      </c>
      <c r="I104" t="s">
        <v>49</v>
      </c>
      <c r="J104">
        <v>503</v>
      </c>
      <c r="K104" t="s">
        <v>99</v>
      </c>
      <c r="L104" t="s">
        <v>80</v>
      </c>
      <c r="M104" t="s">
        <v>53</v>
      </c>
      <c r="N104">
        <v>12970</v>
      </c>
      <c r="O104" t="s">
        <v>53</v>
      </c>
      <c r="P104" t="s">
        <v>70</v>
      </c>
      <c r="Q104" t="s">
        <v>71</v>
      </c>
      <c r="R104" t="s">
        <v>105</v>
      </c>
      <c r="S104" t="s">
        <v>57</v>
      </c>
      <c r="T104" t="s">
        <v>73</v>
      </c>
      <c r="U104" t="s">
        <v>59</v>
      </c>
      <c r="V104">
        <v>0.25189299999999998</v>
      </c>
      <c r="W104" t="s">
        <v>53</v>
      </c>
      <c r="X104" t="s">
        <v>53</v>
      </c>
      <c r="Y104" t="s">
        <v>127</v>
      </c>
      <c r="Z104" t="str">
        <f t="shared" si="2"/>
        <v>Mayor que 70 - hasta 80</v>
      </c>
      <c r="AA104">
        <f t="shared" si="3"/>
        <v>1</v>
      </c>
      <c r="AB104">
        <v>5690</v>
      </c>
      <c r="AC104" t="s">
        <v>61</v>
      </c>
      <c r="AD104" t="s">
        <v>88</v>
      </c>
      <c r="AE104">
        <v>0.75005200000000005</v>
      </c>
      <c r="AF104" t="s">
        <v>63</v>
      </c>
      <c r="AG104">
        <v>24.303657999999999</v>
      </c>
      <c r="AH104" t="s">
        <v>61</v>
      </c>
      <c r="AI104" t="s">
        <v>62</v>
      </c>
      <c r="AJ104">
        <v>1.8358479999999999</v>
      </c>
      <c r="AK104" t="s">
        <v>76</v>
      </c>
      <c r="AL104">
        <v>62.851176000000002</v>
      </c>
      <c r="AM104" s="4" t="s">
        <v>64</v>
      </c>
      <c r="AN104" s="5">
        <v>13442.482157784971</v>
      </c>
      <c r="AO104" s="4" t="s">
        <v>65</v>
      </c>
      <c r="AP104" s="6">
        <v>3152</v>
      </c>
      <c r="AQ104">
        <v>3</v>
      </c>
      <c r="AR104">
        <v>12424.170179000001</v>
      </c>
      <c r="AS104" t="s">
        <v>66</v>
      </c>
      <c r="AT104" t="s">
        <v>53</v>
      </c>
    </row>
    <row r="105" spans="1:46">
      <c r="A105">
        <v>324</v>
      </c>
      <c r="B105" t="s">
        <v>46</v>
      </c>
      <c r="C105">
        <v>5</v>
      </c>
      <c r="D105">
        <v>697</v>
      </c>
      <c r="E105" t="s">
        <v>259</v>
      </c>
      <c r="F105" t="s">
        <v>48</v>
      </c>
      <c r="G105">
        <v>5697</v>
      </c>
      <c r="H105">
        <v>5697</v>
      </c>
      <c r="I105" t="s">
        <v>49</v>
      </c>
      <c r="J105">
        <v>506</v>
      </c>
      <c r="K105" t="s">
        <v>68</v>
      </c>
      <c r="L105" t="s">
        <v>91</v>
      </c>
      <c r="M105" t="s">
        <v>53</v>
      </c>
      <c r="N105">
        <v>37801</v>
      </c>
      <c r="O105" t="s">
        <v>53</v>
      </c>
      <c r="P105" t="s">
        <v>92</v>
      </c>
      <c r="Q105" t="s">
        <v>71</v>
      </c>
      <c r="R105" t="s">
        <v>56</v>
      </c>
      <c r="S105" t="s">
        <v>57</v>
      </c>
      <c r="T105" t="s">
        <v>58</v>
      </c>
      <c r="U105" t="s">
        <v>81</v>
      </c>
      <c r="V105">
        <v>0.50531199999999998</v>
      </c>
      <c r="W105" t="s">
        <v>53</v>
      </c>
      <c r="X105" t="s">
        <v>53</v>
      </c>
      <c r="Y105" t="s">
        <v>136</v>
      </c>
      <c r="Z105" t="str">
        <f t="shared" si="2"/>
        <v>Mayor que 100 - hasta 120</v>
      </c>
      <c r="AA105">
        <f t="shared" si="3"/>
        <v>1</v>
      </c>
      <c r="AB105">
        <v>5697</v>
      </c>
      <c r="AC105" t="s">
        <v>61</v>
      </c>
      <c r="AD105" t="s">
        <v>174</v>
      </c>
      <c r="AE105">
        <v>0</v>
      </c>
      <c r="AF105" t="s">
        <v>63</v>
      </c>
      <c r="AG105">
        <v>0</v>
      </c>
      <c r="AH105" t="s">
        <v>61</v>
      </c>
      <c r="AI105" t="s">
        <v>62</v>
      </c>
      <c r="AJ105">
        <v>1.5064519999999999</v>
      </c>
      <c r="AK105" t="s">
        <v>76</v>
      </c>
      <c r="AL105">
        <v>60.016860999999999</v>
      </c>
      <c r="AM105" s="4" t="s">
        <v>65</v>
      </c>
      <c r="AN105" s="5">
        <v>5786.2364616310979</v>
      </c>
      <c r="AO105" s="4" t="s">
        <v>65</v>
      </c>
      <c r="AP105" s="6">
        <v>3318</v>
      </c>
      <c r="AQ105">
        <v>2</v>
      </c>
      <c r="AR105">
        <v>4599.2516839999998</v>
      </c>
      <c r="AS105" t="s">
        <v>66</v>
      </c>
      <c r="AT105" t="s">
        <v>53</v>
      </c>
    </row>
    <row r="106" spans="1:46">
      <c r="A106">
        <v>323</v>
      </c>
      <c r="B106" t="s">
        <v>46</v>
      </c>
      <c r="C106">
        <v>5</v>
      </c>
      <c r="D106">
        <v>736</v>
      </c>
      <c r="E106" t="s">
        <v>103</v>
      </c>
      <c r="F106" t="s">
        <v>48</v>
      </c>
      <c r="G106">
        <v>5736</v>
      </c>
      <c r="H106">
        <v>5736</v>
      </c>
      <c r="I106" t="s">
        <v>49</v>
      </c>
      <c r="J106">
        <v>503</v>
      </c>
      <c r="K106" t="s">
        <v>99</v>
      </c>
      <c r="L106" t="s">
        <v>91</v>
      </c>
      <c r="M106" t="s">
        <v>53</v>
      </c>
      <c r="N106">
        <v>40602</v>
      </c>
      <c r="O106" t="s">
        <v>53</v>
      </c>
      <c r="P106" t="s">
        <v>92</v>
      </c>
      <c r="Q106" t="s">
        <v>118</v>
      </c>
      <c r="R106" t="s">
        <v>93</v>
      </c>
      <c r="S106" t="s">
        <v>100</v>
      </c>
      <c r="T106" t="s">
        <v>73</v>
      </c>
      <c r="U106" t="s">
        <v>101</v>
      </c>
      <c r="V106">
        <v>0.854545</v>
      </c>
      <c r="W106" t="s">
        <v>53</v>
      </c>
      <c r="X106" t="s">
        <v>53</v>
      </c>
      <c r="Y106" t="s">
        <v>82</v>
      </c>
      <c r="Z106" t="str">
        <f t="shared" si="2"/>
        <v>Mayor que 15 - hasta 20</v>
      </c>
      <c r="AA106">
        <f t="shared" si="3"/>
        <v>1</v>
      </c>
      <c r="AB106">
        <v>5736</v>
      </c>
      <c r="AC106" t="s">
        <v>61</v>
      </c>
      <c r="AD106" t="s">
        <v>103</v>
      </c>
      <c r="AE106">
        <v>0</v>
      </c>
      <c r="AF106" t="s">
        <v>63</v>
      </c>
      <c r="AG106">
        <v>0</v>
      </c>
      <c r="AH106" t="s">
        <v>61</v>
      </c>
      <c r="AI106" t="s">
        <v>62</v>
      </c>
      <c r="AJ106">
        <v>4.4799730000000002</v>
      </c>
      <c r="AK106" t="s">
        <v>85</v>
      </c>
      <c r="AL106">
        <v>181.82093800000001</v>
      </c>
      <c r="AM106" s="4" t="s">
        <v>64</v>
      </c>
      <c r="AN106" s="5">
        <v>44347.118500991368</v>
      </c>
      <c r="AO106" s="4" t="s">
        <v>64</v>
      </c>
      <c r="AP106" s="6">
        <v>613</v>
      </c>
      <c r="AQ106">
        <v>3</v>
      </c>
      <c r="AR106">
        <v>31583.709953000001</v>
      </c>
      <c r="AS106" t="s">
        <v>66</v>
      </c>
      <c r="AT106" t="s">
        <v>53</v>
      </c>
    </row>
    <row r="107" spans="1:46">
      <c r="A107">
        <v>322</v>
      </c>
      <c r="B107" t="s">
        <v>46</v>
      </c>
      <c r="C107">
        <v>5</v>
      </c>
      <c r="D107">
        <v>756</v>
      </c>
      <c r="E107" t="s">
        <v>260</v>
      </c>
      <c r="F107" t="s">
        <v>48</v>
      </c>
      <c r="G107">
        <v>5756</v>
      </c>
      <c r="H107">
        <v>5756</v>
      </c>
      <c r="I107" t="s">
        <v>49</v>
      </c>
      <c r="J107">
        <v>506</v>
      </c>
      <c r="K107" t="s">
        <v>68</v>
      </c>
      <c r="L107" t="s">
        <v>69</v>
      </c>
      <c r="M107" t="s">
        <v>53</v>
      </c>
      <c r="N107">
        <v>38203</v>
      </c>
      <c r="O107" t="s">
        <v>53</v>
      </c>
      <c r="P107" t="s">
        <v>92</v>
      </c>
      <c r="Q107" t="s">
        <v>118</v>
      </c>
      <c r="R107" t="s">
        <v>122</v>
      </c>
      <c r="S107" t="s">
        <v>57</v>
      </c>
      <c r="T107" t="s">
        <v>73</v>
      </c>
      <c r="U107" t="s">
        <v>119</v>
      </c>
      <c r="V107">
        <v>0.24435299999999999</v>
      </c>
      <c r="W107" t="s">
        <v>53</v>
      </c>
      <c r="X107" t="s">
        <v>53</v>
      </c>
      <c r="Y107" t="s">
        <v>165</v>
      </c>
      <c r="Z107" t="str">
        <f t="shared" si="2"/>
        <v>Mayor que 60 - hasta 70</v>
      </c>
      <c r="AA107">
        <f t="shared" si="3"/>
        <v>1</v>
      </c>
      <c r="AB107">
        <v>5756</v>
      </c>
      <c r="AC107" t="s">
        <v>61</v>
      </c>
      <c r="AD107" t="s">
        <v>75</v>
      </c>
      <c r="AE107">
        <v>1.219193</v>
      </c>
      <c r="AF107" t="s">
        <v>76</v>
      </c>
      <c r="AG107">
        <v>52.760007000000002</v>
      </c>
      <c r="AH107" t="s">
        <v>61</v>
      </c>
      <c r="AI107" t="s">
        <v>62</v>
      </c>
      <c r="AJ107">
        <v>2.281663</v>
      </c>
      <c r="AK107" t="s">
        <v>77</v>
      </c>
      <c r="AL107">
        <v>90.973211000000006</v>
      </c>
      <c r="AM107" s="4" t="s">
        <v>64</v>
      </c>
      <c r="AN107" s="5">
        <v>43994.554351920524</v>
      </c>
      <c r="AO107" s="4" t="s">
        <v>65</v>
      </c>
      <c r="AP107" s="6">
        <v>6440</v>
      </c>
      <c r="AQ107">
        <v>4</v>
      </c>
      <c r="AR107">
        <v>39352.433481</v>
      </c>
      <c r="AS107" t="s">
        <v>66</v>
      </c>
      <c r="AT107" t="s">
        <v>53</v>
      </c>
    </row>
    <row r="108" spans="1:46">
      <c r="A108">
        <v>321</v>
      </c>
      <c r="B108" t="s">
        <v>46</v>
      </c>
      <c r="C108">
        <v>5</v>
      </c>
      <c r="D108">
        <v>761</v>
      </c>
      <c r="E108" t="s">
        <v>261</v>
      </c>
      <c r="F108" t="s">
        <v>48</v>
      </c>
      <c r="G108">
        <v>5761</v>
      </c>
      <c r="H108">
        <v>5761</v>
      </c>
      <c r="I108" t="s">
        <v>49</v>
      </c>
      <c r="J108">
        <v>505</v>
      </c>
      <c r="K108" t="s">
        <v>79</v>
      </c>
      <c r="L108" t="s">
        <v>91</v>
      </c>
      <c r="M108" t="s">
        <v>53</v>
      </c>
      <c r="N108">
        <v>15949</v>
      </c>
      <c r="O108" t="s">
        <v>53</v>
      </c>
      <c r="P108" t="s">
        <v>70</v>
      </c>
      <c r="Q108" t="s">
        <v>71</v>
      </c>
      <c r="R108" t="s">
        <v>122</v>
      </c>
      <c r="S108" t="s">
        <v>57</v>
      </c>
      <c r="T108" t="s">
        <v>58</v>
      </c>
      <c r="U108" t="s">
        <v>59</v>
      </c>
      <c r="V108">
        <v>0.42068299999999997</v>
      </c>
      <c r="W108" t="s">
        <v>53</v>
      </c>
      <c r="X108" t="s">
        <v>53</v>
      </c>
      <c r="Y108" t="s">
        <v>228</v>
      </c>
      <c r="Z108" t="str">
        <f t="shared" si="2"/>
        <v>Mayor que 180 - hasta 200</v>
      </c>
      <c r="AA108">
        <f t="shared" si="3"/>
        <v>1</v>
      </c>
      <c r="AB108">
        <v>5761</v>
      </c>
      <c r="AC108" t="s">
        <v>61</v>
      </c>
      <c r="AD108" t="s">
        <v>83</v>
      </c>
      <c r="AE108">
        <v>1.456664</v>
      </c>
      <c r="AF108" t="s">
        <v>76</v>
      </c>
      <c r="AG108">
        <v>41.203153</v>
      </c>
      <c r="AH108" t="s">
        <v>61</v>
      </c>
      <c r="AI108" t="s">
        <v>62</v>
      </c>
      <c r="AJ108">
        <v>2.017541</v>
      </c>
      <c r="AK108" t="s">
        <v>77</v>
      </c>
      <c r="AL108">
        <v>50.487214999999999</v>
      </c>
      <c r="AM108" s="4" t="s">
        <v>65</v>
      </c>
      <c r="AN108" s="5">
        <v>9016.2639398741321</v>
      </c>
      <c r="AO108" s="4" t="s">
        <v>65</v>
      </c>
      <c r="AP108" s="6">
        <v>3500</v>
      </c>
      <c r="AQ108">
        <v>4</v>
      </c>
      <c r="AR108">
        <v>8762.154149</v>
      </c>
      <c r="AS108" t="s">
        <v>66</v>
      </c>
      <c r="AT108" t="s">
        <v>53</v>
      </c>
    </row>
    <row r="109" spans="1:46">
      <c r="A109">
        <v>320</v>
      </c>
      <c r="B109" t="s">
        <v>46</v>
      </c>
      <c r="C109">
        <v>5</v>
      </c>
      <c r="D109">
        <v>789</v>
      </c>
      <c r="E109" t="s">
        <v>262</v>
      </c>
      <c r="F109" t="s">
        <v>48</v>
      </c>
      <c r="G109">
        <v>5789</v>
      </c>
      <c r="H109">
        <v>5789</v>
      </c>
      <c r="I109" t="s">
        <v>49</v>
      </c>
      <c r="J109">
        <v>507</v>
      </c>
      <c r="K109" t="s">
        <v>90</v>
      </c>
      <c r="L109" t="s">
        <v>91</v>
      </c>
      <c r="M109" t="s">
        <v>53</v>
      </c>
      <c r="N109">
        <v>17029</v>
      </c>
      <c r="O109" t="s">
        <v>53</v>
      </c>
      <c r="P109" t="s">
        <v>70</v>
      </c>
      <c r="Q109" t="s">
        <v>71</v>
      </c>
      <c r="R109" t="s">
        <v>122</v>
      </c>
      <c r="S109" t="s">
        <v>57</v>
      </c>
      <c r="T109" t="s">
        <v>58</v>
      </c>
      <c r="U109" t="s">
        <v>81</v>
      </c>
      <c r="V109">
        <v>0.47819400000000001</v>
      </c>
      <c r="W109">
        <v>2024</v>
      </c>
      <c r="X109" t="s">
        <v>144</v>
      </c>
      <c r="Y109" t="s">
        <v>145</v>
      </c>
      <c r="Z109" t="str">
        <f t="shared" si="2"/>
        <v>Mayor que 70 - hasta 80</v>
      </c>
      <c r="AA109">
        <f t="shared" si="3"/>
        <v>0</v>
      </c>
      <c r="AB109">
        <v>5789</v>
      </c>
      <c r="AC109" t="s">
        <v>61</v>
      </c>
      <c r="AD109" t="s">
        <v>96</v>
      </c>
      <c r="AE109">
        <v>2.0464980000000002</v>
      </c>
      <c r="AF109" t="s">
        <v>77</v>
      </c>
      <c r="AG109">
        <v>72.872495999999998</v>
      </c>
      <c r="AH109" t="s">
        <v>61</v>
      </c>
      <c r="AI109" t="s">
        <v>62</v>
      </c>
      <c r="AJ109">
        <v>2.5221770000000001</v>
      </c>
      <c r="AK109" t="s">
        <v>77</v>
      </c>
      <c r="AL109">
        <v>96.079098000000002</v>
      </c>
      <c r="AM109" t="s">
        <v>64</v>
      </c>
      <c r="AN109" s="7">
        <v>3045.1441631711082</v>
      </c>
      <c r="AO109" t="s">
        <v>65</v>
      </c>
      <c r="AP109" s="3">
        <v>749</v>
      </c>
      <c r="AQ109">
        <v>3</v>
      </c>
      <c r="AR109">
        <v>2586.9777300000001</v>
      </c>
      <c r="AS109" t="s">
        <v>66</v>
      </c>
      <c r="AT109" t="s">
        <v>53</v>
      </c>
    </row>
    <row r="110" spans="1:46">
      <c r="A110">
        <v>319</v>
      </c>
      <c r="B110" t="s">
        <v>46</v>
      </c>
      <c r="C110">
        <v>5</v>
      </c>
      <c r="D110">
        <v>790</v>
      </c>
      <c r="E110" t="s">
        <v>263</v>
      </c>
      <c r="F110" t="s">
        <v>48</v>
      </c>
      <c r="G110">
        <v>5790</v>
      </c>
      <c r="H110">
        <v>5790</v>
      </c>
      <c r="I110" t="s">
        <v>49</v>
      </c>
      <c r="J110">
        <v>501</v>
      </c>
      <c r="K110" t="s">
        <v>152</v>
      </c>
      <c r="L110" t="s">
        <v>91</v>
      </c>
      <c r="M110" t="s">
        <v>53</v>
      </c>
      <c r="N110">
        <v>28874</v>
      </c>
      <c r="O110" t="s">
        <v>53</v>
      </c>
      <c r="P110" t="s">
        <v>70</v>
      </c>
      <c r="Q110" t="s">
        <v>71</v>
      </c>
      <c r="R110" t="s">
        <v>72</v>
      </c>
      <c r="S110" t="s">
        <v>100</v>
      </c>
      <c r="T110" t="s">
        <v>73</v>
      </c>
      <c r="U110" t="s">
        <v>115</v>
      </c>
      <c r="V110">
        <v>0.768953</v>
      </c>
      <c r="W110" t="s">
        <v>53</v>
      </c>
      <c r="X110" t="s">
        <v>53</v>
      </c>
      <c r="Y110" t="s">
        <v>102</v>
      </c>
      <c r="Z110" t="str">
        <f t="shared" si="2"/>
        <v>Mayor que 20 - hasta 30</v>
      </c>
      <c r="AA110">
        <f t="shared" si="3"/>
        <v>1</v>
      </c>
      <c r="AB110">
        <v>5790</v>
      </c>
      <c r="AC110" t="s">
        <v>61</v>
      </c>
      <c r="AD110" t="s">
        <v>153</v>
      </c>
      <c r="AE110">
        <v>1.2220009999999999</v>
      </c>
      <c r="AF110" t="s">
        <v>76</v>
      </c>
      <c r="AG110">
        <v>63.919804999999997</v>
      </c>
      <c r="AH110" t="s">
        <v>129</v>
      </c>
      <c r="AI110" t="s">
        <v>130</v>
      </c>
      <c r="AJ110">
        <v>3.4414699999999998</v>
      </c>
      <c r="AK110" t="s">
        <v>84</v>
      </c>
      <c r="AL110">
        <v>188.10815299999999</v>
      </c>
      <c r="AM110" s="4" t="s">
        <v>97</v>
      </c>
      <c r="AN110" s="5">
        <v>58925.556168733339</v>
      </c>
      <c r="AO110" s="4" t="s">
        <v>64</v>
      </c>
      <c r="AP110" s="6">
        <v>773</v>
      </c>
      <c r="AQ110">
        <v>4</v>
      </c>
      <c r="AR110">
        <v>50579.105261999997</v>
      </c>
      <c r="AS110" t="s">
        <v>66</v>
      </c>
      <c r="AT110" t="s">
        <v>53</v>
      </c>
    </row>
    <row r="111" spans="1:46">
      <c r="A111">
        <v>318</v>
      </c>
      <c r="B111" t="s">
        <v>46</v>
      </c>
      <c r="C111">
        <v>5</v>
      </c>
      <c r="D111">
        <v>792</v>
      </c>
      <c r="E111" t="s">
        <v>264</v>
      </c>
      <c r="F111" t="s">
        <v>48</v>
      </c>
      <c r="G111">
        <v>5792</v>
      </c>
      <c r="H111">
        <v>5792</v>
      </c>
      <c r="I111" t="s">
        <v>49</v>
      </c>
      <c r="J111">
        <v>507</v>
      </c>
      <c r="K111" t="s">
        <v>90</v>
      </c>
      <c r="L111" t="s">
        <v>91</v>
      </c>
      <c r="M111" t="s">
        <v>53</v>
      </c>
      <c r="N111">
        <v>6510</v>
      </c>
      <c r="O111" t="s">
        <v>53</v>
      </c>
      <c r="P111" t="s">
        <v>70</v>
      </c>
      <c r="Q111" t="s">
        <v>71</v>
      </c>
      <c r="R111" t="s">
        <v>56</v>
      </c>
      <c r="S111" t="s">
        <v>57</v>
      </c>
      <c r="T111" t="s">
        <v>58</v>
      </c>
      <c r="U111" t="s">
        <v>59</v>
      </c>
      <c r="V111">
        <v>0.31390400000000002</v>
      </c>
      <c r="W111">
        <v>2024</v>
      </c>
      <c r="X111" t="s">
        <v>265</v>
      </c>
      <c r="Y111" t="s">
        <v>266</v>
      </c>
      <c r="Z111" t="str">
        <f t="shared" si="2"/>
        <v>Mayor que 140 - hasta 160</v>
      </c>
      <c r="AA111">
        <f t="shared" si="3"/>
        <v>0</v>
      </c>
      <c r="AB111">
        <v>5792</v>
      </c>
      <c r="AC111" t="s">
        <v>61</v>
      </c>
      <c r="AD111" t="s">
        <v>96</v>
      </c>
      <c r="AE111">
        <v>1.7905150000000001</v>
      </c>
      <c r="AF111" t="s">
        <v>76</v>
      </c>
      <c r="AG111">
        <v>61.195540999999999</v>
      </c>
      <c r="AH111" t="s">
        <v>61</v>
      </c>
      <c r="AI111" t="s">
        <v>62</v>
      </c>
      <c r="AJ111">
        <v>2.266194</v>
      </c>
      <c r="AK111" t="s">
        <v>77</v>
      </c>
      <c r="AL111">
        <v>84.402142999999995</v>
      </c>
      <c r="AM111" t="s">
        <v>64</v>
      </c>
      <c r="AN111" s="7">
        <v>876.59331388845851</v>
      </c>
      <c r="AO111" t="s">
        <v>65</v>
      </c>
      <c r="AP111" s="3">
        <v>318</v>
      </c>
      <c r="AQ111">
        <v>3</v>
      </c>
      <c r="AR111">
        <v>1046.518605</v>
      </c>
      <c r="AS111" t="s">
        <v>66</v>
      </c>
      <c r="AT111" t="s">
        <v>53</v>
      </c>
    </row>
    <row r="112" spans="1:46">
      <c r="A112">
        <v>317</v>
      </c>
      <c r="B112" t="s">
        <v>46</v>
      </c>
      <c r="C112">
        <v>5</v>
      </c>
      <c r="D112">
        <v>809</v>
      </c>
      <c r="E112" t="s">
        <v>267</v>
      </c>
      <c r="F112" t="s">
        <v>48</v>
      </c>
      <c r="G112">
        <v>5809</v>
      </c>
      <c r="H112">
        <v>5809</v>
      </c>
      <c r="I112" t="s">
        <v>49</v>
      </c>
      <c r="J112">
        <v>507</v>
      </c>
      <c r="K112" t="s">
        <v>90</v>
      </c>
      <c r="L112" t="s">
        <v>91</v>
      </c>
      <c r="M112" t="s">
        <v>53</v>
      </c>
      <c r="N112">
        <v>11259</v>
      </c>
      <c r="O112" t="s">
        <v>53</v>
      </c>
      <c r="P112" t="s">
        <v>70</v>
      </c>
      <c r="Q112" t="s">
        <v>71</v>
      </c>
      <c r="R112" t="s">
        <v>105</v>
      </c>
      <c r="S112" t="s">
        <v>57</v>
      </c>
      <c r="T112" t="s">
        <v>58</v>
      </c>
      <c r="U112" t="s">
        <v>81</v>
      </c>
      <c r="V112">
        <v>0.35864600000000002</v>
      </c>
      <c r="W112">
        <v>2024</v>
      </c>
      <c r="X112" t="s">
        <v>106</v>
      </c>
      <c r="Y112" t="s">
        <v>107</v>
      </c>
      <c r="Z112" t="str">
        <f t="shared" si="2"/>
        <v>Mayor que 80 - hasta 100</v>
      </c>
      <c r="AA112">
        <f t="shared" si="3"/>
        <v>0</v>
      </c>
      <c r="AB112">
        <v>5809</v>
      </c>
      <c r="AC112" t="s">
        <v>61</v>
      </c>
      <c r="AD112" t="s">
        <v>96</v>
      </c>
      <c r="AE112">
        <v>0.86288100000000001</v>
      </c>
      <c r="AF112" t="s">
        <v>63</v>
      </c>
      <c r="AG112">
        <v>28.9664</v>
      </c>
      <c r="AH112" t="s">
        <v>61</v>
      </c>
      <c r="AI112" t="s">
        <v>62</v>
      </c>
      <c r="AJ112">
        <v>1.3385609999999999</v>
      </c>
      <c r="AK112" t="s">
        <v>76</v>
      </c>
      <c r="AL112">
        <v>52.173000999999999</v>
      </c>
      <c r="AM112" t="s">
        <v>65</v>
      </c>
      <c r="AN112" s="7">
        <v>310.15567065332118</v>
      </c>
      <c r="AO112" t="s">
        <v>65</v>
      </c>
      <c r="AP112" s="3">
        <v>183</v>
      </c>
      <c r="AQ112">
        <v>4</v>
      </c>
      <c r="AR112">
        <v>528.62071600000002</v>
      </c>
      <c r="AS112" t="s">
        <v>66</v>
      </c>
      <c r="AT112" t="s">
        <v>53</v>
      </c>
    </row>
    <row r="113" spans="1:46">
      <c r="A113">
        <v>316</v>
      </c>
      <c r="B113" t="s">
        <v>46</v>
      </c>
      <c r="C113">
        <v>5</v>
      </c>
      <c r="D113">
        <v>819</v>
      </c>
      <c r="E113" t="s">
        <v>268</v>
      </c>
      <c r="F113" t="s">
        <v>48</v>
      </c>
      <c r="G113">
        <v>5819</v>
      </c>
      <c r="H113">
        <v>5819</v>
      </c>
      <c r="I113" t="s">
        <v>49</v>
      </c>
      <c r="J113">
        <v>504</v>
      </c>
      <c r="K113" t="s">
        <v>112</v>
      </c>
      <c r="L113" t="s">
        <v>80</v>
      </c>
      <c r="M113" t="s">
        <v>53</v>
      </c>
      <c r="N113">
        <v>5225</v>
      </c>
      <c r="O113" t="s">
        <v>53</v>
      </c>
      <c r="P113" t="s">
        <v>70</v>
      </c>
      <c r="Q113" t="s">
        <v>71</v>
      </c>
      <c r="R113" t="s">
        <v>56</v>
      </c>
      <c r="S113" t="s">
        <v>57</v>
      </c>
      <c r="T113" t="s">
        <v>73</v>
      </c>
      <c r="U113" t="s">
        <v>101</v>
      </c>
      <c r="V113">
        <v>0.76192499999999996</v>
      </c>
      <c r="W113" t="s">
        <v>53</v>
      </c>
      <c r="X113" t="s">
        <v>53</v>
      </c>
      <c r="Y113" t="s">
        <v>116</v>
      </c>
      <c r="Z113" t="str">
        <f t="shared" si="2"/>
        <v>Mayor que 30 - hasta 40</v>
      </c>
      <c r="AA113">
        <f t="shared" si="3"/>
        <v>1</v>
      </c>
      <c r="AB113">
        <v>5819</v>
      </c>
      <c r="AC113" t="s">
        <v>61</v>
      </c>
      <c r="AD113" t="s">
        <v>113</v>
      </c>
      <c r="AE113">
        <v>2.2873999999999999</v>
      </c>
      <c r="AF113" t="s">
        <v>77</v>
      </c>
      <c r="AG113">
        <v>79.560721000000001</v>
      </c>
      <c r="AH113" t="s">
        <v>61</v>
      </c>
      <c r="AI113" t="s">
        <v>62</v>
      </c>
      <c r="AJ113">
        <v>3.6265520000000002</v>
      </c>
      <c r="AK113" t="s">
        <v>84</v>
      </c>
      <c r="AL113">
        <v>121.162655</v>
      </c>
      <c r="AM113" s="4" t="s">
        <v>64</v>
      </c>
      <c r="AN113" s="5">
        <v>5501.4610214711383</v>
      </c>
      <c r="AO113" s="4" t="s">
        <v>65</v>
      </c>
      <c r="AP113" s="6">
        <v>1982</v>
      </c>
      <c r="AQ113">
        <v>3</v>
      </c>
      <c r="AR113">
        <v>7998.1797109999998</v>
      </c>
      <c r="AS113" t="s">
        <v>66</v>
      </c>
      <c r="AT113" t="s">
        <v>53</v>
      </c>
    </row>
    <row r="114" spans="1:46">
      <c r="A114">
        <v>315</v>
      </c>
      <c r="B114" t="s">
        <v>46</v>
      </c>
      <c r="C114">
        <v>5</v>
      </c>
      <c r="D114">
        <v>837</v>
      </c>
      <c r="E114" t="s">
        <v>269</v>
      </c>
      <c r="F114" t="s">
        <v>48</v>
      </c>
      <c r="G114">
        <v>5837</v>
      </c>
      <c r="H114">
        <v>5837</v>
      </c>
      <c r="I114" t="s">
        <v>49</v>
      </c>
      <c r="J114">
        <v>508</v>
      </c>
      <c r="K114" t="s">
        <v>124</v>
      </c>
      <c r="L114" t="s">
        <v>51</v>
      </c>
      <c r="M114" t="s">
        <v>53</v>
      </c>
      <c r="N114">
        <v>133430</v>
      </c>
      <c r="O114" t="s">
        <v>53</v>
      </c>
      <c r="P114" t="s">
        <v>54</v>
      </c>
      <c r="Q114" t="s">
        <v>134</v>
      </c>
      <c r="R114" t="s">
        <v>72</v>
      </c>
      <c r="S114" t="s">
        <v>126</v>
      </c>
      <c r="T114" t="s">
        <v>73</v>
      </c>
      <c r="U114" t="s">
        <v>119</v>
      </c>
      <c r="V114">
        <v>0.59639600000000004</v>
      </c>
      <c r="W114" t="s">
        <v>53</v>
      </c>
      <c r="X114" t="s">
        <v>53</v>
      </c>
      <c r="Y114" t="s">
        <v>187</v>
      </c>
      <c r="Z114" t="str">
        <f t="shared" si="2"/>
        <v>Mayor que 80 - hasta 100</v>
      </c>
      <c r="AA114">
        <f t="shared" si="3"/>
        <v>1</v>
      </c>
      <c r="AB114">
        <v>5837</v>
      </c>
      <c r="AC114" t="s">
        <v>61</v>
      </c>
      <c r="AD114" t="s">
        <v>225</v>
      </c>
      <c r="AE114">
        <v>0</v>
      </c>
      <c r="AF114" t="s">
        <v>63</v>
      </c>
      <c r="AG114">
        <v>0</v>
      </c>
      <c r="AH114" t="s">
        <v>129</v>
      </c>
      <c r="AI114" t="s">
        <v>130</v>
      </c>
      <c r="AJ114">
        <v>3.850482</v>
      </c>
      <c r="AK114" t="s">
        <v>84</v>
      </c>
      <c r="AL114">
        <v>201.57119</v>
      </c>
      <c r="AM114" s="4" t="s">
        <v>64</v>
      </c>
      <c r="AN114" s="5">
        <v>131663.12265652159</v>
      </c>
      <c r="AO114" s="4" t="s">
        <v>65</v>
      </c>
      <c r="AP114" s="6">
        <v>6032</v>
      </c>
      <c r="AQ114">
        <v>2</v>
      </c>
      <c r="AR114">
        <v>123826.86186</v>
      </c>
      <c r="AS114" t="s">
        <v>66</v>
      </c>
      <c r="AT114" t="s">
        <v>53</v>
      </c>
    </row>
    <row r="115" spans="1:46">
      <c r="A115">
        <v>314</v>
      </c>
      <c r="B115" t="s">
        <v>46</v>
      </c>
      <c r="C115">
        <v>5</v>
      </c>
      <c r="D115">
        <v>842</v>
      </c>
      <c r="E115" t="s">
        <v>270</v>
      </c>
      <c r="F115" t="s">
        <v>48</v>
      </c>
      <c r="G115">
        <v>5842</v>
      </c>
      <c r="H115">
        <v>5842</v>
      </c>
      <c r="I115" t="s">
        <v>49</v>
      </c>
      <c r="J115">
        <v>505</v>
      </c>
      <c r="K115" t="s">
        <v>79</v>
      </c>
      <c r="L115" t="s">
        <v>69</v>
      </c>
      <c r="M115" t="s">
        <v>53</v>
      </c>
      <c r="N115">
        <v>7211</v>
      </c>
      <c r="O115" t="s">
        <v>53</v>
      </c>
      <c r="P115" t="s">
        <v>70</v>
      </c>
      <c r="Q115" t="s">
        <v>71</v>
      </c>
      <c r="R115" t="s">
        <v>93</v>
      </c>
      <c r="S115" t="s">
        <v>57</v>
      </c>
      <c r="T115" t="s">
        <v>73</v>
      </c>
      <c r="U115" t="s">
        <v>119</v>
      </c>
      <c r="V115">
        <v>0.59182299999999999</v>
      </c>
      <c r="W115" t="s">
        <v>53</v>
      </c>
      <c r="X115" t="s">
        <v>53</v>
      </c>
      <c r="Y115" t="s">
        <v>102</v>
      </c>
      <c r="Z115" t="str">
        <f t="shared" si="2"/>
        <v>Mayor que 20 - hasta 30</v>
      </c>
      <c r="AA115">
        <f t="shared" si="3"/>
        <v>1</v>
      </c>
      <c r="AB115">
        <v>5842</v>
      </c>
      <c r="AC115" t="s">
        <v>61</v>
      </c>
      <c r="AD115" t="s">
        <v>83</v>
      </c>
      <c r="AE115">
        <v>3.7374170000000002</v>
      </c>
      <c r="AF115" t="s">
        <v>84</v>
      </c>
      <c r="AG115">
        <v>120.0722</v>
      </c>
      <c r="AH115" t="s">
        <v>61</v>
      </c>
      <c r="AI115" t="s">
        <v>62</v>
      </c>
      <c r="AJ115">
        <v>4.2982940000000003</v>
      </c>
      <c r="AK115" t="s">
        <v>85</v>
      </c>
      <c r="AL115">
        <v>129.35626300000001</v>
      </c>
      <c r="AM115" s="4" t="s">
        <v>64</v>
      </c>
      <c r="AN115" s="5">
        <v>8301.4381412914372</v>
      </c>
      <c r="AO115" s="4" t="s">
        <v>65</v>
      </c>
      <c r="AP115" s="6">
        <v>596</v>
      </c>
      <c r="AQ115">
        <v>4</v>
      </c>
      <c r="AR115">
        <v>11093.219360999999</v>
      </c>
      <c r="AS115" t="s">
        <v>66</v>
      </c>
      <c r="AT115" t="s">
        <v>53</v>
      </c>
    </row>
    <row r="116" spans="1:46">
      <c r="A116">
        <v>400</v>
      </c>
      <c r="B116" t="s">
        <v>46</v>
      </c>
      <c r="C116">
        <v>5</v>
      </c>
      <c r="D116">
        <v>847</v>
      </c>
      <c r="E116" t="s">
        <v>271</v>
      </c>
      <c r="F116" t="s">
        <v>48</v>
      </c>
      <c r="G116">
        <v>5847</v>
      </c>
      <c r="H116">
        <v>5847</v>
      </c>
      <c r="I116" t="s">
        <v>49</v>
      </c>
      <c r="J116">
        <v>507</v>
      </c>
      <c r="K116" t="s">
        <v>90</v>
      </c>
      <c r="L116" t="s">
        <v>69</v>
      </c>
      <c r="M116" t="s">
        <v>53</v>
      </c>
      <c r="N116">
        <v>31885</v>
      </c>
      <c r="O116" t="s">
        <v>53</v>
      </c>
      <c r="P116" t="s">
        <v>92</v>
      </c>
      <c r="Q116" t="s">
        <v>71</v>
      </c>
      <c r="R116" t="s">
        <v>105</v>
      </c>
      <c r="S116" t="s">
        <v>57</v>
      </c>
      <c r="T116" t="s">
        <v>73</v>
      </c>
      <c r="U116" t="s">
        <v>119</v>
      </c>
      <c r="V116">
        <v>0.21093400000000001</v>
      </c>
      <c r="W116" t="s">
        <v>53</v>
      </c>
      <c r="X116" t="s">
        <v>53</v>
      </c>
      <c r="Y116" t="s">
        <v>167</v>
      </c>
      <c r="Z116" t="str">
        <f t="shared" si="2"/>
        <v>Mayor que 50 - hasta 60</v>
      </c>
      <c r="AA116">
        <f t="shared" si="3"/>
        <v>1</v>
      </c>
      <c r="AB116">
        <v>5847</v>
      </c>
      <c r="AC116" t="s">
        <v>61</v>
      </c>
      <c r="AD116" t="s">
        <v>96</v>
      </c>
      <c r="AE116">
        <v>3.629022</v>
      </c>
      <c r="AF116" t="s">
        <v>84</v>
      </c>
      <c r="AG116">
        <v>115.969762</v>
      </c>
      <c r="AH116" t="s">
        <v>61</v>
      </c>
      <c r="AI116" t="s">
        <v>62</v>
      </c>
      <c r="AJ116">
        <v>4.1047010000000004</v>
      </c>
      <c r="AK116" t="s">
        <v>85</v>
      </c>
      <c r="AL116">
        <v>139.17636400000001</v>
      </c>
      <c r="AM116" s="4" t="s">
        <v>64</v>
      </c>
      <c r="AN116" s="5">
        <v>32.908677694869979</v>
      </c>
      <c r="AO116" s="4" t="s">
        <v>64</v>
      </c>
      <c r="AP116" s="6">
        <v>1</v>
      </c>
      <c r="AQ116">
        <v>4</v>
      </c>
      <c r="AR116">
        <v>438.07523700000002</v>
      </c>
      <c r="AS116" t="s">
        <v>66</v>
      </c>
      <c r="AT116" t="s">
        <v>53</v>
      </c>
    </row>
    <row r="117" spans="1:46">
      <c r="A117">
        <v>313</v>
      </c>
      <c r="B117" t="s">
        <v>46</v>
      </c>
      <c r="C117">
        <v>5</v>
      </c>
      <c r="D117">
        <v>854</v>
      </c>
      <c r="E117" t="s">
        <v>272</v>
      </c>
      <c r="F117" t="s">
        <v>48</v>
      </c>
      <c r="G117">
        <v>5854</v>
      </c>
      <c r="H117">
        <v>5854</v>
      </c>
      <c r="I117" t="s">
        <v>49</v>
      </c>
      <c r="J117">
        <v>504</v>
      </c>
      <c r="K117" t="s">
        <v>112</v>
      </c>
      <c r="L117" t="s">
        <v>80</v>
      </c>
      <c r="M117" t="s">
        <v>53</v>
      </c>
      <c r="N117">
        <v>14596</v>
      </c>
      <c r="O117" t="s">
        <v>53</v>
      </c>
      <c r="P117" t="s">
        <v>70</v>
      </c>
      <c r="Q117" t="s">
        <v>71</v>
      </c>
      <c r="R117" t="s">
        <v>56</v>
      </c>
      <c r="S117" t="s">
        <v>100</v>
      </c>
      <c r="T117" t="s">
        <v>73</v>
      </c>
      <c r="U117" t="s">
        <v>115</v>
      </c>
      <c r="V117">
        <v>0.68365299999999996</v>
      </c>
      <c r="W117" t="s">
        <v>53</v>
      </c>
      <c r="X117" t="s">
        <v>53</v>
      </c>
      <c r="Y117" t="s">
        <v>102</v>
      </c>
      <c r="Z117" t="str">
        <f t="shared" si="2"/>
        <v>Mayor que 20 - hasta 30</v>
      </c>
      <c r="AA117">
        <f t="shared" si="3"/>
        <v>1</v>
      </c>
      <c r="AB117">
        <v>5854</v>
      </c>
      <c r="AC117" t="s">
        <v>61</v>
      </c>
      <c r="AD117" t="s">
        <v>113</v>
      </c>
      <c r="AE117">
        <v>0.90295199999999998</v>
      </c>
      <c r="AF117" t="s">
        <v>63</v>
      </c>
      <c r="AG117">
        <v>31.597771000000002</v>
      </c>
      <c r="AH117" t="s">
        <v>61</v>
      </c>
      <c r="AI117" t="s">
        <v>62</v>
      </c>
      <c r="AJ117">
        <v>3.7129530000000002</v>
      </c>
      <c r="AK117" t="s">
        <v>84</v>
      </c>
      <c r="AL117">
        <v>145.60601</v>
      </c>
      <c r="AM117" s="4" t="s">
        <v>64</v>
      </c>
      <c r="AN117" s="5">
        <v>29844.720656813624</v>
      </c>
      <c r="AO117" s="4" t="s">
        <v>65</v>
      </c>
      <c r="AP117" s="6">
        <v>1024</v>
      </c>
      <c r="AQ117">
        <v>4</v>
      </c>
      <c r="AR117">
        <v>29263.094442000001</v>
      </c>
      <c r="AS117" t="s">
        <v>66</v>
      </c>
      <c r="AT117" t="s">
        <v>53</v>
      </c>
    </row>
    <row r="118" spans="1:46">
      <c r="A118">
        <v>312</v>
      </c>
      <c r="B118" t="s">
        <v>46</v>
      </c>
      <c r="C118">
        <v>5</v>
      </c>
      <c r="D118">
        <v>856</v>
      </c>
      <c r="E118" t="s">
        <v>273</v>
      </c>
      <c r="F118" t="s">
        <v>48</v>
      </c>
      <c r="G118">
        <v>5856</v>
      </c>
      <c r="H118">
        <v>5856</v>
      </c>
      <c r="I118" t="s">
        <v>49</v>
      </c>
      <c r="J118">
        <v>507</v>
      </c>
      <c r="K118" t="s">
        <v>90</v>
      </c>
      <c r="L118" t="s">
        <v>69</v>
      </c>
      <c r="M118" t="s">
        <v>53</v>
      </c>
      <c r="N118">
        <v>6876</v>
      </c>
      <c r="O118" t="s">
        <v>53</v>
      </c>
      <c r="P118" t="s">
        <v>70</v>
      </c>
      <c r="Q118" t="s">
        <v>71</v>
      </c>
      <c r="R118" t="s">
        <v>105</v>
      </c>
      <c r="S118" t="s">
        <v>57</v>
      </c>
      <c r="T118" t="s">
        <v>58</v>
      </c>
      <c r="U118" t="s">
        <v>59</v>
      </c>
      <c r="V118">
        <v>0.24448600000000001</v>
      </c>
      <c r="W118">
        <v>2024</v>
      </c>
      <c r="X118" t="s">
        <v>144</v>
      </c>
      <c r="Y118" t="s">
        <v>145</v>
      </c>
      <c r="Z118" t="str">
        <f t="shared" si="2"/>
        <v>Mayor que 70 - hasta 80</v>
      </c>
      <c r="AA118">
        <f t="shared" si="3"/>
        <v>0</v>
      </c>
      <c r="AB118">
        <v>5856</v>
      </c>
      <c r="AC118" t="s">
        <v>61</v>
      </c>
      <c r="AD118" t="s">
        <v>96</v>
      </c>
      <c r="AE118">
        <v>2.0904120000000002</v>
      </c>
      <c r="AF118" t="s">
        <v>77</v>
      </c>
      <c r="AG118">
        <v>70.434019000000006</v>
      </c>
      <c r="AH118" t="s">
        <v>61</v>
      </c>
      <c r="AI118" t="s">
        <v>62</v>
      </c>
      <c r="AJ118">
        <v>2.5660919999999998</v>
      </c>
      <c r="AK118" t="s">
        <v>77</v>
      </c>
      <c r="AL118">
        <v>93.640619999999998</v>
      </c>
      <c r="AM118" t="s">
        <v>64</v>
      </c>
      <c r="AN118" s="7">
        <v>4114.5021710857682</v>
      </c>
      <c r="AO118" t="s">
        <v>65</v>
      </c>
      <c r="AP118" s="3">
        <v>843</v>
      </c>
      <c r="AQ118">
        <v>3</v>
      </c>
      <c r="AR118">
        <v>5311.4937959999997</v>
      </c>
      <c r="AS118" t="s">
        <v>66</v>
      </c>
      <c r="AT118" t="s">
        <v>53</v>
      </c>
    </row>
    <row r="119" spans="1:46">
      <c r="A119">
        <v>311</v>
      </c>
      <c r="B119" t="s">
        <v>46</v>
      </c>
      <c r="C119">
        <v>5</v>
      </c>
      <c r="D119">
        <v>858</v>
      </c>
      <c r="E119" t="s">
        <v>274</v>
      </c>
      <c r="F119" t="s">
        <v>48</v>
      </c>
      <c r="G119">
        <v>5858</v>
      </c>
      <c r="H119">
        <v>5858</v>
      </c>
      <c r="I119" t="s">
        <v>49</v>
      </c>
      <c r="J119">
        <v>503</v>
      </c>
      <c r="K119" t="s">
        <v>99</v>
      </c>
      <c r="L119" t="s">
        <v>69</v>
      </c>
      <c r="M119" t="s">
        <v>53</v>
      </c>
      <c r="N119">
        <v>12453</v>
      </c>
      <c r="O119" t="s">
        <v>53</v>
      </c>
      <c r="P119" t="s">
        <v>70</v>
      </c>
      <c r="Q119" t="s">
        <v>71</v>
      </c>
      <c r="R119" t="s">
        <v>93</v>
      </c>
      <c r="S119" t="s">
        <v>57</v>
      </c>
      <c r="T119" t="s">
        <v>73</v>
      </c>
      <c r="U119" t="s">
        <v>119</v>
      </c>
      <c r="V119">
        <v>0.66405400000000003</v>
      </c>
      <c r="W119" t="s">
        <v>53</v>
      </c>
      <c r="X119" t="s">
        <v>53</v>
      </c>
      <c r="Y119" t="s">
        <v>102</v>
      </c>
      <c r="Z119" t="str">
        <f t="shared" si="2"/>
        <v>Mayor que 20 - hasta 30</v>
      </c>
      <c r="AA119">
        <f t="shared" si="3"/>
        <v>1</v>
      </c>
      <c r="AB119">
        <v>5858</v>
      </c>
      <c r="AC119" t="s">
        <v>61</v>
      </c>
      <c r="AD119" t="s">
        <v>103</v>
      </c>
      <c r="AE119">
        <v>1.074719</v>
      </c>
      <c r="AF119" t="s">
        <v>76</v>
      </c>
      <c r="AG119">
        <v>45.710259999999998</v>
      </c>
      <c r="AH119" t="s">
        <v>61</v>
      </c>
      <c r="AI119" t="s">
        <v>62</v>
      </c>
      <c r="AJ119">
        <v>3.4242080000000001</v>
      </c>
      <c r="AK119" t="s">
        <v>84</v>
      </c>
      <c r="AL119">
        <v>136.310678</v>
      </c>
      <c r="AM119" s="4" t="s">
        <v>64</v>
      </c>
      <c r="AN119" s="5">
        <v>29726.453991407841</v>
      </c>
      <c r="AO119" s="4" t="s">
        <v>65</v>
      </c>
      <c r="AP119" s="6">
        <v>782</v>
      </c>
      <c r="AQ119">
        <v>3</v>
      </c>
      <c r="AR119">
        <v>28095.624543999998</v>
      </c>
      <c r="AS119" t="s">
        <v>66</v>
      </c>
      <c r="AT119" t="s">
        <v>53</v>
      </c>
    </row>
    <row r="120" spans="1:46">
      <c r="A120">
        <v>310</v>
      </c>
      <c r="B120" t="s">
        <v>46</v>
      </c>
      <c r="C120">
        <v>5</v>
      </c>
      <c r="D120">
        <v>861</v>
      </c>
      <c r="E120" t="s">
        <v>275</v>
      </c>
      <c r="F120" t="s">
        <v>48</v>
      </c>
      <c r="G120">
        <v>5861</v>
      </c>
      <c r="H120">
        <v>5861</v>
      </c>
      <c r="I120" t="s">
        <v>49</v>
      </c>
      <c r="J120">
        <v>507</v>
      </c>
      <c r="K120" t="s">
        <v>90</v>
      </c>
      <c r="L120" t="s">
        <v>91</v>
      </c>
      <c r="M120" t="s">
        <v>53</v>
      </c>
      <c r="N120">
        <v>12208</v>
      </c>
      <c r="O120" t="s">
        <v>53</v>
      </c>
      <c r="P120" t="s">
        <v>70</v>
      </c>
      <c r="Q120" t="s">
        <v>71</v>
      </c>
      <c r="R120" t="s">
        <v>122</v>
      </c>
      <c r="S120" t="s">
        <v>57</v>
      </c>
      <c r="T120" t="s">
        <v>58</v>
      </c>
      <c r="U120" t="s">
        <v>59</v>
      </c>
      <c r="V120">
        <v>0.47592699999999999</v>
      </c>
      <c r="W120">
        <v>2024</v>
      </c>
      <c r="X120" t="s">
        <v>94</v>
      </c>
      <c r="Y120" t="s">
        <v>95</v>
      </c>
      <c r="Z120" t="str">
        <f t="shared" si="2"/>
        <v>Mayor que 120 - hasta 140</v>
      </c>
      <c r="AA120">
        <f t="shared" si="3"/>
        <v>0</v>
      </c>
      <c r="AB120">
        <v>5861</v>
      </c>
      <c r="AC120" t="s">
        <v>61</v>
      </c>
      <c r="AD120" t="s">
        <v>96</v>
      </c>
      <c r="AE120">
        <v>0.89585300000000001</v>
      </c>
      <c r="AF120" t="s">
        <v>63</v>
      </c>
      <c r="AG120">
        <v>31.542135999999999</v>
      </c>
      <c r="AH120" t="s">
        <v>61</v>
      </c>
      <c r="AI120" t="s">
        <v>62</v>
      </c>
      <c r="AJ120">
        <v>1.3715329999999999</v>
      </c>
      <c r="AK120" t="s">
        <v>76</v>
      </c>
      <c r="AL120">
        <v>54.748736999999998</v>
      </c>
      <c r="AM120" t="s">
        <v>65</v>
      </c>
      <c r="AN120" s="7">
        <v>838.21121194085708</v>
      </c>
      <c r="AO120" t="s">
        <v>65</v>
      </c>
      <c r="AP120" s="3">
        <v>475</v>
      </c>
      <c r="AQ120">
        <v>2</v>
      </c>
      <c r="AR120">
        <v>1398.1331009999999</v>
      </c>
      <c r="AS120" t="s">
        <v>66</v>
      </c>
      <c r="AT120" t="s">
        <v>53</v>
      </c>
    </row>
    <row r="121" spans="1:46">
      <c r="A121">
        <v>402</v>
      </c>
      <c r="B121" t="s">
        <v>46</v>
      </c>
      <c r="C121">
        <v>5</v>
      </c>
      <c r="D121">
        <v>873</v>
      </c>
      <c r="E121" t="s">
        <v>276</v>
      </c>
      <c r="F121" t="s">
        <v>48</v>
      </c>
      <c r="G121">
        <v>5873</v>
      </c>
      <c r="H121">
        <v>5873</v>
      </c>
      <c r="I121" t="s">
        <v>49</v>
      </c>
      <c r="J121">
        <v>508</v>
      </c>
      <c r="K121" t="s">
        <v>124</v>
      </c>
      <c r="L121" t="s">
        <v>80</v>
      </c>
      <c r="M121" t="s">
        <v>53</v>
      </c>
      <c r="N121">
        <v>9681</v>
      </c>
      <c r="O121" t="s">
        <v>53</v>
      </c>
      <c r="P121" t="s">
        <v>70</v>
      </c>
      <c r="Q121" t="s">
        <v>71</v>
      </c>
      <c r="R121" t="s">
        <v>122</v>
      </c>
      <c r="S121" t="s">
        <v>220</v>
      </c>
      <c r="T121" t="s">
        <v>73</v>
      </c>
      <c r="U121" t="s">
        <v>101</v>
      </c>
      <c r="V121">
        <v>0.38028200000000001</v>
      </c>
      <c r="W121" t="s">
        <v>53</v>
      </c>
      <c r="X121" t="s">
        <v>53</v>
      </c>
      <c r="Y121" t="s">
        <v>277</v>
      </c>
      <c r="Z121" t="str">
        <f t="shared" si="2"/>
        <v>Mayor que 10 - hasta 15</v>
      </c>
      <c r="AA121">
        <f t="shared" si="3"/>
        <v>1</v>
      </c>
      <c r="AB121">
        <v>5873</v>
      </c>
      <c r="AC121" t="s">
        <v>61</v>
      </c>
      <c r="AD121" t="s">
        <v>171</v>
      </c>
      <c r="AE121">
        <v>11.788675</v>
      </c>
      <c r="AF121" t="s">
        <v>211</v>
      </c>
      <c r="AG121">
        <v>225.877287</v>
      </c>
      <c r="AH121" t="e">
        <v>#N/A</v>
      </c>
      <c r="AI121" t="e">
        <v>#N/A</v>
      </c>
      <c r="AJ121">
        <v>0</v>
      </c>
      <c r="AK121" t="s">
        <v>211</v>
      </c>
      <c r="AL121">
        <v>0</v>
      </c>
      <c r="AM121" s="4" t="e">
        <v>#N/A</v>
      </c>
      <c r="AN121" s="5" t="e">
        <v>#N/A</v>
      </c>
      <c r="AO121" s="4" t="e">
        <v>#N/A</v>
      </c>
      <c r="AP121" s="6" t="e">
        <v>#N/A</v>
      </c>
      <c r="AQ121">
        <v>3</v>
      </c>
      <c r="AR121">
        <v>15.540322</v>
      </c>
      <c r="AS121" t="s">
        <v>66</v>
      </c>
      <c r="AT121" t="s">
        <v>53</v>
      </c>
    </row>
    <row r="122" spans="1:46">
      <c r="A122">
        <v>309</v>
      </c>
      <c r="B122" t="s">
        <v>46</v>
      </c>
      <c r="C122">
        <v>5</v>
      </c>
      <c r="D122">
        <v>885</v>
      </c>
      <c r="E122" t="s">
        <v>278</v>
      </c>
      <c r="F122" t="s">
        <v>48</v>
      </c>
      <c r="G122">
        <v>5885</v>
      </c>
      <c r="H122">
        <v>5885</v>
      </c>
      <c r="I122" t="s">
        <v>49</v>
      </c>
      <c r="J122">
        <v>503</v>
      </c>
      <c r="K122" t="s">
        <v>99</v>
      </c>
      <c r="L122" t="s">
        <v>69</v>
      </c>
      <c r="M122" t="s">
        <v>53</v>
      </c>
      <c r="N122">
        <v>8026</v>
      </c>
      <c r="O122" t="s">
        <v>53</v>
      </c>
      <c r="P122" t="s">
        <v>70</v>
      </c>
      <c r="Q122" t="s">
        <v>71</v>
      </c>
      <c r="R122" t="s">
        <v>72</v>
      </c>
      <c r="S122" t="s">
        <v>57</v>
      </c>
      <c r="T122" t="s">
        <v>73</v>
      </c>
      <c r="U122" t="s">
        <v>119</v>
      </c>
      <c r="V122">
        <v>0.53791500000000003</v>
      </c>
      <c r="W122" t="s">
        <v>53</v>
      </c>
      <c r="X122" t="s">
        <v>53</v>
      </c>
      <c r="Y122" t="s">
        <v>102</v>
      </c>
      <c r="Z122" t="str">
        <f t="shared" si="2"/>
        <v>Mayor que 20 - hasta 30</v>
      </c>
      <c r="AA122">
        <f t="shared" si="3"/>
        <v>1</v>
      </c>
      <c r="AB122">
        <v>5885</v>
      </c>
      <c r="AC122" t="s">
        <v>61</v>
      </c>
      <c r="AD122" t="s">
        <v>103</v>
      </c>
      <c r="AE122">
        <v>1.51858</v>
      </c>
      <c r="AF122" t="s">
        <v>76</v>
      </c>
      <c r="AG122">
        <v>61.771276999999998</v>
      </c>
      <c r="AH122" t="s">
        <v>61</v>
      </c>
      <c r="AI122" t="s">
        <v>62</v>
      </c>
      <c r="AJ122">
        <v>3.0103019999999998</v>
      </c>
      <c r="AK122" t="s">
        <v>84</v>
      </c>
      <c r="AL122">
        <v>121.098189</v>
      </c>
      <c r="AM122" s="4" t="s">
        <v>64</v>
      </c>
      <c r="AN122" s="5">
        <v>21458.529754194766</v>
      </c>
      <c r="AO122" s="4" t="s">
        <v>65</v>
      </c>
      <c r="AP122" s="6">
        <v>501</v>
      </c>
      <c r="AQ122">
        <v>3</v>
      </c>
      <c r="AR122">
        <v>19723.519063</v>
      </c>
      <c r="AS122" t="s">
        <v>66</v>
      </c>
      <c r="AT122" t="s">
        <v>53</v>
      </c>
    </row>
    <row r="123" spans="1:46">
      <c r="A123">
        <v>308</v>
      </c>
      <c r="B123" t="s">
        <v>46</v>
      </c>
      <c r="C123">
        <v>5</v>
      </c>
      <c r="D123">
        <v>887</v>
      </c>
      <c r="E123" t="s">
        <v>113</v>
      </c>
      <c r="F123" t="s">
        <v>48</v>
      </c>
      <c r="G123">
        <v>5887</v>
      </c>
      <c r="H123">
        <v>5887</v>
      </c>
      <c r="I123" t="s">
        <v>49</v>
      </c>
      <c r="J123">
        <v>504</v>
      </c>
      <c r="K123" t="s">
        <v>112</v>
      </c>
      <c r="L123" t="s">
        <v>91</v>
      </c>
      <c r="M123" t="s">
        <v>53</v>
      </c>
      <c r="N123">
        <v>44102</v>
      </c>
      <c r="O123" t="s">
        <v>53</v>
      </c>
      <c r="P123" t="s">
        <v>92</v>
      </c>
      <c r="Q123" t="s">
        <v>71</v>
      </c>
      <c r="R123" t="s">
        <v>56</v>
      </c>
      <c r="S123" t="s">
        <v>57</v>
      </c>
      <c r="T123" t="s">
        <v>73</v>
      </c>
      <c r="U123" t="s">
        <v>101</v>
      </c>
      <c r="V123">
        <v>0.326816</v>
      </c>
      <c r="W123" t="s">
        <v>53</v>
      </c>
      <c r="X123" t="s">
        <v>53</v>
      </c>
      <c r="Y123" t="s">
        <v>165</v>
      </c>
      <c r="Z123" t="str">
        <f t="shared" si="2"/>
        <v>Mayor que 60 - hasta 70</v>
      </c>
      <c r="AA123">
        <f t="shared" si="3"/>
        <v>1</v>
      </c>
      <c r="AB123">
        <v>5887</v>
      </c>
      <c r="AC123" t="s">
        <v>61</v>
      </c>
      <c r="AD123" t="s">
        <v>113</v>
      </c>
      <c r="AE123">
        <v>0</v>
      </c>
      <c r="AF123" t="s">
        <v>63</v>
      </c>
      <c r="AG123">
        <v>0</v>
      </c>
      <c r="AH123" t="s">
        <v>61</v>
      </c>
      <c r="AI123" t="s">
        <v>62</v>
      </c>
      <c r="AJ123">
        <v>2.8100010000000002</v>
      </c>
      <c r="AK123" t="s">
        <v>77</v>
      </c>
      <c r="AL123">
        <v>114.008239</v>
      </c>
      <c r="AM123" s="4" t="s">
        <v>64</v>
      </c>
      <c r="AN123" s="5">
        <v>50842.383873370978</v>
      </c>
      <c r="AO123" s="4" t="s">
        <v>65</v>
      </c>
      <c r="AP123" s="6">
        <v>2287</v>
      </c>
      <c r="AQ123">
        <v>3</v>
      </c>
      <c r="AR123">
        <v>43638.154619000001</v>
      </c>
      <c r="AS123" t="s">
        <v>66</v>
      </c>
      <c r="AT123" t="s">
        <v>53</v>
      </c>
    </row>
    <row r="124" spans="1:46">
      <c r="A124">
        <v>307</v>
      </c>
      <c r="B124" t="s">
        <v>46</v>
      </c>
      <c r="C124">
        <v>5</v>
      </c>
      <c r="D124">
        <v>890</v>
      </c>
      <c r="E124" t="s">
        <v>279</v>
      </c>
      <c r="F124" t="s">
        <v>48</v>
      </c>
      <c r="G124">
        <v>5890</v>
      </c>
      <c r="H124">
        <v>5890</v>
      </c>
      <c r="I124" t="s">
        <v>49</v>
      </c>
      <c r="J124">
        <v>503</v>
      </c>
      <c r="K124" t="s">
        <v>99</v>
      </c>
      <c r="L124" t="s">
        <v>80</v>
      </c>
      <c r="M124" t="s">
        <v>53</v>
      </c>
      <c r="N124">
        <v>23825</v>
      </c>
      <c r="O124" t="s">
        <v>53</v>
      </c>
      <c r="P124" t="s">
        <v>70</v>
      </c>
      <c r="Q124" t="s">
        <v>71</v>
      </c>
      <c r="R124" t="s">
        <v>72</v>
      </c>
      <c r="S124" t="s">
        <v>57</v>
      </c>
      <c r="T124" t="s">
        <v>73</v>
      </c>
      <c r="U124" t="s">
        <v>59</v>
      </c>
      <c r="V124">
        <v>0.46124900000000002</v>
      </c>
      <c r="W124" t="s">
        <v>53</v>
      </c>
      <c r="X124" t="s">
        <v>53</v>
      </c>
      <c r="Y124" t="s">
        <v>87</v>
      </c>
      <c r="Z124" t="str">
        <f t="shared" si="2"/>
        <v>Mayor que 40 - hasta 50</v>
      </c>
      <c r="AA124">
        <f t="shared" si="3"/>
        <v>1</v>
      </c>
      <c r="AB124">
        <v>5890</v>
      </c>
      <c r="AC124" t="s">
        <v>61</v>
      </c>
      <c r="AD124" t="s">
        <v>88</v>
      </c>
      <c r="AE124">
        <v>1.2116549999999999</v>
      </c>
      <c r="AF124" t="s">
        <v>76</v>
      </c>
      <c r="AG124">
        <v>53.601429000000003</v>
      </c>
      <c r="AH124" t="s">
        <v>61</v>
      </c>
      <c r="AI124" t="s">
        <v>62</v>
      </c>
      <c r="AJ124">
        <v>2.2974510000000001</v>
      </c>
      <c r="AK124" t="s">
        <v>77</v>
      </c>
      <c r="AL124">
        <v>92.148947000000007</v>
      </c>
      <c r="AM124" s="4" t="s">
        <v>64</v>
      </c>
      <c r="AN124" s="5">
        <v>45410.56162886534</v>
      </c>
      <c r="AO124" s="4" t="s">
        <v>65</v>
      </c>
      <c r="AP124" s="6">
        <v>3161</v>
      </c>
      <c r="AQ124">
        <v>3</v>
      </c>
      <c r="AR124">
        <v>35274.943910000002</v>
      </c>
      <c r="AS124" t="s">
        <v>66</v>
      </c>
      <c r="AT124" t="s">
        <v>53</v>
      </c>
    </row>
    <row r="125" spans="1:46">
      <c r="A125">
        <v>306</v>
      </c>
      <c r="B125" t="s">
        <v>46</v>
      </c>
      <c r="C125">
        <v>5</v>
      </c>
      <c r="D125">
        <v>893</v>
      </c>
      <c r="E125" t="s">
        <v>280</v>
      </c>
      <c r="F125" t="s">
        <v>48</v>
      </c>
      <c r="G125">
        <v>5893</v>
      </c>
      <c r="H125">
        <v>5893</v>
      </c>
      <c r="I125" t="s">
        <v>49</v>
      </c>
      <c r="J125">
        <v>502</v>
      </c>
      <c r="K125" t="s">
        <v>158</v>
      </c>
      <c r="L125" t="s">
        <v>69</v>
      </c>
      <c r="M125" t="s">
        <v>53</v>
      </c>
      <c r="N125">
        <v>20572</v>
      </c>
      <c r="O125" t="s">
        <v>53</v>
      </c>
      <c r="P125" t="s">
        <v>70</v>
      </c>
      <c r="Q125" t="s">
        <v>71</v>
      </c>
      <c r="R125" t="s">
        <v>105</v>
      </c>
      <c r="S125" t="s">
        <v>281</v>
      </c>
      <c r="T125" t="s">
        <v>73</v>
      </c>
      <c r="U125" t="s">
        <v>119</v>
      </c>
      <c r="V125">
        <v>0.58103000000000005</v>
      </c>
      <c r="W125" t="s">
        <v>53</v>
      </c>
      <c r="X125" t="s">
        <v>53</v>
      </c>
      <c r="Y125" t="s">
        <v>187</v>
      </c>
      <c r="Z125" t="str">
        <f t="shared" si="2"/>
        <v>Mayor que 80 - hasta 100</v>
      </c>
      <c r="AA125">
        <f t="shared" si="3"/>
        <v>1</v>
      </c>
      <c r="AB125">
        <v>5893</v>
      </c>
      <c r="AC125" t="s">
        <v>282</v>
      </c>
      <c r="AD125" t="s">
        <v>283</v>
      </c>
      <c r="AE125">
        <v>0.56028199999999995</v>
      </c>
      <c r="AF125" t="s">
        <v>63</v>
      </c>
      <c r="AG125">
        <v>19.975231000000001</v>
      </c>
      <c r="AH125" t="s">
        <v>282</v>
      </c>
      <c r="AI125" t="s">
        <v>284</v>
      </c>
      <c r="AJ125">
        <v>3.912061</v>
      </c>
      <c r="AK125" t="s">
        <v>84</v>
      </c>
      <c r="AL125">
        <v>130.776869</v>
      </c>
      <c r="AM125" s="4" t="s">
        <v>64</v>
      </c>
      <c r="AN125" s="5">
        <v>98527.116045161791</v>
      </c>
      <c r="AO125" s="4" t="s">
        <v>64</v>
      </c>
      <c r="AP125" s="6">
        <v>1492</v>
      </c>
      <c r="AQ125">
        <v>2</v>
      </c>
      <c r="AR125">
        <v>105828.725066</v>
      </c>
      <c r="AS125" t="s">
        <v>66</v>
      </c>
      <c r="AT125" t="s">
        <v>53</v>
      </c>
    </row>
    <row r="126" spans="1:46">
      <c r="A126">
        <v>305</v>
      </c>
      <c r="B126" t="s">
        <v>46</v>
      </c>
      <c r="C126">
        <v>5</v>
      </c>
      <c r="D126">
        <v>895</v>
      </c>
      <c r="E126" t="s">
        <v>285</v>
      </c>
      <c r="F126" t="s">
        <v>48</v>
      </c>
      <c r="G126">
        <v>5895</v>
      </c>
      <c r="H126">
        <v>5895</v>
      </c>
      <c r="I126" t="s">
        <v>49</v>
      </c>
      <c r="J126">
        <v>501</v>
      </c>
      <c r="K126" t="s">
        <v>152</v>
      </c>
      <c r="L126" t="s">
        <v>69</v>
      </c>
      <c r="M126" t="s">
        <v>53</v>
      </c>
      <c r="N126">
        <v>25989</v>
      </c>
      <c r="O126" t="s">
        <v>53</v>
      </c>
      <c r="P126" t="s">
        <v>70</v>
      </c>
      <c r="Q126" t="s">
        <v>71</v>
      </c>
      <c r="R126" t="s">
        <v>72</v>
      </c>
      <c r="S126" t="s">
        <v>100</v>
      </c>
      <c r="T126" t="s">
        <v>73</v>
      </c>
      <c r="U126" t="s">
        <v>101</v>
      </c>
      <c r="V126">
        <v>0.77274100000000001</v>
      </c>
      <c r="W126" t="s">
        <v>53</v>
      </c>
      <c r="X126" t="s">
        <v>53</v>
      </c>
      <c r="Y126" t="s">
        <v>102</v>
      </c>
      <c r="Z126" t="str">
        <f t="shared" si="2"/>
        <v>Mayor que 20 - hasta 30</v>
      </c>
      <c r="AA126">
        <f t="shared" si="3"/>
        <v>1</v>
      </c>
      <c r="AB126">
        <v>5895</v>
      </c>
      <c r="AC126" t="s">
        <v>61</v>
      </c>
      <c r="AD126" t="s">
        <v>185</v>
      </c>
      <c r="AE126">
        <v>0.51877200000000001</v>
      </c>
      <c r="AF126" t="s">
        <v>63</v>
      </c>
      <c r="AG126">
        <v>19.83381</v>
      </c>
      <c r="AH126" t="s">
        <v>129</v>
      </c>
      <c r="AI126" t="s">
        <v>130</v>
      </c>
      <c r="AJ126">
        <v>4.3265520000000004</v>
      </c>
      <c r="AK126" t="s">
        <v>85</v>
      </c>
      <c r="AL126">
        <v>212.94734500000001</v>
      </c>
      <c r="AM126" s="4" t="s">
        <v>64</v>
      </c>
      <c r="AN126" s="5">
        <v>64377.887353200975</v>
      </c>
      <c r="AO126" s="4" t="s">
        <v>64</v>
      </c>
      <c r="AP126" s="6">
        <v>988</v>
      </c>
      <c r="AQ126">
        <v>3</v>
      </c>
      <c r="AR126">
        <v>79769.475214000006</v>
      </c>
      <c r="AS126" t="s">
        <v>66</v>
      </c>
      <c r="AT126" t="s">
        <v>53</v>
      </c>
    </row>
    <row r="127" spans="1:46">
      <c r="A127">
        <v>463</v>
      </c>
      <c r="B127" t="s">
        <v>46</v>
      </c>
      <c r="C127">
        <v>8</v>
      </c>
      <c r="D127">
        <v>1</v>
      </c>
      <c r="E127" t="s">
        <v>286</v>
      </c>
      <c r="F127" t="s">
        <v>287</v>
      </c>
      <c r="G127">
        <v>8001</v>
      </c>
      <c r="H127">
        <v>8001</v>
      </c>
      <c r="I127" t="s">
        <v>288</v>
      </c>
      <c r="J127">
        <v>802</v>
      </c>
      <c r="K127" t="s">
        <v>112</v>
      </c>
      <c r="L127" t="s">
        <v>51</v>
      </c>
      <c r="M127" t="s">
        <v>52</v>
      </c>
      <c r="N127">
        <v>1323551</v>
      </c>
      <c r="O127" t="s">
        <v>53</v>
      </c>
      <c r="P127" t="s">
        <v>54</v>
      </c>
      <c r="Q127" t="s">
        <v>55</v>
      </c>
      <c r="R127" t="s">
        <v>122</v>
      </c>
      <c r="S127" t="s">
        <v>57</v>
      </c>
      <c r="T127" t="s">
        <v>58</v>
      </c>
      <c r="U127" t="s">
        <v>81</v>
      </c>
      <c r="V127">
        <v>0.23787800000000001</v>
      </c>
      <c r="W127" t="s">
        <v>289</v>
      </c>
      <c r="X127" t="s">
        <v>190</v>
      </c>
      <c r="Y127" t="s">
        <v>191</v>
      </c>
      <c r="Z127" t="str">
        <f t="shared" si="2"/>
        <v>Mayor que 100 - hasta 120</v>
      </c>
      <c r="AA127">
        <f t="shared" si="3"/>
        <v>0</v>
      </c>
      <c r="AB127">
        <v>8001</v>
      </c>
      <c r="AC127" t="s">
        <v>290</v>
      </c>
      <c r="AD127" t="s">
        <v>291</v>
      </c>
      <c r="AE127">
        <v>0</v>
      </c>
      <c r="AF127" t="s">
        <v>63</v>
      </c>
      <c r="AG127">
        <v>0</v>
      </c>
      <c r="AH127" t="s">
        <v>290</v>
      </c>
      <c r="AI127" t="s">
        <v>286</v>
      </c>
      <c r="AJ127">
        <v>0</v>
      </c>
      <c r="AK127" t="s">
        <v>63</v>
      </c>
      <c r="AL127">
        <v>0</v>
      </c>
      <c r="AM127" s="4" t="s">
        <v>64</v>
      </c>
      <c r="AN127" s="5">
        <v>2147.0807900237592</v>
      </c>
      <c r="AO127" s="4" t="s">
        <v>65</v>
      </c>
      <c r="AP127" s="6">
        <v>224</v>
      </c>
      <c r="AQ127">
        <v>2</v>
      </c>
      <c r="AR127">
        <v>2405.7127679999999</v>
      </c>
      <c r="AS127" t="s">
        <v>66</v>
      </c>
      <c r="AT127" t="s">
        <v>53</v>
      </c>
    </row>
    <row r="128" spans="1:46">
      <c r="A128">
        <v>464</v>
      </c>
      <c r="B128" t="s">
        <v>46</v>
      </c>
      <c r="C128">
        <v>8</v>
      </c>
      <c r="D128">
        <v>78</v>
      </c>
      <c r="E128" t="s">
        <v>292</v>
      </c>
      <c r="F128" t="s">
        <v>287</v>
      </c>
      <c r="G128">
        <v>8078</v>
      </c>
      <c r="H128">
        <v>8078</v>
      </c>
      <c r="I128" t="s">
        <v>288</v>
      </c>
      <c r="J128">
        <v>801</v>
      </c>
      <c r="K128" t="s">
        <v>293</v>
      </c>
      <c r="L128" t="s">
        <v>51</v>
      </c>
      <c r="M128" t="s">
        <v>53</v>
      </c>
      <c r="N128">
        <v>69143</v>
      </c>
      <c r="O128" t="s">
        <v>53</v>
      </c>
      <c r="P128" t="s">
        <v>92</v>
      </c>
      <c r="Q128" t="s">
        <v>71</v>
      </c>
      <c r="R128" t="s">
        <v>294</v>
      </c>
      <c r="S128" t="s">
        <v>57</v>
      </c>
      <c r="T128" t="s">
        <v>58</v>
      </c>
      <c r="U128" t="s">
        <v>81</v>
      </c>
      <c r="V128">
        <v>0.47172199999999997</v>
      </c>
      <c r="W128" t="s">
        <v>289</v>
      </c>
      <c r="X128" t="s">
        <v>144</v>
      </c>
      <c r="Y128" t="s">
        <v>145</v>
      </c>
      <c r="Z128" t="str">
        <f t="shared" si="2"/>
        <v>Mayor que 70 - hasta 80</v>
      </c>
      <c r="AA128">
        <f t="shared" si="3"/>
        <v>0</v>
      </c>
      <c r="AB128">
        <v>8078</v>
      </c>
      <c r="AC128" t="s">
        <v>290</v>
      </c>
      <c r="AD128" t="s">
        <v>292</v>
      </c>
      <c r="AE128">
        <v>0</v>
      </c>
      <c r="AF128" t="s">
        <v>63</v>
      </c>
      <c r="AG128">
        <v>0</v>
      </c>
      <c r="AH128" t="s">
        <v>290</v>
      </c>
      <c r="AI128" t="s">
        <v>286</v>
      </c>
      <c r="AJ128">
        <v>0.97260599999999997</v>
      </c>
      <c r="AK128" t="s">
        <v>63</v>
      </c>
      <c r="AL128">
        <v>36.587719999999997</v>
      </c>
      <c r="AM128" t="s">
        <v>65</v>
      </c>
      <c r="AN128" s="7">
        <v>318.72766748022769</v>
      </c>
      <c r="AO128" t="s">
        <v>65</v>
      </c>
      <c r="AP128" s="3">
        <v>695</v>
      </c>
      <c r="AQ128">
        <v>3</v>
      </c>
      <c r="AR128">
        <v>471.62510300000002</v>
      </c>
      <c r="AS128" t="s">
        <v>66</v>
      </c>
      <c r="AT128" t="s">
        <v>295</v>
      </c>
    </row>
    <row r="129" spans="1:46">
      <c r="A129">
        <v>465</v>
      </c>
      <c r="B129" t="s">
        <v>46</v>
      </c>
      <c r="C129">
        <v>8</v>
      </c>
      <c r="D129">
        <v>137</v>
      </c>
      <c r="E129" t="s">
        <v>296</v>
      </c>
      <c r="F129" t="s">
        <v>287</v>
      </c>
      <c r="G129">
        <v>8137</v>
      </c>
      <c r="H129">
        <v>8137</v>
      </c>
      <c r="I129" t="s">
        <v>288</v>
      </c>
      <c r="J129">
        <v>804</v>
      </c>
      <c r="K129" t="s">
        <v>297</v>
      </c>
      <c r="L129" t="s">
        <v>91</v>
      </c>
      <c r="M129" t="s">
        <v>53</v>
      </c>
      <c r="N129">
        <v>24850</v>
      </c>
      <c r="O129" t="s">
        <v>53</v>
      </c>
      <c r="P129" t="s">
        <v>70</v>
      </c>
      <c r="Q129" t="s">
        <v>71</v>
      </c>
      <c r="R129" t="s">
        <v>56</v>
      </c>
      <c r="S129" t="s">
        <v>57</v>
      </c>
      <c r="T129" t="s">
        <v>58</v>
      </c>
      <c r="U129" t="s">
        <v>81</v>
      </c>
      <c r="V129">
        <v>0.74939500000000003</v>
      </c>
      <c r="W129" t="s">
        <v>289</v>
      </c>
      <c r="X129" t="s">
        <v>176</v>
      </c>
      <c r="Y129" t="s">
        <v>177</v>
      </c>
      <c r="Z129" t="str">
        <f t="shared" si="2"/>
        <v>Mayor que 20 - hasta 30</v>
      </c>
      <c r="AA129">
        <f t="shared" si="3"/>
        <v>0</v>
      </c>
      <c r="AB129">
        <v>8137</v>
      </c>
      <c r="AC129" t="s">
        <v>290</v>
      </c>
      <c r="AD129" t="s">
        <v>298</v>
      </c>
      <c r="AE129">
        <v>0.90333799999999997</v>
      </c>
      <c r="AF129" t="s">
        <v>63</v>
      </c>
      <c r="AG129">
        <v>48.396045999999998</v>
      </c>
      <c r="AH129" t="s">
        <v>290</v>
      </c>
      <c r="AI129" t="s">
        <v>286</v>
      </c>
      <c r="AJ129">
        <v>1.7837000000000001</v>
      </c>
      <c r="AK129" t="s">
        <v>76</v>
      </c>
      <c r="AL129">
        <v>82.992597000000004</v>
      </c>
      <c r="AM129" t="s">
        <v>64</v>
      </c>
      <c r="AN129" s="7">
        <v>123.49924580929709</v>
      </c>
      <c r="AO129" t="s">
        <v>65</v>
      </c>
      <c r="AP129" s="3">
        <v>27</v>
      </c>
      <c r="AQ129">
        <v>1</v>
      </c>
      <c r="AR129">
        <v>176.94596899999999</v>
      </c>
      <c r="AS129" t="s">
        <v>66</v>
      </c>
      <c r="AT129" t="s">
        <v>299</v>
      </c>
    </row>
    <row r="130" spans="1:46">
      <c r="A130">
        <v>466</v>
      </c>
      <c r="B130" t="s">
        <v>46</v>
      </c>
      <c r="C130">
        <v>8</v>
      </c>
      <c r="D130">
        <v>141</v>
      </c>
      <c r="E130" t="s">
        <v>300</v>
      </c>
      <c r="F130" t="s">
        <v>287</v>
      </c>
      <c r="G130">
        <v>8141</v>
      </c>
      <c r="H130">
        <v>8141</v>
      </c>
      <c r="I130" t="s">
        <v>288</v>
      </c>
      <c r="J130">
        <v>804</v>
      </c>
      <c r="K130" t="s">
        <v>297</v>
      </c>
      <c r="L130" t="s">
        <v>91</v>
      </c>
      <c r="M130" t="s">
        <v>53</v>
      </c>
      <c r="N130">
        <v>17595</v>
      </c>
      <c r="O130" t="s">
        <v>53</v>
      </c>
      <c r="P130" t="s">
        <v>70</v>
      </c>
      <c r="Q130" t="s">
        <v>71</v>
      </c>
      <c r="R130" t="s">
        <v>93</v>
      </c>
      <c r="S130" t="s">
        <v>57</v>
      </c>
      <c r="T130" t="s">
        <v>58</v>
      </c>
      <c r="U130" t="s">
        <v>81</v>
      </c>
      <c r="V130">
        <v>0.659744</v>
      </c>
      <c r="W130" t="s">
        <v>289</v>
      </c>
      <c r="X130" t="s">
        <v>176</v>
      </c>
      <c r="Y130" t="s">
        <v>177</v>
      </c>
      <c r="Z130" t="str">
        <f t="shared" si="2"/>
        <v>Mayor que 20 - hasta 30</v>
      </c>
      <c r="AA130">
        <f t="shared" si="3"/>
        <v>0</v>
      </c>
      <c r="AB130">
        <v>8141</v>
      </c>
      <c r="AC130" t="s">
        <v>290</v>
      </c>
      <c r="AD130" t="s">
        <v>240</v>
      </c>
      <c r="AE130">
        <v>0.78739599999999998</v>
      </c>
      <c r="AF130" t="s">
        <v>63</v>
      </c>
      <c r="AG130">
        <v>27.062237</v>
      </c>
      <c r="AH130" t="s">
        <v>290</v>
      </c>
      <c r="AI130" t="s">
        <v>286</v>
      </c>
      <c r="AJ130">
        <v>1.742237</v>
      </c>
      <c r="AK130" t="s">
        <v>76</v>
      </c>
      <c r="AL130">
        <v>78.412698000000006</v>
      </c>
      <c r="AM130" t="s">
        <v>64</v>
      </c>
      <c r="AN130" s="7">
        <v>5581.9714320860448</v>
      </c>
      <c r="AO130" t="s">
        <v>65</v>
      </c>
      <c r="AP130" s="3">
        <v>361</v>
      </c>
      <c r="AQ130">
        <v>2</v>
      </c>
      <c r="AR130">
        <v>4363.0598129999998</v>
      </c>
      <c r="AS130" t="s">
        <v>66</v>
      </c>
      <c r="AT130" t="s">
        <v>299</v>
      </c>
    </row>
    <row r="131" spans="1:46">
      <c r="A131">
        <v>467</v>
      </c>
      <c r="B131" t="s">
        <v>46</v>
      </c>
      <c r="C131">
        <v>8</v>
      </c>
      <c r="D131">
        <v>296</v>
      </c>
      <c r="E131" t="s">
        <v>301</v>
      </c>
      <c r="F131" t="s">
        <v>287</v>
      </c>
      <c r="G131">
        <v>8296</v>
      </c>
      <c r="H131">
        <v>8296</v>
      </c>
      <c r="I131" t="s">
        <v>288</v>
      </c>
      <c r="J131">
        <v>802</v>
      </c>
      <c r="K131" t="s">
        <v>112</v>
      </c>
      <c r="L131" t="s">
        <v>51</v>
      </c>
      <c r="M131" t="s">
        <v>53</v>
      </c>
      <c r="N131">
        <v>68011</v>
      </c>
      <c r="O131" t="s">
        <v>53</v>
      </c>
      <c r="P131" t="s">
        <v>92</v>
      </c>
      <c r="Q131" t="s">
        <v>118</v>
      </c>
      <c r="R131" t="s">
        <v>56</v>
      </c>
      <c r="S131" t="s">
        <v>57</v>
      </c>
      <c r="T131" t="s">
        <v>58</v>
      </c>
      <c r="U131" t="s">
        <v>81</v>
      </c>
      <c r="V131">
        <v>0.60784300000000002</v>
      </c>
      <c r="W131" t="s">
        <v>289</v>
      </c>
      <c r="X131" t="s">
        <v>106</v>
      </c>
      <c r="Y131" t="s">
        <v>107</v>
      </c>
      <c r="Z131" t="str">
        <f t="shared" ref="Z131:Z194" si="4">IF(LEFT(Y131,10)="Irradiado_",
   RIGHT(Y131, LEN(Y131)-10),   Y131)</f>
        <v>Mayor que 80 - hasta 100</v>
      </c>
      <c r="AA131">
        <f t="shared" ref="AA131:AA194" si="5">IF(LEFT(Y131,10)="Irradiado_", 1, 0)</f>
        <v>0</v>
      </c>
      <c r="AB131">
        <v>8296</v>
      </c>
      <c r="AC131" t="s">
        <v>290</v>
      </c>
      <c r="AD131" t="s">
        <v>301</v>
      </c>
      <c r="AE131">
        <v>0</v>
      </c>
      <c r="AF131" t="s">
        <v>63</v>
      </c>
      <c r="AG131">
        <v>0</v>
      </c>
      <c r="AH131" t="s">
        <v>290</v>
      </c>
      <c r="AI131" t="s">
        <v>286</v>
      </c>
      <c r="AJ131">
        <v>0.68470500000000001</v>
      </c>
      <c r="AK131" t="s">
        <v>63</v>
      </c>
      <c r="AL131">
        <v>20.092388</v>
      </c>
      <c r="AM131" t="s">
        <v>64</v>
      </c>
      <c r="AN131" s="7">
        <v>1825.0802126307181</v>
      </c>
      <c r="AO131" t="s">
        <v>65</v>
      </c>
      <c r="AP131" s="3">
        <v>307</v>
      </c>
      <c r="AQ131">
        <v>3</v>
      </c>
      <c r="AR131">
        <v>2053.636692</v>
      </c>
      <c r="AS131" t="s">
        <v>66</v>
      </c>
      <c r="AT131" t="s">
        <v>302</v>
      </c>
    </row>
    <row r="132" spans="1:46">
      <c r="A132">
        <v>468</v>
      </c>
      <c r="B132" t="s">
        <v>46</v>
      </c>
      <c r="C132">
        <v>8</v>
      </c>
      <c r="D132">
        <v>372</v>
      </c>
      <c r="E132" t="s">
        <v>303</v>
      </c>
      <c r="F132" t="s">
        <v>287</v>
      </c>
      <c r="G132">
        <v>8372</v>
      </c>
      <c r="H132">
        <v>8372</v>
      </c>
      <c r="I132" t="s">
        <v>288</v>
      </c>
      <c r="J132">
        <v>803</v>
      </c>
      <c r="K132" t="s">
        <v>304</v>
      </c>
      <c r="L132" t="s">
        <v>91</v>
      </c>
      <c r="M132" t="s">
        <v>53</v>
      </c>
      <c r="N132">
        <v>23357</v>
      </c>
      <c r="O132" t="s">
        <v>53</v>
      </c>
      <c r="P132" t="s">
        <v>70</v>
      </c>
      <c r="Q132" t="s">
        <v>71</v>
      </c>
      <c r="R132" t="s">
        <v>72</v>
      </c>
      <c r="S132" t="s">
        <v>57</v>
      </c>
      <c r="T132" t="s">
        <v>58</v>
      </c>
      <c r="U132" t="s">
        <v>81</v>
      </c>
      <c r="V132">
        <v>0.36434499999999997</v>
      </c>
      <c r="W132" t="s">
        <v>289</v>
      </c>
      <c r="X132" t="s">
        <v>147</v>
      </c>
      <c r="Y132" t="s">
        <v>148</v>
      </c>
      <c r="Z132" t="str">
        <f t="shared" si="4"/>
        <v>Mayor que 50 - hasta 60</v>
      </c>
      <c r="AA132">
        <f t="shared" si="5"/>
        <v>0</v>
      </c>
      <c r="AB132">
        <v>8372</v>
      </c>
      <c r="AC132" t="s">
        <v>290</v>
      </c>
      <c r="AD132" t="s">
        <v>292</v>
      </c>
      <c r="AE132">
        <v>0.56659400000000004</v>
      </c>
      <c r="AF132" t="s">
        <v>63</v>
      </c>
      <c r="AG132">
        <v>17.788225000000001</v>
      </c>
      <c r="AH132" t="s">
        <v>290</v>
      </c>
      <c r="AI132" t="s">
        <v>286</v>
      </c>
      <c r="AJ132">
        <v>1.4180360000000001</v>
      </c>
      <c r="AK132" t="s">
        <v>76</v>
      </c>
      <c r="AL132">
        <v>51.258788000000003</v>
      </c>
      <c r="AM132" t="s">
        <v>64</v>
      </c>
      <c r="AN132" s="7">
        <v>706.94909000995074</v>
      </c>
      <c r="AO132" t="s">
        <v>65</v>
      </c>
      <c r="AP132" s="3">
        <v>25</v>
      </c>
      <c r="AQ132">
        <v>2</v>
      </c>
      <c r="AR132">
        <v>672.17386799999997</v>
      </c>
      <c r="AS132" t="s">
        <v>66</v>
      </c>
      <c r="AT132" t="s">
        <v>295</v>
      </c>
    </row>
    <row r="133" spans="1:46">
      <c r="A133">
        <v>469</v>
      </c>
      <c r="B133" t="s">
        <v>46</v>
      </c>
      <c r="C133">
        <v>8</v>
      </c>
      <c r="D133">
        <v>421</v>
      </c>
      <c r="E133" t="s">
        <v>305</v>
      </c>
      <c r="F133" t="s">
        <v>287</v>
      </c>
      <c r="G133">
        <v>8421</v>
      </c>
      <c r="H133">
        <v>8421</v>
      </c>
      <c r="I133" t="s">
        <v>288</v>
      </c>
      <c r="J133">
        <v>804</v>
      </c>
      <c r="K133" t="s">
        <v>297</v>
      </c>
      <c r="L133" t="s">
        <v>91</v>
      </c>
      <c r="M133" t="s">
        <v>53</v>
      </c>
      <c r="N133">
        <v>30955</v>
      </c>
      <c r="O133" t="s">
        <v>53</v>
      </c>
      <c r="P133" t="s">
        <v>92</v>
      </c>
      <c r="Q133" t="s">
        <v>71</v>
      </c>
      <c r="R133" t="s">
        <v>56</v>
      </c>
      <c r="S133" t="s">
        <v>57</v>
      </c>
      <c r="T133" t="s">
        <v>58</v>
      </c>
      <c r="U133" t="s">
        <v>59</v>
      </c>
      <c r="V133">
        <v>0.65949100000000005</v>
      </c>
      <c r="W133" t="s">
        <v>289</v>
      </c>
      <c r="X133" t="s">
        <v>217</v>
      </c>
      <c r="Y133" t="s">
        <v>218</v>
      </c>
      <c r="Z133" t="str">
        <f t="shared" si="4"/>
        <v>Mayor que 40 - hasta 50</v>
      </c>
      <c r="AA133">
        <f t="shared" si="5"/>
        <v>0</v>
      </c>
      <c r="AB133">
        <v>8421</v>
      </c>
      <c r="AC133" t="s">
        <v>290</v>
      </c>
      <c r="AD133" t="s">
        <v>240</v>
      </c>
      <c r="AE133">
        <v>0.69342300000000001</v>
      </c>
      <c r="AF133" t="s">
        <v>63</v>
      </c>
      <c r="AG133">
        <v>30.127922000000002</v>
      </c>
      <c r="AH133" t="s">
        <v>306</v>
      </c>
      <c r="AI133" t="s">
        <v>307</v>
      </c>
      <c r="AJ133">
        <v>1.2484569999999999</v>
      </c>
      <c r="AK133" t="s">
        <v>76</v>
      </c>
      <c r="AL133">
        <v>62.958283000000002</v>
      </c>
      <c r="AM133" t="s">
        <v>64</v>
      </c>
      <c r="AN133" s="7">
        <v>671.31765324722551</v>
      </c>
      <c r="AO133" t="s">
        <v>64</v>
      </c>
      <c r="AP133" s="3">
        <v>22</v>
      </c>
      <c r="AQ133">
        <v>1</v>
      </c>
      <c r="AR133">
        <v>670.56958799999995</v>
      </c>
      <c r="AS133" t="s">
        <v>66</v>
      </c>
      <c r="AT133" t="s">
        <v>295</v>
      </c>
    </row>
    <row r="134" spans="1:46">
      <c r="A134">
        <v>470</v>
      </c>
      <c r="B134" t="s">
        <v>46</v>
      </c>
      <c r="C134">
        <v>8</v>
      </c>
      <c r="D134">
        <v>433</v>
      </c>
      <c r="E134" t="s">
        <v>308</v>
      </c>
      <c r="F134" t="s">
        <v>287</v>
      </c>
      <c r="G134">
        <v>8433</v>
      </c>
      <c r="H134">
        <v>8433</v>
      </c>
      <c r="I134" t="s">
        <v>288</v>
      </c>
      <c r="J134">
        <v>802</v>
      </c>
      <c r="K134" t="s">
        <v>112</v>
      </c>
      <c r="L134" t="s">
        <v>51</v>
      </c>
      <c r="M134" t="s">
        <v>53</v>
      </c>
      <c r="N134">
        <v>142728</v>
      </c>
      <c r="O134" t="s">
        <v>53</v>
      </c>
      <c r="P134" t="s">
        <v>54</v>
      </c>
      <c r="Q134" t="s">
        <v>134</v>
      </c>
      <c r="R134" t="s">
        <v>56</v>
      </c>
      <c r="S134" t="s">
        <v>57</v>
      </c>
      <c r="T134" t="s">
        <v>58</v>
      </c>
      <c r="U134" t="s">
        <v>59</v>
      </c>
      <c r="V134">
        <v>0.13078000000000001</v>
      </c>
      <c r="W134" t="s">
        <v>289</v>
      </c>
      <c r="X134" t="s">
        <v>106</v>
      </c>
      <c r="Y134" t="s">
        <v>107</v>
      </c>
      <c r="Z134" t="str">
        <f t="shared" si="4"/>
        <v>Mayor que 80 - hasta 100</v>
      </c>
      <c r="AA134">
        <f t="shared" si="5"/>
        <v>0</v>
      </c>
      <c r="AB134">
        <v>8433</v>
      </c>
      <c r="AC134" t="s">
        <v>290</v>
      </c>
      <c r="AD134" t="s">
        <v>308</v>
      </c>
      <c r="AE134">
        <v>0</v>
      </c>
      <c r="AF134" t="s">
        <v>63</v>
      </c>
      <c r="AG134">
        <v>0</v>
      </c>
      <c r="AH134" t="s">
        <v>290</v>
      </c>
      <c r="AI134" t="s">
        <v>286</v>
      </c>
      <c r="AJ134">
        <v>0.75687499999999996</v>
      </c>
      <c r="AK134" t="s">
        <v>63</v>
      </c>
      <c r="AL134">
        <v>21.161017000000001</v>
      </c>
      <c r="AM134" t="s">
        <v>64</v>
      </c>
      <c r="AN134" s="7">
        <v>1253.647414415346</v>
      </c>
      <c r="AO134" t="s">
        <v>65</v>
      </c>
      <c r="AP134" s="3">
        <v>529</v>
      </c>
      <c r="AQ134">
        <v>4</v>
      </c>
      <c r="AR134">
        <v>1230.606213</v>
      </c>
      <c r="AS134" t="s">
        <v>66</v>
      </c>
      <c r="AT134" t="s">
        <v>299</v>
      </c>
    </row>
    <row r="135" spans="1:46">
      <c r="A135">
        <v>471</v>
      </c>
      <c r="B135" t="s">
        <v>46</v>
      </c>
      <c r="C135">
        <v>8</v>
      </c>
      <c r="D135">
        <v>436</v>
      </c>
      <c r="E135" t="s">
        <v>309</v>
      </c>
      <c r="F135" t="s">
        <v>287</v>
      </c>
      <c r="G135">
        <v>8436</v>
      </c>
      <c r="H135">
        <v>8436</v>
      </c>
      <c r="I135" t="s">
        <v>288</v>
      </c>
      <c r="J135">
        <v>804</v>
      </c>
      <c r="K135" t="s">
        <v>297</v>
      </c>
      <c r="L135" t="s">
        <v>91</v>
      </c>
      <c r="M135" t="s">
        <v>53</v>
      </c>
      <c r="N135">
        <v>21704</v>
      </c>
      <c r="O135" t="s">
        <v>53</v>
      </c>
      <c r="P135" t="s">
        <v>70</v>
      </c>
      <c r="Q135" t="s">
        <v>71</v>
      </c>
      <c r="R135" t="s">
        <v>56</v>
      </c>
      <c r="S135" t="s">
        <v>57</v>
      </c>
      <c r="T135" t="s">
        <v>58</v>
      </c>
      <c r="U135" t="s">
        <v>81</v>
      </c>
      <c r="V135">
        <v>0.68965500000000002</v>
      </c>
      <c r="W135" t="s">
        <v>289</v>
      </c>
      <c r="X135" t="s">
        <v>310</v>
      </c>
      <c r="Y135" t="s">
        <v>311</v>
      </c>
      <c r="Z135" t="str">
        <f t="shared" si="4"/>
        <v>Mayor que 15 - hasta 20</v>
      </c>
      <c r="AA135">
        <f t="shared" si="5"/>
        <v>0</v>
      </c>
      <c r="AB135">
        <v>8436</v>
      </c>
      <c r="AC135" t="s">
        <v>290</v>
      </c>
      <c r="AD135" t="s">
        <v>240</v>
      </c>
      <c r="AE135">
        <v>0.83447000000000005</v>
      </c>
      <c r="AF135" t="s">
        <v>63</v>
      </c>
      <c r="AG135">
        <v>24.817872000000001</v>
      </c>
      <c r="AH135" t="s">
        <v>290</v>
      </c>
      <c r="AI135" t="s">
        <v>286</v>
      </c>
      <c r="AJ135">
        <v>2.0756809999999999</v>
      </c>
      <c r="AK135" t="s">
        <v>77</v>
      </c>
      <c r="AL135">
        <v>87.938181999999998</v>
      </c>
      <c r="AM135" t="s">
        <v>65</v>
      </c>
      <c r="AN135" s="7">
        <v>6957.5348110175537</v>
      </c>
      <c r="AO135" t="s">
        <v>65</v>
      </c>
      <c r="AP135" s="3">
        <v>1028</v>
      </c>
      <c r="AQ135">
        <v>1</v>
      </c>
      <c r="AR135">
        <v>5936.8128459999998</v>
      </c>
      <c r="AS135" t="s">
        <v>66</v>
      </c>
      <c r="AT135" t="s">
        <v>299</v>
      </c>
    </row>
    <row r="136" spans="1:46">
      <c r="A136">
        <v>472</v>
      </c>
      <c r="B136" t="s">
        <v>46</v>
      </c>
      <c r="C136">
        <v>8</v>
      </c>
      <c r="D136">
        <v>520</v>
      </c>
      <c r="E136" t="s">
        <v>298</v>
      </c>
      <c r="F136" t="s">
        <v>287</v>
      </c>
      <c r="G136">
        <v>8520</v>
      </c>
      <c r="H136">
        <v>8520</v>
      </c>
      <c r="I136" t="s">
        <v>288</v>
      </c>
      <c r="J136">
        <v>801</v>
      </c>
      <c r="K136" t="s">
        <v>293</v>
      </c>
      <c r="L136" t="s">
        <v>51</v>
      </c>
      <c r="M136" t="s">
        <v>53</v>
      </c>
      <c r="N136">
        <v>32082</v>
      </c>
      <c r="O136" t="s">
        <v>53</v>
      </c>
      <c r="P136" t="s">
        <v>92</v>
      </c>
      <c r="Q136" t="s">
        <v>71</v>
      </c>
      <c r="R136" t="s">
        <v>294</v>
      </c>
      <c r="S136" t="s">
        <v>57</v>
      </c>
      <c r="T136" t="s">
        <v>58</v>
      </c>
      <c r="U136" t="s">
        <v>81</v>
      </c>
      <c r="V136">
        <v>0.70507799999999998</v>
      </c>
      <c r="W136" t="s">
        <v>289</v>
      </c>
      <c r="X136" t="s">
        <v>217</v>
      </c>
      <c r="Y136" t="s">
        <v>218</v>
      </c>
      <c r="Z136" t="str">
        <f t="shared" si="4"/>
        <v>Mayor que 40 - hasta 50</v>
      </c>
      <c r="AA136">
        <f t="shared" si="5"/>
        <v>0</v>
      </c>
      <c r="AB136">
        <v>8520</v>
      </c>
      <c r="AC136" t="s">
        <v>290</v>
      </c>
      <c r="AD136" t="s">
        <v>298</v>
      </c>
      <c r="AE136">
        <v>0</v>
      </c>
      <c r="AF136" t="s">
        <v>63</v>
      </c>
      <c r="AG136">
        <v>0</v>
      </c>
      <c r="AH136" t="s">
        <v>290</v>
      </c>
      <c r="AI136" t="s">
        <v>286</v>
      </c>
      <c r="AJ136">
        <v>0.89879600000000004</v>
      </c>
      <c r="AK136" t="s">
        <v>63</v>
      </c>
      <c r="AL136">
        <v>34.796551000000001</v>
      </c>
      <c r="AM136" t="s">
        <v>64</v>
      </c>
      <c r="AN136" s="7">
        <v>49.635124232228087</v>
      </c>
      <c r="AO136" t="s">
        <v>64</v>
      </c>
      <c r="AP136" s="3">
        <v>4</v>
      </c>
      <c r="AQ136">
        <v>3</v>
      </c>
      <c r="AR136">
        <v>35.832827000000002</v>
      </c>
      <c r="AS136" t="s">
        <v>66</v>
      </c>
      <c r="AT136" t="s">
        <v>299</v>
      </c>
    </row>
    <row r="137" spans="1:46">
      <c r="A137">
        <v>473</v>
      </c>
      <c r="B137" t="s">
        <v>46</v>
      </c>
      <c r="C137">
        <v>8</v>
      </c>
      <c r="D137">
        <v>549</v>
      </c>
      <c r="E137" t="s">
        <v>312</v>
      </c>
      <c r="F137" t="s">
        <v>287</v>
      </c>
      <c r="G137">
        <v>8549</v>
      </c>
      <c r="H137">
        <v>8549</v>
      </c>
      <c r="I137" t="s">
        <v>288</v>
      </c>
      <c r="J137">
        <v>803</v>
      </c>
      <c r="K137" t="s">
        <v>304</v>
      </c>
      <c r="L137" t="s">
        <v>69</v>
      </c>
      <c r="M137" t="s">
        <v>53</v>
      </c>
      <c r="N137">
        <v>7284</v>
      </c>
      <c r="O137" t="s">
        <v>53</v>
      </c>
      <c r="P137" t="s">
        <v>70</v>
      </c>
      <c r="Q137" t="s">
        <v>71</v>
      </c>
      <c r="R137" t="s">
        <v>72</v>
      </c>
      <c r="S137" t="s">
        <v>57</v>
      </c>
      <c r="T137" t="s">
        <v>58</v>
      </c>
      <c r="U137" t="s">
        <v>81</v>
      </c>
      <c r="V137">
        <v>0.54249700000000001</v>
      </c>
      <c r="W137" t="s">
        <v>289</v>
      </c>
      <c r="X137" t="s">
        <v>147</v>
      </c>
      <c r="Y137" t="s">
        <v>148</v>
      </c>
      <c r="Z137" t="str">
        <f t="shared" si="4"/>
        <v>Mayor que 50 - hasta 60</v>
      </c>
      <c r="AA137">
        <f t="shared" si="5"/>
        <v>0</v>
      </c>
      <c r="AB137">
        <v>8549</v>
      </c>
      <c r="AC137" t="s">
        <v>290</v>
      </c>
      <c r="AD137" t="s">
        <v>240</v>
      </c>
      <c r="AE137">
        <v>0.95371899999999998</v>
      </c>
      <c r="AF137" t="s">
        <v>63</v>
      </c>
      <c r="AG137">
        <v>33.856349000000002</v>
      </c>
      <c r="AH137" t="s">
        <v>306</v>
      </c>
      <c r="AI137" t="s">
        <v>307</v>
      </c>
      <c r="AJ137">
        <v>1.7226410000000001</v>
      </c>
      <c r="AK137" t="s">
        <v>76</v>
      </c>
      <c r="AL137">
        <v>78.284986000000004</v>
      </c>
      <c r="AM137" t="s">
        <v>64</v>
      </c>
      <c r="AN137" s="7">
        <v>1178.3362932770999</v>
      </c>
      <c r="AO137" t="s">
        <v>64</v>
      </c>
      <c r="AP137" s="3">
        <v>36</v>
      </c>
      <c r="AQ137">
        <v>2</v>
      </c>
      <c r="AR137">
        <v>638.84369200000003</v>
      </c>
      <c r="AS137" t="s">
        <v>66</v>
      </c>
      <c r="AT137" t="s">
        <v>295</v>
      </c>
    </row>
    <row r="138" spans="1:46">
      <c r="A138">
        <v>474</v>
      </c>
      <c r="B138" t="s">
        <v>46</v>
      </c>
      <c r="C138">
        <v>8</v>
      </c>
      <c r="D138">
        <v>558</v>
      </c>
      <c r="E138" t="s">
        <v>313</v>
      </c>
      <c r="F138" t="s">
        <v>287</v>
      </c>
      <c r="G138">
        <v>8558</v>
      </c>
      <c r="H138">
        <v>8558</v>
      </c>
      <c r="I138" t="s">
        <v>288</v>
      </c>
      <c r="J138">
        <v>801</v>
      </c>
      <c r="K138" t="s">
        <v>293</v>
      </c>
      <c r="L138" t="s">
        <v>51</v>
      </c>
      <c r="M138" t="s">
        <v>53</v>
      </c>
      <c r="N138">
        <v>20038</v>
      </c>
      <c r="O138" t="s">
        <v>53</v>
      </c>
      <c r="P138" t="s">
        <v>70</v>
      </c>
      <c r="Q138" t="s">
        <v>71</v>
      </c>
      <c r="R138" t="s">
        <v>294</v>
      </c>
      <c r="S138" t="s">
        <v>57</v>
      </c>
      <c r="T138" t="s">
        <v>58</v>
      </c>
      <c r="U138" t="s">
        <v>81</v>
      </c>
      <c r="V138">
        <v>0.16303400000000001</v>
      </c>
      <c r="W138" t="s">
        <v>289</v>
      </c>
      <c r="X138" t="s">
        <v>217</v>
      </c>
      <c r="Y138" t="s">
        <v>218</v>
      </c>
      <c r="Z138" t="str">
        <f t="shared" si="4"/>
        <v>Mayor que 40 - hasta 50</v>
      </c>
      <c r="AA138">
        <f t="shared" si="5"/>
        <v>0</v>
      </c>
      <c r="AB138">
        <v>8558</v>
      </c>
      <c r="AC138" t="s">
        <v>290</v>
      </c>
      <c r="AD138" t="s">
        <v>292</v>
      </c>
      <c r="AE138">
        <v>0.30250300000000002</v>
      </c>
      <c r="AF138" t="s">
        <v>63</v>
      </c>
      <c r="AG138">
        <v>9.6325900000000004</v>
      </c>
      <c r="AH138" t="s">
        <v>290</v>
      </c>
      <c r="AI138" t="s">
        <v>286</v>
      </c>
      <c r="AJ138">
        <v>1.047172</v>
      </c>
      <c r="AK138" t="s">
        <v>76</v>
      </c>
      <c r="AL138">
        <v>37.266399999999997</v>
      </c>
      <c r="AM138" t="s">
        <v>64</v>
      </c>
      <c r="AN138" s="7">
        <v>209.360344996744</v>
      </c>
      <c r="AO138" t="s">
        <v>64</v>
      </c>
      <c r="AP138" s="3">
        <v>21</v>
      </c>
      <c r="AQ138">
        <v>3</v>
      </c>
      <c r="AR138">
        <v>230.10083</v>
      </c>
      <c r="AS138" t="s">
        <v>66</v>
      </c>
      <c r="AT138" t="s">
        <v>295</v>
      </c>
    </row>
    <row r="139" spans="1:46">
      <c r="A139">
        <v>475</v>
      </c>
      <c r="B139" t="s">
        <v>46</v>
      </c>
      <c r="C139">
        <v>8</v>
      </c>
      <c r="D139">
        <v>560</v>
      </c>
      <c r="E139" t="s">
        <v>314</v>
      </c>
      <c r="F139" t="s">
        <v>287</v>
      </c>
      <c r="G139">
        <v>8560</v>
      </c>
      <c r="H139">
        <v>8560</v>
      </c>
      <c r="I139" t="s">
        <v>288</v>
      </c>
      <c r="J139">
        <v>801</v>
      </c>
      <c r="K139" t="s">
        <v>293</v>
      </c>
      <c r="L139" t="s">
        <v>51</v>
      </c>
      <c r="M139" t="s">
        <v>53</v>
      </c>
      <c r="N139">
        <v>26463</v>
      </c>
      <c r="O139" t="s">
        <v>53</v>
      </c>
      <c r="P139" t="s">
        <v>70</v>
      </c>
      <c r="Q139" t="s">
        <v>71</v>
      </c>
      <c r="R139" t="s">
        <v>294</v>
      </c>
      <c r="S139" t="s">
        <v>57</v>
      </c>
      <c r="T139" t="s">
        <v>58</v>
      </c>
      <c r="U139" t="s">
        <v>81</v>
      </c>
      <c r="V139">
        <v>0.63086200000000003</v>
      </c>
      <c r="W139" t="s">
        <v>289</v>
      </c>
      <c r="X139" t="s">
        <v>217</v>
      </c>
      <c r="Y139" t="s">
        <v>218</v>
      </c>
      <c r="Z139" t="str">
        <f t="shared" si="4"/>
        <v>Mayor que 40 - hasta 50</v>
      </c>
      <c r="AA139">
        <f t="shared" si="5"/>
        <v>0</v>
      </c>
      <c r="AB139">
        <v>8560</v>
      </c>
      <c r="AC139" t="s">
        <v>290</v>
      </c>
      <c r="AD139" t="s">
        <v>298</v>
      </c>
      <c r="AE139">
        <v>0.271231</v>
      </c>
      <c r="AF139" t="s">
        <v>63</v>
      </c>
      <c r="AG139">
        <v>12.808325999999999</v>
      </c>
      <c r="AH139" t="s">
        <v>290</v>
      </c>
      <c r="AI139" t="s">
        <v>286</v>
      </c>
      <c r="AJ139">
        <v>1.1515930000000001</v>
      </c>
      <c r="AK139" t="s">
        <v>76</v>
      </c>
      <c r="AL139">
        <v>47.404876999999999</v>
      </c>
      <c r="AM139" t="s">
        <v>64</v>
      </c>
      <c r="AN139" s="7">
        <v>33.991016823675217</v>
      </c>
      <c r="AO139" t="s">
        <v>64</v>
      </c>
      <c r="AP139" s="3">
        <v>3</v>
      </c>
      <c r="AQ139">
        <v>3</v>
      </c>
      <c r="AR139">
        <v>18.372211</v>
      </c>
      <c r="AS139" t="s">
        <v>66</v>
      </c>
      <c r="AT139" t="s">
        <v>299</v>
      </c>
    </row>
    <row r="140" spans="1:46">
      <c r="A140">
        <v>476</v>
      </c>
      <c r="B140" t="s">
        <v>46</v>
      </c>
      <c r="C140">
        <v>8</v>
      </c>
      <c r="D140">
        <v>573</v>
      </c>
      <c r="E140" t="s">
        <v>315</v>
      </c>
      <c r="F140" t="s">
        <v>287</v>
      </c>
      <c r="G140">
        <v>8573</v>
      </c>
      <c r="H140">
        <v>8573</v>
      </c>
      <c r="I140" t="s">
        <v>288</v>
      </c>
      <c r="J140">
        <v>802</v>
      </c>
      <c r="K140" t="s">
        <v>112</v>
      </c>
      <c r="L140" t="s">
        <v>51</v>
      </c>
      <c r="M140" t="s">
        <v>53</v>
      </c>
      <c r="N140">
        <v>54983</v>
      </c>
      <c r="O140" t="s">
        <v>53</v>
      </c>
      <c r="P140" t="s">
        <v>92</v>
      </c>
      <c r="Q140" t="s">
        <v>134</v>
      </c>
      <c r="R140" t="s">
        <v>122</v>
      </c>
      <c r="S140" t="s">
        <v>57</v>
      </c>
      <c r="T140" t="s">
        <v>58</v>
      </c>
      <c r="U140" t="s">
        <v>81</v>
      </c>
      <c r="V140">
        <v>0.508714</v>
      </c>
      <c r="W140" t="s">
        <v>289</v>
      </c>
      <c r="X140" t="s">
        <v>106</v>
      </c>
      <c r="Y140" t="s">
        <v>107</v>
      </c>
      <c r="Z140" t="str">
        <f t="shared" si="4"/>
        <v>Mayor que 80 - hasta 100</v>
      </c>
      <c r="AA140">
        <f t="shared" si="5"/>
        <v>0</v>
      </c>
      <c r="AB140">
        <v>8573</v>
      </c>
      <c r="AC140" t="s">
        <v>290</v>
      </c>
      <c r="AD140" t="s">
        <v>315</v>
      </c>
      <c r="AE140">
        <v>0</v>
      </c>
      <c r="AF140" t="s">
        <v>63</v>
      </c>
      <c r="AG140">
        <v>0</v>
      </c>
      <c r="AH140" t="s">
        <v>290</v>
      </c>
      <c r="AI140" t="s">
        <v>286</v>
      </c>
      <c r="AJ140">
        <v>0.52590700000000001</v>
      </c>
      <c r="AK140" t="s">
        <v>63</v>
      </c>
      <c r="AL140">
        <v>9.0012190000000007</v>
      </c>
      <c r="AM140" t="s">
        <v>97</v>
      </c>
      <c r="AN140" s="7">
        <v>1231.0700584517381</v>
      </c>
      <c r="AO140" t="s">
        <v>65</v>
      </c>
      <c r="AP140" s="3">
        <v>96</v>
      </c>
      <c r="AQ140">
        <v>4</v>
      </c>
      <c r="AR140">
        <v>748.34478300000001</v>
      </c>
      <c r="AS140" t="s">
        <v>66</v>
      </c>
      <c r="AT140" t="s">
        <v>295</v>
      </c>
    </row>
    <row r="141" spans="1:46">
      <c r="A141">
        <v>477</v>
      </c>
      <c r="B141" t="s">
        <v>46</v>
      </c>
      <c r="C141">
        <v>8</v>
      </c>
      <c r="D141">
        <v>606</v>
      </c>
      <c r="E141" t="s">
        <v>316</v>
      </c>
      <c r="F141" t="s">
        <v>287</v>
      </c>
      <c r="G141">
        <v>8606</v>
      </c>
      <c r="H141">
        <v>8606</v>
      </c>
      <c r="I141" t="s">
        <v>288</v>
      </c>
      <c r="J141">
        <v>804</v>
      </c>
      <c r="K141" t="s">
        <v>297</v>
      </c>
      <c r="L141" t="s">
        <v>91</v>
      </c>
      <c r="M141" t="s">
        <v>53</v>
      </c>
      <c r="N141">
        <v>28780</v>
      </c>
      <c r="O141" t="s">
        <v>53</v>
      </c>
      <c r="P141" t="s">
        <v>70</v>
      </c>
      <c r="Q141" t="s">
        <v>71</v>
      </c>
      <c r="R141" t="s">
        <v>93</v>
      </c>
      <c r="S141" t="s">
        <v>57</v>
      </c>
      <c r="T141" t="s">
        <v>58</v>
      </c>
      <c r="U141" t="s">
        <v>59</v>
      </c>
      <c r="V141">
        <v>0.67186100000000004</v>
      </c>
      <c r="W141" t="s">
        <v>289</v>
      </c>
      <c r="X141" t="s">
        <v>217</v>
      </c>
      <c r="Y141" t="s">
        <v>218</v>
      </c>
      <c r="Z141" t="str">
        <f t="shared" si="4"/>
        <v>Mayor que 40 - hasta 50</v>
      </c>
      <c r="AA141">
        <f t="shared" si="5"/>
        <v>0</v>
      </c>
      <c r="AB141">
        <v>8606</v>
      </c>
      <c r="AC141" t="s">
        <v>290</v>
      </c>
      <c r="AD141" t="s">
        <v>240</v>
      </c>
      <c r="AE141">
        <v>1.2723390000000001</v>
      </c>
      <c r="AF141" t="s">
        <v>76</v>
      </c>
      <c r="AG141">
        <v>46.596046000000001</v>
      </c>
      <c r="AH141" t="s">
        <v>306</v>
      </c>
      <c r="AI141" t="s">
        <v>307</v>
      </c>
      <c r="AJ141">
        <v>1.6428720000000001</v>
      </c>
      <c r="AK141" t="s">
        <v>76</v>
      </c>
      <c r="AL141">
        <v>57.015642</v>
      </c>
      <c r="AM141" t="s">
        <v>65</v>
      </c>
      <c r="AN141" s="7">
        <v>1991.0494055595809</v>
      </c>
      <c r="AO141" t="s">
        <v>65</v>
      </c>
      <c r="AP141" s="3">
        <v>338</v>
      </c>
      <c r="AQ141">
        <v>1</v>
      </c>
      <c r="AR141">
        <v>3709.6655649999998</v>
      </c>
      <c r="AS141" t="s">
        <v>66</v>
      </c>
      <c r="AT141" t="s">
        <v>317</v>
      </c>
    </row>
    <row r="142" spans="1:46">
      <c r="A142">
        <v>478</v>
      </c>
      <c r="B142" t="s">
        <v>46</v>
      </c>
      <c r="C142">
        <v>8</v>
      </c>
      <c r="D142">
        <v>634</v>
      </c>
      <c r="E142" t="s">
        <v>318</v>
      </c>
      <c r="F142" t="s">
        <v>287</v>
      </c>
      <c r="G142">
        <v>8634</v>
      </c>
      <c r="H142">
        <v>8634</v>
      </c>
      <c r="I142" t="s">
        <v>288</v>
      </c>
      <c r="J142">
        <v>801</v>
      </c>
      <c r="K142" t="s">
        <v>293</v>
      </c>
      <c r="L142" t="s">
        <v>51</v>
      </c>
      <c r="M142" t="s">
        <v>53</v>
      </c>
      <c r="N142">
        <v>36003</v>
      </c>
      <c r="O142" t="s">
        <v>53</v>
      </c>
      <c r="P142" t="s">
        <v>92</v>
      </c>
      <c r="Q142" t="s">
        <v>71</v>
      </c>
      <c r="R142" t="s">
        <v>211</v>
      </c>
      <c r="S142" t="s">
        <v>57</v>
      </c>
      <c r="T142" t="s">
        <v>58</v>
      </c>
      <c r="U142" t="s">
        <v>81</v>
      </c>
      <c r="V142">
        <v>0.59011199999999997</v>
      </c>
      <c r="W142" t="s">
        <v>289</v>
      </c>
      <c r="X142" t="s">
        <v>141</v>
      </c>
      <c r="Y142" t="s">
        <v>142</v>
      </c>
      <c r="Z142" t="str">
        <f t="shared" si="4"/>
        <v>Mayor que 60 - hasta 70</v>
      </c>
      <c r="AA142">
        <f t="shared" si="5"/>
        <v>0</v>
      </c>
      <c r="AB142">
        <v>8634</v>
      </c>
      <c r="AC142" t="s">
        <v>290</v>
      </c>
      <c r="AD142" t="s">
        <v>318</v>
      </c>
      <c r="AE142">
        <v>0</v>
      </c>
      <c r="AF142" t="s">
        <v>63</v>
      </c>
      <c r="AG142">
        <v>0</v>
      </c>
      <c r="AH142" t="s">
        <v>290</v>
      </c>
      <c r="AI142" t="s">
        <v>286</v>
      </c>
      <c r="AJ142">
        <v>0.78575300000000003</v>
      </c>
      <c r="AK142" t="s">
        <v>63</v>
      </c>
      <c r="AL142">
        <v>28.399495000000002</v>
      </c>
      <c r="AM142" t="s">
        <v>64</v>
      </c>
      <c r="AN142" s="7">
        <v>559.81836037299706</v>
      </c>
      <c r="AO142" t="s">
        <v>65</v>
      </c>
      <c r="AP142" s="3">
        <v>243</v>
      </c>
      <c r="AQ142">
        <v>2</v>
      </c>
      <c r="AR142">
        <v>536.519633</v>
      </c>
      <c r="AS142" t="s">
        <v>66</v>
      </c>
      <c r="AT142" t="s">
        <v>299</v>
      </c>
    </row>
    <row r="143" spans="1:46">
      <c r="A143">
        <v>479</v>
      </c>
      <c r="B143" t="s">
        <v>46</v>
      </c>
      <c r="C143">
        <v>8</v>
      </c>
      <c r="D143">
        <v>638</v>
      </c>
      <c r="E143" t="s">
        <v>240</v>
      </c>
      <c r="F143" t="s">
        <v>287</v>
      </c>
      <c r="G143">
        <v>8638</v>
      </c>
      <c r="H143">
        <v>8638</v>
      </c>
      <c r="I143" t="s">
        <v>288</v>
      </c>
      <c r="J143">
        <v>801</v>
      </c>
      <c r="K143" t="s">
        <v>293</v>
      </c>
      <c r="L143" t="s">
        <v>51</v>
      </c>
      <c r="M143" t="s">
        <v>53</v>
      </c>
      <c r="N143">
        <v>103394</v>
      </c>
      <c r="O143" t="s">
        <v>53</v>
      </c>
      <c r="P143" t="s">
        <v>54</v>
      </c>
      <c r="Q143" t="s">
        <v>71</v>
      </c>
      <c r="R143" t="s">
        <v>294</v>
      </c>
      <c r="S143" t="s">
        <v>57</v>
      </c>
      <c r="T143" t="s">
        <v>58</v>
      </c>
      <c r="U143" t="s">
        <v>81</v>
      </c>
      <c r="V143">
        <v>0.56904699999999997</v>
      </c>
      <c r="W143" t="s">
        <v>289</v>
      </c>
      <c r="X143" t="s">
        <v>217</v>
      </c>
      <c r="Y143" t="s">
        <v>218</v>
      </c>
      <c r="Z143" t="str">
        <f t="shared" si="4"/>
        <v>Mayor que 40 - hasta 50</v>
      </c>
      <c r="AA143">
        <f t="shared" si="5"/>
        <v>0</v>
      </c>
      <c r="AB143">
        <v>8638</v>
      </c>
      <c r="AC143" t="s">
        <v>290</v>
      </c>
      <c r="AD143" t="s">
        <v>240</v>
      </c>
      <c r="AE143">
        <v>0</v>
      </c>
      <c r="AF143" t="s">
        <v>63</v>
      </c>
      <c r="AG143">
        <v>0</v>
      </c>
      <c r="AH143" t="s">
        <v>290</v>
      </c>
      <c r="AI143" t="s">
        <v>286</v>
      </c>
      <c r="AJ143">
        <v>1.3465549999999999</v>
      </c>
      <c r="AK143" t="s">
        <v>76</v>
      </c>
      <c r="AL143">
        <v>57.635742999999998</v>
      </c>
      <c r="AM143" t="s">
        <v>64</v>
      </c>
      <c r="AN143" s="7">
        <v>84.688310616255649</v>
      </c>
      <c r="AO143" t="s">
        <v>64</v>
      </c>
      <c r="AP143" s="3">
        <v>4</v>
      </c>
      <c r="AQ143">
        <v>3</v>
      </c>
      <c r="AR143">
        <v>99.155133000000006</v>
      </c>
      <c r="AS143" t="s">
        <v>66</v>
      </c>
      <c r="AT143" t="s">
        <v>299</v>
      </c>
    </row>
    <row r="144" spans="1:46">
      <c r="A144">
        <v>480</v>
      </c>
      <c r="B144" t="s">
        <v>46</v>
      </c>
      <c r="C144">
        <v>8</v>
      </c>
      <c r="D144">
        <v>675</v>
      </c>
      <c r="E144" t="s">
        <v>319</v>
      </c>
      <c r="F144" t="s">
        <v>287</v>
      </c>
      <c r="G144">
        <v>8675</v>
      </c>
      <c r="H144">
        <v>8675</v>
      </c>
      <c r="I144" t="s">
        <v>288</v>
      </c>
      <c r="J144">
        <v>804</v>
      </c>
      <c r="K144" t="s">
        <v>297</v>
      </c>
      <c r="L144" t="s">
        <v>91</v>
      </c>
      <c r="M144" t="s">
        <v>53</v>
      </c>
      <c r="N144">
        <v>17782</v>
      </c>
      <c r="O144" t="s">
        <v>53</v>
      </c>
      <c r="P144" t="s">
        <v>70</v>
      </c>
      <c r="Q144" t="s">
        <v>71</v>
      </c>
      <c r="R144" t="s">
        <v>72</v>
      </c>
      <c r="S144" t="s">
        <v>57</v>
      </c>
      <c r="T144" t="s">
        <v>58</v>
      </c>
      <c r="U144" t="s">
        <v>81</v>
      </c>
      <c r="V144">
        <v>0.55479500000000004</v>
      </c>
      <c r="W144" t="s">
        <v>289</v>
      </c>
      <c r="X144" t="s">
        <v>176</v>
      </c>
      <c r="Y144" t="s">
        <v>177</v>
      </c>
      <c r="Z144" t="str">
        <f t="shared" si="4"/>
        <v>Mayor que 20 - hasta 30</v>
      </c>
      <c r="AA144">
        <f t="shared" si="5"/>
        <v>0</v>
      </c>
      <c r="AB144">
        <v>8675</v>
      </c>
      <c r="AC144" t="s">
        <v>290</v>
      </c>
      <c r="AD144" t="s">
        <v>298</v>
      </c>
      <c r="AE144">
        <v>1.2841720000000001</v>
      </c>
      <c r="AF144" t="s">
        <v>76</v>
      </c>
      <c r="AG144">
        <v>61.160007</v>
      </c>
      <c r="AH144" t="s">
        <v>290</v>
      </c>
      <c r="AI144" t="s">
        <v>286</v>
      </c>
      <c r="AJ144">
        <v>2.1645340000000002</v>
      </c>
      <c r="AK144" t="s">
        <v>77</v>
      </c>
      <c r="AL144">
        <v>95.756557999999998</v>
      </c>
      <c r="AM144" t="s">
        <v>65</v>
      </c>
      <c r="AN144" s="7">
        <v>275.70672773845371</v>
      </c>
      <c r="AO144" t="s">
        <v>65</v>
      </c>
      <c r="AP144" s="3">
        <v>72</v>
      </c>
      <c r="AQ144">
        <v>1</v>
      </c>
      <c r="AR144">
        <v>347.60721799999999</v>
      </c>
      <c r="AS144" t="s">
        <v>66</v>
      </c>
      <c r="AT144" t="s">
        <v>299</v>
      </c>
    </row>
    <row r="145" spans="1:46">
      <c r="A145">
        <v>481</v>
      </c>
      <c r="B145" t="s">
        <v>46</v>
      </c>
      <c r="C145">
        <v>8</v>
      </c>
      <c r="D145">
        <v>685</v>
      </c>
      <c r="E145" t="s">
        <v>320</v>
      </c>
      <c r="F145" t="s">
        <v>287</v>
      </c>
      <c r="G145">
        <v>8685</v>
      </c>
      <c r="H145">
        <v>8685</v>
      </c>
      <c r="I145" t="s">
        <v>288</v>
      </c>
      <c r="J145">
        <v>801</v>
      </c>
      <c r="K145" t="s">
        <v>293</v>
      </c>
      <c r="L145" t="s">
        <v>51</v>
      </c>
      <c r="M145" t="s">
        <v>53</v>
      </c>
      <c r="N145">
        <v>33058</v>
      </c>
      <c r="O145" t="s">
        <v>53</v>
      </c>
      <c r="P145" t="s">
        <v>92</v>
      </c>
      <c r="Q145" t="s">
        <v>71</v>
      </c>
      <c r="R145" t="s">
        <v>294</v>
      </c>
      <c r="S145" t="s">
        <v>57</v>
      </c>
      <c r="T145" t="s">
        <v>58</v>
      </c>
      <c r="U145" t="s">
        <v>81</v>
      </c>
      <c r="V145">
        <v>0.60294099999999995</v>
      </c>
      <c r="W145" t="s">
        <v>289</v>
      </c>
      <c r="X145" t="s">
        <v>141</v>
      </c>
      <c r="Y145" t="s">
        <v>142</v>
      </c>
      <c r="Z145" t="str">
        <f t="shared" si="4"/>
        <v>Mayor que 60 - hasta 70</v>
      </c>
      <c r="AA145">
        <f t="shared" si="5"/>
        <v>0</v>
      </c>
      <c r="AB145">
        <v>8685</v>
      </c>
      <c r="AC145" t="s">
        <v>290</v>
      </c>
      <c r="AD145" t="s">
        <v>321</v>
      </c>
      <c r="AE145">
        <v>0</v>
      </c>
      <c r="AF145" t="s">
        <v>63</v>
      </c>
      <c r="AG145">
        <v>0</v>
      </c>
      <c r="AH145" t="s">
        <v>290</v>
      </c>
      <c r="AI145" t="s">
        <v>286</v>
      </c>
      <c r="AJ145">
        <v>0.91611100000000001</v>
      </c>
      <c r="AK145" t="s">
        <v>63</v>
      </c>
      <c r="AL145">
        <v>33.072287000000003</v>
      </c>
      <c r="AM145" t="s">
        <v>64</v>
      </c>
      <c r="AN145" s="7">
        <v>653.35829826647137</v>
      </c>
      <c r="AO145" t="s">
        <v>65</v>
      </c>
      <c r="AP145" s="3">
        <v>86</v>
      </c>
      <c r="AQ145">
        <v>3</v>
      </c>
      <c r="AR145">
        <v>402.51145200000002</v>
      </c>
      <c r="AS145" t="s">
        <v>66</v>
      </c>
      <c r="AT145" t="s">
        <v>299</v>
      </c>
    </row>
    <row r="146" spans="1:46">
      <c r="A146">
        <v>482</v>
      </c>
      <c r="B146" t="s">
        <v>46</v>
      </c>
      <c r="C146">
        <v>8</v>
      </c>
      <c r="D146">
        <v>758</v>
      </c>
      <c r="E146" t="s">
        <v>322</v>
      </c>
      <c r="F146" t="s">
        <v>287</v>
      </c>
      <c r="G146">
        <v>8758</v>
      </c>
      <c r="H146">
        <v>8758</v>
      </c>
      <c r="I146" t="s">
        <v>288</v>
      </c>
      <c r="J146">
        <v>802</v>
      </c>
      <c r="K146" t="s">
        <v>112</v>
      </c>
      <c r="L146" t="s">
        <v>51</v>
      </c>
      <c r="M146" t="s">
        <v>53</v>
      </c>
      <c r="N146">
        <v>676014</v>
      </c>
      <c r="O146" t="s">
        <v>53</v>
      </c>
      <c r="P146" t="s">
        <v>54</v>
      </c>
      <c r="Q146" t="s">
        <v>210</v>
      </c>
      <c r="R146" t="s">
        <v>294</v>
      </c>
      <c r="S146" t="s">
        <v>57</v>
      </c>
      <c r="T146" t="s">
        <v>58</v>
      </c>
      <c r="U146" t="s">
        <v>59</v>
      </c>
      <c r="V146">
        <v>0.62743099999999996</v>
      </c>
      <c r="W146" t="s">
        <v>289</v>
      </c>
      <c r="X146" t="s">
        <v>190</v>
      </c>
      <c r="Y146" t="s">
        <v>191</v>
      </c>
      <c r="Z146" t="str">
        <f t="shared" si="4"/>
        <v>Mayor que 100 - hasta 120</v>
      </c>
      <c r="AA146">
        <f t="shared" si="5"/>
        <v>0</v>
      </c>
      <c r="AB146">
        <v>8758</v>
      </c>
      <c r="AC146" t="s">
        <v>290</v>
      </c>
      <c r="AD146" t="s">
        <v>322</v>
      </c>
      <c r="AE146">
        <v>0</v>
      </c>
      <c r="AF146" t="s">
        <v>63</v>
      </c>
      <c r="AG146">
        <v>0</v>
      </c>
      <c r="AH146" t="s">
        <v>290</v>
      </c>
      <c r="AI146" t="s">
        <v>286</v>
      </c>
      <c r="AJ146">
        <v>0.74038800000000005</v>
      </c>
      <c r="AK146" t="s">
        <v>63</v>
      </c>
      <c r="AL146">
        <v>14.388225</v>
      </c>
      <c r="AM146" t="s">
        <v>64</v>
      </c>
      <c r="AN146" s="7">
        <v>275.2038864091046</v>
      </c>
      <c r="AO146" t="s">
        <v>65</v>
      </c>
      <c r="AP146" s="3">
        <v>786</v>
      </c>
      <c r="AQ146">
        <v>4</v>
      </c>
      <c r="AR146">
        <v>482.12834099999998</v>
      </c>
      <c r="AS146" t="s">
        <v>66</v>
      </c>
      <c r="AT146" t="s">
        <v>299</v>
      </c>
    </row>
    <row r="147" spans="1:46">
      <c r="A147">
        <v>483</v>
      </c>
      <c r="B147" t="s">
        <v>46</v>
      </c>
      <c r="C147">
        <v>8</v>
      </c>
      <c r="D147">
        <v>770</v>
      </c>
      <c r="E147" t="s">
        <v>323</v>
      </c>
      <c r="F147" t="s">
        <v>287</v>
      </c>
      <c r="G147">
        <v>8770</v>
      </c>
      <c r="H147">
        <v>8770</v>
      </c>
      <c r="I147" t="s">
        <v>288</v>
      </c>
      <c r="J147">
        <v>804</v>
      </c>
      <c r="K147" t="s">
        <v>297</v>
      </c>
      <c r="L147" t="s">
        <v>91</v>
      </c>
      <c r="M147" t="s">
        <v>53</v>
      </c>
      <c r="N147">
        <v>13085</v>
      </c>
      <c r="O147" t="s">
        <v>53</v>
      </c>
      <c r="P147" t="s">
        <v>70</v>
      </c>
      <c r="Q147" t="s">
        <v>71</v>
      </c>
      <c r="R147" t="s">
        <v>93</v>
      </c>
      <c r="S147" t="s">
        <v>57</v>
      </c>
      <c r="T147" t="s">
        <v>58</v>
      </c>
      <c r="U147" t="s">
        <v>81</v>
      </c>
      <c r="V147">
        <v>0.87797599999999998</v>
      </c>
      <c r="W147" t="s">
        <v>289</v>
      </c>
      <c r="X147" t="s">
        <v>176</v>
      </c>
      <c r="Y147" t="s">
        <v>177</v>
      </c>
      <c r="Z147" t="str">
        <f t="shared" si="4"/>
        <v>Mayor que 20 - hasta 30</v>
      </c>
      <c r="AA147">
        <f t="shared" si="5"/>
        <v>0</v>
      </c>
      <c r="AB147">
        <v>8770</v>
      </c>
      <c r="AC147" t="s">
        <v>290</v>
      </c>
      <c r="AD147" t="s">
        <v>298</v>
      </c>
      <c r="AE147">
        <v>0.94506000000000001</v>
      </c>
      <c r="AF147" t="s">
        <v>63</v>
      </c>
      <c r="AG147">
        <v>52.317366</v>
      </c>
      <c r="AH147" t="s">
        <v>290</v>
      </c>
      <c r="AI147" t="s">
        <v>286</v>
      </c>
      <c r="AJ147">
        <v>1.8254220000000001</v>
      </c>
      <c r="AK147" t="s">
        <v>76</v>
      </c>
      <c r="AL147">
        <v>86.913917999999995</v>
      </c>
      <c r="AM147" t="s">
        <v>65</v>
      </c>
      <c r="AN147" s="7">
        <v>701.54075746316721</v>
      </c>
      <c r="AO147" t="s">
        <v>65</v>
      </c>
      <c r="AP147" s="3">
        <v>124</v>
      </c>
      <c r="AQ147">
        <v>1</v>
      </c>
      <c r="AR147">
        <v>870.76643799999999</v>
      </c>
      <c r="AS147" t="s">
        <v>66</v>
      </c>
      <c r="AT147" t="s">
        <v>324</v>
      </c>
    </row>
    <row r="148" spans="1:46">
      <c r="A148">
        <v>484</v>
      </c>
      <c r="B148" t="s">
        <v>46</v>
      </c>
      <c r="C148">
        <v>8</v>
      </c>
      <c r="D148">
        <v>832</v>
      </c>
      <c r="E148" t="s">
        <v>325</v>
      </c>
      <c r="F148" t="s">
        <v>287</v>
      </c>
      <c r="G148">
        <v>8832</v>
      </c>
      <c r="H148">
        <v>8832</v>
      </c>
      <c r="I148" t="s">
        <v>288</v>
      </c>
      <c r="J148">
        <v>803</v>
      </c>
      <c r="K148" t="s">
        <v>304</v>
      </c>
      <c r="L148" t="s">
        <v>51</v>
      </c>
      <c r="M148" t="s">
        <v>53</v>
      </c>
      <c r="N148">
        <v>19132</v>
      </c>
      <c r="O148" t="s">
        <v>53</v>
      </c>
      <c r="P148" t="s">
        <v>70</v>
      </c>
      <c r="Q148" t="s">
        <v>71</v>
      </c>
      <c r="R148" t="s">
        <v>93</v>
      </c>
      <c r="S148" t="s">
        <v>57</v>
      </c>
      <c r="T148" t="s">
        <v>58</v>
      </c>
      <c r="U148" t="s">
        <v>81</v>
      </c>
      <c r="V148">
        <v>0.50033000000000005</v>
      </c>
      <c r="W148" t="s">
        <v>289</v>
      </c>
      <c r="X148" t="s">
        <v>217</v>
      </c>
      <c r="Y148" t="s">
        <v>218</v>
      </c>
      <c r="Z148" t="str">
        <f t="shared" si="4"/>
        <v>Mayor que 40 - hasta 50</v>
      </c>
      <c r="AA148">
        <f t="shared" si="5"/>
        <v>0</v>
      </c>
      <c r="AB148">
        <v>8832</v>
      </c>
      <c r="AC148" t="s">
        <v>290</v>
      </c>
      <c r="AD148" t="s">
        <v>292</v>
      </c>
      <c r="AE148">
        <v>0.61369799999999997</v>
      </c>
      <c r="AF148" t="s">
        <v>63</v>
      </c>
      <c r="AG148">
        <v>14.212489</v>
      </c>
      <c r="AH148" t="s">
        <v>290</v>
      </c>
      <c r="AI148" t="s">
        <v>286</v>
      </c>
      <c r="AJ148">
        <v>1.140023</v>
      </c>
      <c r="AK148" t="s">
        <v>76</v>
      </c>
      <c r="AL148">
        <v>33.436247999999999</v>
      </c>
      <c r="AM148" t="s">
        <v>64</v>
      </c>
      <c r="AN148" s="7">
        <v>5098.1734764765097</v>
      </c>
      <c r="AO148" t="s">
        <v>65</v>
      </c>
      <c r="AP148" s="3">
        <v>2625</v>
      </c>
      <c r="AQ148">
        <v>2</v>
      </c>
      <c r="AR148">
        <v>3906.5616759999998</v>
      </c>
      <c r="AS148" t="s">
        <v>66</v>
      </c>
      <c r="AT148" t="s">
        <v>299</v>
      </c>
    </row>
    <row r="149" spans="1:46">
      <c r="A149">
        <v>485</v>
      </c>
      <c r="B149" t="s">
        <v>46</v>
      </c>
      <c r="C149">
        <v>8</v>
      </c>
      <c r="D149">
        <v>849</v>
      </c>
      <c r="E149" t="s">
        <v>326</v>
      </c>
      <c r="F149" t="s">
        <v>287</v>
      </c>
      <c r="G149">
        <v>8849</v>
      </c>
      <c r="H149">
        <v>8849</v>
      </c>
      <c r="I149" t="s">
        <v>288</v>
      </c>
      <c r="J149">
        <v>803</v>
      </c>
      <c r="K149" t="s">
        <v>304</v>
      </c>
      <c r="L149" t="s">
        <v>51</v>
      </c>
      <c r="M149" t="s">
        <v>53</v>
      </c>
      <c r="N149">
        <v>13573</v>
      </c>
      <c r="O149" t="s">
        <v>53</v>
      </c>
      <c r="P149" t="s">
        <v>70</v>
      </c>
      <c r="Q149" t="s">
        <v>71</v>
      </c>
      <c r="R149" t="s">
        <v>72</v>
      </c>
      <c r="S149" t="s">
        <v>57</v>
      </c>
      <c r="T149" t="s">
        <v>58</v>
      </c>
      <c r="U149" t="s">
        <v>81</v>
      </c>
      <c r="V149">
        <v>0.38041000000000003</v>
      </c>
      <c r="W149" t="s">
        <v>289</v>
      </c>
      <c r="X149" t="s">
        <v>217</v>
      </c>
      <c r="Y149" t="s">
        <v>218</v>
      </c>
      <c r="Z149" t="str">
        <f t="shared" si="4"/>
        <v>Mayor que 40 - hasta 50</v>
      </c>
      <c r="AA149">
        <f t="shared" si="5"/>
        <v>0</v>
      </c>
      <c r="AB149">
        <v>8849</v>
      </c>
      <c r="AC149" t="s">
        <v>290</v>
      </c>
      <c r="AD149" t="s">
        <v>292</v>
      </c>
      <c r="AE149">
        <v>0.35604599999999997</v>
      </c>
      <c r="AF149" t="s">
        <v>63</v>
      </c>
      <c r="AG149">
        <v>10.574012</v>
      </c>
      <c r="AH149" t="s">
        <v>290</v>
      </c>
      <c r="AI149" t="s">
        <v>286</v>
      </c>
      <c r="AJ149">
        <v>1.2786</v>
      </c>
      <c r="AK149" t="s">
        <v>76</v>
      </c>
      <c r="AL149">
        <v>46.961731999999998</v>
      </c>
      <c r="AM149" t="s">
        <v>64</v>
      </c>
      <c r="AN149" s="7">
        <v>1059.189582730593</v>
      </c>
      <c r="AO149" t="s">
        <v>65</v>
      </c>
      <c r="AP149" s="3">
        <v>54</v>
      </c>
      <c r="AQ149">
        <v>3</v>
      </c>
      <c r="AR149">
        <v>1088.483469</v>
      </c>
      <c r="AS149" t="s">
        <v>66</v>
      </c>
      <c r="AT149" t="s">
        <v>295</v>
      </c>
    </row>
    <row r="150" spans="1:46">
      <c r="A150">
        <v>904</v>
      </c>
      <c r="B150" t="s">
        <v>46</v>
      </c>
      <c r="C150">
        <v>11</v>
      </c>
      <c r="D150">
        <v>1</v>
      </c>
      <c r="E150" t="s">
        <v>327</v>
      </c>
      <c r="F150" t="s">
        <v>327</v>
      </c>
      <c r="G150">
        <v>11001</v>
      </c>
      <c r="H150">
        <v>11001</v>
      </c>
      <c r="I150" t="s">
        <v>328</v>
      </c>
      <c r="J150">
        <v>1101</v>
      </c>
      <c r="K150" t="s">
        <v>327</v>
      </c>
      <c r="L150" t="s">
        <v>51</v>
      </c>
      <c r="M150" t="s">
        <v>52</v>
      </c>
      <c r="N150">
        <v>7907281</v>
      </c>
      <c r="O150" t="s">
        <v>53</v>
      </c>
      <c r="P150" t="s">
        <v>54</v>
      </c>
      <c r="Q150" t="s">
        <v>55</v>
      </c>
      <c r="R150" t="s">
        <v>93</v>
      </c>
      <c r="S150" t="s">
        <v>57</v>
      </c>
      <c r="T150" t="s">
        <v>58</v>
      </c>
      <c r="U150" t="s">
        <v>59</v>
      </c>
      <c r="V150">
        <v>0.20205999999999999</v>
      </c>
      <c r="W150" t="s">
        <v>53</v>
      </c>
      <c r="X150" t="s">
        <v>53</v>
      </c>
      <c r="Y150" t="s">
        <v>329</v>
      </c>
      <c r="Z150" t="str">
        <f t="shared" si="4"/>
        <v>Mayor que 1000</v>
      </c>
      <c r="AA150">
        <f t="shared" si="5"/>
        <v>1</v>
      </c>
      <c r="AB150">
        <v>11001</v>
      </c>
      <c r="AC150" t="s">
        <v>330</v>
      </c>
      <c r="AD150" t="s">
        <v>331</v>
      </c>
      <c r="AE150">
        <v>0</v>
      </c>
      <c r="AF150" t="s">
        <v>63</v>
      </c>
      <c r="AG150">
        <v>0</v>
      </c>
      <c r="AH150" t="s">
        <v>330</v>
      </c>
      <c r="AI150" t="s">
        <v>332</v>
      </c>
      <c r="AJ150">
        <v>0</v>
      </c>
      <c r="AK150" t="s">
        <v>63</v>
      </c>
      <c r="AL150">
        <v>0</v>
      </c>
      <c r="AM150" s="4" t="s">
        <v>65</v>
      </c>
      <c r="AN150" s="5">
        <v>17844.614899183005</v>
      </c>
      <c r="AO150" s="4" t="s">
        <v>65</v>
      </c>
      <c r="AP150" s="6">
        <v>5577</v>
      </c>
      <c r="AQ150">
        <v>3</v>
      </c>
      <c r="AR150">
        <v>18149.275656000002</v>
      </c>
      <c r="AS150" t="s">
        <v>66</v>
      </c>
      <c r="AT150" t="s">
        <v>53</v>
      </c>
    </row>
    <row r="151" spans="1:46">
      <c r="A151">
        <v>486</v>
      </c>
      <c r="B151" t="s">
        <v>46</v>
      </c>
      <c r="C151">
        <v>13</v>
      </c>
      <c r="D151">
        <v>1</v>
      </c>
      <c r="E151" t="s">
        <v>333</v>
      </c>
      <c r="F151" t="s">
        <v>334</v>
      </c>
      <c r="G151">
        <v>13001</v>
      </c>
      <c r="H151">
        <v>13001</v>
      </c>
      <c r="I151" t="s">
        <v>288</v>
      </c>
      <c r="J151">
        <v>1302</v>
      </c>
      <c r="K151" t="s">
        <v>335</v>
      </c>
      <c r="L151" t="s">
        <v>51</v>
      </c>
      <c r="M151" t="s">
        <v>52</v>
      </c>
      <c r="N151">
        <v>1052015</v>
      </c>
      <c r="O151" t="s">
        <v>53</v>
      </c>
      <c r="P151" t="s">
        <v>54</v>
      </c>
      <c r="Q151" t="s">
        <v>55</v>
      </c>
      <c r="R151" t="s">
        <v>56</v>
      </c>
      <c r="S151" t="s">
        <v>57</v>
      </c>
      <c r="T151" t="s">
        <v>58</v>
      </c>
      <c r="U151" t="s">
        <v>59</v>
      </c>
      <c r="V151">
        <v>0.52654900000000004</v>
      </c>
      <c r="W151">
        <v>2023</v>
      </c>
      <c r="X151" t="s">
        <v>144</v>
      </c>
      <c r="Y151" t="s">
        <v>145</v>
      </c>
      <c r="Z151" t="str">
        <f t="shared" si="4"/>
        <v>Mayor que 70 - hasta 80</v>
      </c>
      <c r="AA151">
        <f t="shared" si="5"/>
        <v>0</v>
      </c>
      <c r="AB151">
        <v>13001</v>
      </c>
      <c r="AC151" t="s">
        <v>306</v>
      </c>
      <c r="AD151" t="s">
        <v>336</v>
      </c>
      <c r="AE151">
        <v>0</v>
      </c>
      <c r="AF151" t="s">
        <v>63</v>
      </c>
      <c r="AG151">
        <v>0</v>
      </c>
      <c r="AH151" t="s">
        <v>306</v>
      </c>
      <c r="AI151" t="s">
        <v>307</v>
      </c>
      <c r="AJ151">
        <v>0</v>
      </c>
      <c r="AK151" t="s">
        <v>63</v>
      </c>
      <c r="AL151">
        <v>0</v>
      </c>
      <c r="AM151" t="s">
        <v>64</v>
      </c>
      <c r="AN151" s="7">
        <v>3189.6353718924229</v>
      </c>
      <c r="AO151" t="s">
        <v>65</v>
      </c>
      <c r="AP151" s="3">
        <v>131</v>
      </c>
      <c r="AQ151">
        <v>3</v>
      </c>
      <c r="AR151">
        <v>3065.4862499999999</v>
      </c>
      <c r="AS151" t="s">
        <v>66</v>
      </c>
      <c r="AT151" t="s">
        <v>137</v>
      </c>
    </row>
    <row r="152" spans="1:46">
      <c r="A152">
        <v>487</v>
      </c>
      <c r="B152" t="s">
        <v>46</v>
      </c>
      <c r="C152">
        <v>13</v>
      </c>
      <c r="D152">
        <v>6</v>
      </c>
      <c r="E152" t="s">
        <v>337</v>
      </c>
      <c r="F152" t="s">
        <v>334</v>
      </c>
      <c r="G152">
        <v>13006</v>
      </c>
      <c r="H152">
        <v>13006</v>
      </c>
      <c r="I152" t="s">
        <v>288</v>
      </c>
      <c r="J152">
        <v>1305</v>
      </c>
      <c r="K152" t="s">
        <v>338</v>
      </c>
      <c r="L152" t="s">
        <v>80</v>
      </c>
      <c r="M152" t="s">
        <v>53</v>
      </c>
      <c r="N152">
        <v>26995</v>
      </c>
      <c r="O152" t="s">
        <v>53</v>
      </c>
      <c r="P152" t="s">
        <v>70</v>
      </c>
      <c r="Q152" t="s">
        <v>71</v>
      </c>
      <c r="R152" t="s">
        <v>105</v>
      </c>
      <c r="S152" t="s">
        <v>57</v>
      </c>
      <c r="T152" t="s">
        <v>58</v>
      </c>
      <c r="U152" t="s">
        <v>59</v>
      </c>
      <c r="V152">
        <v>0.85493799999999998</v>
      </c>
      <c r="W152">
        <v>2023</v>
      </c>
      <c r="X152" t="s">
        <v>339</v>
      </c>
      <c r="Y152" t="s">
        <v>340</v>
      </c>
      <c r="Z152" t="str">
        <f t="shared" si="4"/>
        <v>Mayor que 10 - hasta 15</v>
      </c>
      <c r="AA152">
        <f t="shared" si="5"/>
        <v>0</v>
      </c>
      <c r="AB152">
        <v>13006</v>
      </c>
      <c r="AC152" t="s">
        <v>341</v>
      </c>
      <c r="AD152" t="s">
        <v>342</v>
      </c>
      <c r="AE152">
        <v>2.5131549999999998</v>
      </c>
      <c r="AF152" t="s">
        <v>77</v>
      </c>
      <c r="AG152">
        <v>99.012907999999996</v>
      </c>
      <c r="AH152" t="s">
        <v>129</v>
      </c>
      <c r="AI152" t="s">
        <v>130</v>
      </c>
      <c r="AJ152">
        <v>5.3251410000000003</v>
      </c>
      <c r="AK152" t="s">
        <v>181</v>
      </c>
      <c r="AL152">
        <v>224.75840500000001</v>
      </c>
      <c r="AM152" t="s">
        <v>97</v>
      </c>
      <c r="AN152" s="7">
        <v>10761.2692275387</v>
      </c>
      <c r="AO152" t="s">
        <v>65</v>
      </c>
      <c r="AP152" s="3">
        <v>603</v>
      </c>
      <c r="AQ152">
        <v>3</v>
      </c>
      <c r="AR152">
        <v>19034.825645000001</v>
      </c>
      <c r="AS152" t="s">
        <v>66</v>
      </c>
      <c r="AT152" t="s">
        <v>137</v>
      </c>
    </row>
    <row r="153" spans="1:46">
      <c r="A153">
        <v>488</v>
      </c>
      <c r="B153" t="s">
        <v>46</v>
      </c>
      <c r="C153">
        <v>13</v>
      </c>
      <c r="D153">
        <v>30</v>
      </c>
      <c r="E153" t="s">
        <v>343</v>
      </c>
      <c r="F153" t="s">
        <v>334</v>
      </c>
      <c r="G153">
        <v>13030</v>
      </c>
      <c r="H153">
        <v>13030</v>
      </c>
      <c r="I153" t="s">
        <v>288</v>
      </c>
      <c r="J153">
        <v>1303</v>
      </c>
      <c r="K153" t="s">
        <v>344</v>
      </c>
      <c r="L153" t="s">
        <v>69</v>
      </c>
      <c r="M153" t="s">
        <v>53</v>
      </c>
      <c r="N153">
        <v>12060</v>
      </c>
      <c r="O153" t="s">
        <v>53</v>
      </c>
      <c r="P153" t="s">
        <v>70</v>
      </c>
      <c r="Q153" t="s">
        <v>71</v>
      </c>
      <c r="R153" t="s">
        <v>122</v>
      </c>
      <c r="S153" t="s">
        <v>57</v>
      </c>
      <c r="T153" t="s">
        <v>58</v>
      </c>
      <c r="U153" t="s">
        <v>59</v>
      </c>
      <c r="V153">
        <v>0.80357100000000004</v>
      </c>
      <c r="W153">
        <v>2023</v>
      </c>
      <c r="X153" t="s">
        <v>345</v>
      </c>
      <c r="Y153" t="s">
        <v>346</v>
      </c>
      <c r="Z153" t="str">
        <f t="shared" si="4"/>
        <v>Mayor que 8 - hasta 10</v>
      </c>
      <c r="AA153">
        <f t="shared" si="5"/>
        <v>0</v>
      </c>
      <c r="AB153">
        <v>13030</v>
      </c>
      <c r="AC153" t="s">
        <v>347</v>
      </c>
      <c r="AD153" t="s">
        <v>348</v>
      </c>
      <c r="AE153">
        <v>1.7925519999999999</v>
      </c>
      <c r="AF153" t="s">
        <v>76</v>
      </c>
      <c r="AG153">
        <v>58.164169999999999</v>
      </c>
      <c r="AH153" t="s">
        <v>341</v>
      </c>
      <c r="AI153" t="s">
        <v>349</v>
      </c>
      <c r="AJ153">
        <v>5.443206</v>
      </c>
      <c r="AK153" t="s">
        <v>181</v>
      </c>
      <c r="AL153">
        <v>249.878716</v>
      </c>
      <c r="AM153" t="s">
        <v>64</v>
      </c>
      <c r="AN153" s="7">
        <v>2528.7885506381149</v>
      </c>
      <c r="AO153" t="s">
        <v>65</v>
      </c>
      <c r="AP153" s="3">
        <v>207</v>
      </c>
      <c r="AQ153">
        <v>1</v>
      </c>
      <c r="AR153">
        <v>2832.2692040000002</v>
      </c>
      <c r="AS153" t="s">
        <v>66</v>
      </c>
      <c r="AT153" t="s">
        <v>137</v>
      </c>
    </row>
    <row r="154" spans="1:46">
      <c r="A154">
        <v>489</v>
      </c>
      <c r="B154" t="s">
        <v>46</v>
      </c>
      <c r="C154">
        <v>13</v>
      </c>
      <c r="D154">
        <v>42</v>
      </c>
      <c r="E154" t="s">
        <v>350</v>
      </c>
      <c r="F154" t="s">
        <v>334</v>
      </c>
      <c r="G154">
        <v>13042</v>
      </c>
      <c r="H154">
        <v>13042</v>
      </c>
      <c r="I154" t="s">
        <v>288</v>
      </c>
      <c r="J154">
        <v>1304</v>
      </c>
      <c r="K154" t="s">
        <v>351</v>
      </c>
      <c r="L154" t="s">
        <v>80</v>
      </c>
      <c r="M154" t="s">
        <v>53</v>
      </c>
      <c r="N154">
        <v>7937</v>
      </c>
      <c r="O154" t="s">
        <v>53</v>
      </c>
      <c r="P154" t="s">
        <v>70</v>
      </c>
      <c r="Q154" t="s">
        <v>71</v>
      </c>
      <c r="R154" t="s">
        <v>105</v>
      </c>
      <c r="S154" t="s">
        <v>281</v>
      </c>
      <c r="T154" t="s">
        <v>73</v>
      </c>
      <c r="U154" t="s">
        <v>119</v>
      </c>
      <c r="V154">
        <v>0.59821400000000002</v>
      </c>
      <c r="W154">
        <v>2023</v>
      </c>
      <c r="X154" t="s">
        <v>339</v>
      </c>
      <c r="Y154" t="s">
        <v>340</v>
      </c>
      <c r="Z154" t="str">
        <f t="shared" si="4"/>
        <v>Mayor que 10 - hasta 15</v>
      </c>
      <c r="AA154">
        <f t="shared" si="5"/>
        <v>0</v>
      </c>
      <c r="AB154">
        <v>13042</v>
      </c>
      <c r="AC154" t="s">
        <v>352</v>
      </c>
      <c r="AD154" t="s">
        <v>353</v>
      </c>
      <c r="AE154">
        <v>2.702906</v>
      </c>
      <c r="AF154" t="s">
        <v>77</v>
      </c>
      <c r="AG154">
        <v>101.21391800000001</v>
      </c>
      <c r="AH154" t="s">
        <v>341</v>
      </c>
      <c r="AI154" t="s">
        <v>349</v>
      </c>
      <c r="AJ154">
        <v>6.6987399999999999</v>
      </c>
      <c r="AK154" t="s">
        <v>354</v>
      </c>
      <c r="AL154">
        <v>298.17892499999999</v>
      </c>
      <c r="AM154" t="s">
        <v>64</v>
      </c>
      <c r="AN154" s="7">
        <v>511.18071361557787</v>
      </c>
      <c r="AO154" t="s">
        <v>65</v>
      </c>
      <c r="AP154" s="3">
        <v>41</v>
      </c>
      <c r="AQ154">
        <v>3</v>
      </c>
      <c r="AR154">
        <v>645.76387399999999</v>
      </c>
      <c r="AS154" t="s">
        <v>66</v>
      </c>
      <c r="AT154" t="s">
        <v>53</v>
      </c>
    </row>
    <row r="155" spans="1:46">
      <c r="A155">
        <v>490</v>
      </c>
      <c r="B155" t="s">
        <v>46</v>
      </c>
      <c r="C155">
        <v>13</v>
      </c>
      <c r="D155">
        <v>52</v>
      </c>
      <c r="E155" t="s">
        <v>355</v>
      </c>
      <c r="F155" t="s">
        <v>334</v>
      </c>
      <c r="G155">
        <v>13052</v>
      </c>
      <c r="H155">
        <v>13052</v>
      </c>
      <c r="I155" t="s">
        <v>288</v>
      </c>
      <c r="J155">
        <v>1302</v>
      </c>
      <c r="K155" t="s">
        <v>335</v>
      </c>
      <c r="L155" t="s">
        <v>51</v>
      </c>
      <c r="M155" t="s">
        <v>53</v>
      </c>
      <c r="N155">
        <v>75429</v>
      </c>
      <c r="O155" t="s">
        <v>53</v>
      </c>
      <c r="P155" t="s">
        <v>92</v>
      </c>
      <c r="Q155" t="s">
        <v>71</v>
      </c>
      <c r="R155" t="s">
        <v>93</v>
      </c>
      <c r="S155" t="s">
        <v>57</v>
      </c>
      <c r="T155" t="s">
        <v>58</v>
      </c>
      <c r="U155" t="s">
        <v>59</v>
      </c>
      <c r="V155">
        <v>0.24514</v>
      </c>
      <c r="W155">
        <v>2023</v>
      </c>
      <c r="X155" t="s">
        <v>176</v>
      </c>
      <c r="Y155" t="s">
        <v>177</v>
      </c>
      <c r="Z155" t="str">
        <f t="shared" si="4"/>
        <v>Mayor que 20 - hasta 30</v>
      </c>
      <c r="AA155">
        <f t="shared" si="5"/>
        <v>0</v>
      </c>
      <c r="AB155">
        <v>13052</v>
      </c>
      <c r="AC155" t="s">
        <v>306</v>
      </c>
      <c r="AD155" t="s">
        <v>355</v>
      </c>
      <c r="AE155">
        <v>0</v>
      </c>
      <c r="AF155" t="s">
        <v>63</v>
      </c>
      <c r="AG155">
        <v>0</v>
      </c>
      <c r="AH155" t="s">
        <v>306</v>
      </c>
      <c r="AI155" t="s">
        <v>307</v>
      </c>
      <c r="AJ155">
        <v>0.63028899999999999</v>
      </c>
      <c r="AK155" t="s">
        <v>63</v>
      </c>
      <c r="AL155">
        <v>26.343354999999999</v>
      </c>
      <c r="AM155" t="s">
        <v>64</v>
      </c>
      <c r="AN155" s="7">
        <v>12629.428633615649</v>
      </c>
      <c r="AO155" t="s">
        <v>65</v>
      </c>
      <c r="AP155" s="3">
        <v>481</v>
      </c>
      <c r="AQ155">
        <v>2</v>
      </c>
      <c r="AR155">
        <v>11402.597975999999</v>
      </c>
      <c r="AS155" t="s">
        <v>66</v>
      </c>
      <c r="AT155" t="s">
        <v>137</v>
      </c>
    </row>
    <row r="156" spans="1:46">
      <c r="A156">
        <v>491</v>
      </c>
      <c r="B156" t="s">
        <v>46</v>
      </c>
      <c r="C156">
        <v>13</v>
      </c>
      <c r="D156">
        <v>62</v>
      </c>
      <c r="E156" t="s">
        <v>356</v>
      </c>
      <c r="F156" t="s">
        <v>334</v>
      </c>
      <c r="G156">
        <v>13062</v>
      </c>
      <c r="H156">
        <v>13062</v>
      </c>
      <c r="I156" t="s">
        <v>288</v>
      </c>
      <c r="J156">
        <v>1302</v>
      </c>
      <c r="K156" t="s">
        <v>335</v>
      </c>
      <c r="L156" t="s">
        <v>91</v>
      </c>
      <c r="M156" t="s">
        <v>53</v>
      </c>
      <c r="N156">
        <v>8762</v>
      </c>
      <c r="O156" t="s">
        <v>53</v>
      </c>
      <c r="P156" t="s">
        <v>70</v>
      </c>
      <c r="Q156" t="s">
        <v>71</v>
      </c>
      <c r="R156" t="s">
        <v>105</v>
      </c>
      <c r="S156" t="s">
        <v>57</v>
      </c>
      <c r="T156" t="s">
        <v>58</v>
      </c>
      <c r="U156" t="s">
        <v>81</v>
      </c>
      <c r="V156">
        <v>0.71821299999999999</v>
      </c>
      <c r="W156">
        <v>2023</v>
      </c>
      <c r="X156" t="s">
        <v>339</v>
      </c>
      <c r="Y156" t="s">
        <v>340</v>
      </c>
      <c r="Z156" t="str">
        <f t="shared" si="4"/>
        <v>Mayor que 10 - hasta 15</v>
      </c>
      <c r="AA156">
        <f t="shared" si="5"/>
        <v>0</v>
      </c>
      <c r="AB156">
        <v>13062</v>
      </c>
      <c r="AC156" t="s">
        <v>306</v>
      </c>
      <c r="AD156" t="s">
        <v>357</v>
      </c>
      <c r="AE156">
        <v>1.3318680000000001</v>
      </c>
      <c r="AF156" t="s">
        <v>76</v>
      </c>
      <c r="AG156">
        <v>48.483052000000001</v>
      </c>
      <c r="AH156" t="s">
        <v>306</v>
      </c>
      <c r="AI156" t="s">
        <v>307</v>
      </c>
      <c r="AJ156">
        <v>1.831949</v>
      </c>
      <c r="AK156" t="s">
        <v>76</v>
      </c>
      <c r="AL156">
        <v>82.029351000000005</v>
      </c>
      <c r="AM156" t="s">
        <v>64</v>
      </c>
      <c r="AN156" s="7">
        <v>2997.4204121433932</v>
      </c>
      <c r="AO156" t="s">
        <v>65</v>
      </c>
      <c r="AP156" s="3">
        <v>119</v>
      </c>
      <c r="AQ156">
        <v>1</v>
      </c>
      <c r="AR156">
        <v>2270.8082549999999</v>
      </c>
      <c r="AS156" t="s">
        <v>66</v>
      </c>
      <c r="AT156" t="s">
        <v>137</v>
      </c>
    </row>
    <row r="157" spans="1:46">
      <c r="A157">
        <v>492</v>
      </c>
      <c r="B157" t="s">
        <v>46</v>
      </c>
      <c r="C157">
        <v>13</v>
      </c>
      <c r="D157">
        <v>74</v>
      </c>
      <c r="E157" t="s">
        <v>358</v>
      </c>
      <c r="F157" t="s">
        <v>334</v>
      </c>
      <c r="G157">
        <v>13074</v>
      </c>
      <c r="H157">
        <v>13074</v>
      </c>
      <c r="I157" t="s">
        <v>288</v>
      </c>
      <c r="J157">
        <v>1303</v>
      </c>
      <c r="K157" t="s">
        <v>344</v>
      </c>
      <c r="L157" t="s">
        <v>69</v>
      </c>
      <c r="M157" t="s">
        <v>53</v>
      </c>
      <c r="N157">
        <v>16181</v>
      </c>
      <c r="O157" t="s">
        <v>53</v>
      </c>
      <c r="P157" t="s">
        <v>70</v>
      </c>
      <c r="Q157" t="s">
        <v>71</v>
      </c>
      <c r="R157" t="s">
        <v>56</v>
      </c>
      <c r="S157" t="s">
        <v>57</v>
      </c>
      <c r="T157" t="s">
        <v>58</v>
      </c>
      <c r="U157" t="s">
        <v>59</v>
      </c>
      <c r="V157">
        <v>0.76160700000000003</v>
      </c>
      <c r="W157">
        <v>2023</v>
      </c>
      <c r="X157" t="s">
        <v>345</v>
      </c>
      <c r="Y157" t="s">
        <v>346</v>
      </c>
      <c r="Z157" t="str">
        <f t="shared" si="4"/>
        <v>Mayor que 8 - hasta 10</v>
      </c>
      <c r="AA157">
        <f t="shared" si="5"/>
        <v>0</v>
      </c>
      <c r="AB157">
        <v>13074</v>
      </c>
      <c r="AC157" t="s">
        <v>347</v>
      </c>
      <c r="AD157" t="s">
        <v>348</v>
      </c>
      <c r="AE157">
        <v>1.0389360000000001</v>
      </c>
      <c r="AF157" t="s">
        <v>76</v>
      </c>
      <c r="AG157">
        <v>30.319091</v>
      </c>
      <c r="AH157" t="s">
        <v>341</v>
      </c>
      <c r="AI157" t="s">
        <v>349</v>
      </c>
      <c r="AJ157">
        <v>4.6895889999999998</v>
      </c>
      <c r="AK157" t="s">
        <v>85</v>
      </c>
      <c r="AL157">
        <v>222.033636</v>
      </c>
      <c r="AM157" t="s">
        <v>64</v>
      </c>
      <c r="AN157" s="7">
        <v>5120.1865233390608</v>
      </c>
      <c r="AO157" t="s">
        <v>65</v>
      </c>
      <c r="AP157" s="3">
        <v>334</v>
      </c>
      <c r="AQ157">
        <v>2</v>
      </c>
      <c r="AR157">
        <v>3929.700351</v>
      </c>
      <c r="AS157" t="s">
        <v>66</v>
      </c>
      <c r="AT157" t="s">
        <v>137</v>
      </c>
    </row>
    <row r="158" spans="1:46">
      <c r="A158">
        <v>493</v>
      </c>
      <c r="B158" t="s">
        <v>46</v>
      </c>
      <c r="C158">
        <v>13</v>
      </c>
      <c r="D158">
        <v>140</v>
      </c>
      <c r="E158" t="s">
        <v>359</v>
      </c>
      <c r="F158" t="s">
        <v>334</v>
      </c>
      <c r="G158">
        <v>13140</v>
      </c>
      <c r="H158">
        <v>13140</v>
      </c>
      <c r="I158" t="s">
        <v>288</v>
      </c>
      <c r="J158">
        <v>1302</v>
      </c>
      <c r="K158" t="s">
        <v>335</v>
      </c>
      <c r="L158" t="s">
        <v>91</v>
      </c>
      <c r="M158" t="s">
        <v>53</v>
      </c>
      <c r="N158">
        <v>24575</v>
      </c>
      <c r="O158" t="s">
        <v>53</v>
      </c>
      <c r="P158" t="s">
        <v>70</v>
      </c>
      <c r="Q158" t="s">
        <v>71</v>
      </c>
      <c r="R158" t="s">
        <v>105</v>
      </c>
      <c r="S158" t="s">
        <v>57</v>
      </c>
      <c r="T158" t="s">
        <v>58</v>
      </c>
      <c r="U158" t="s">
        <v>59</v>
      </c>
      <c r="V158">
        <v>0.88102000000000003</v>
      </c>
      <c r="W158">
        <v>2023</v>
      </c>
      <c r="X158" t="s">
        <v>310</v>
      </c>
      <c r="Y158" t="s">
        <v>311</v>
      </c>
      <c r="Z158" t="str">
        <f t="shared" si="4"/>
        <v>Mayor que 15 - hasta 20</v>
      </c>
      <c r="AA158">
        <f t="shared" si="5"/>
        <v>0</v>
      </c>
      <c r="AB158">
        <v>13140</v>
      </c>
      <c r="AC158" t="s">
        <v>306</v>
      </c>
      <c r="AD158" t="s">
        <v>357</v>
      </c>
      <c r="AE158">
        <v>1.211821</v>
      </c>
      <c r="AF158" t="s">
        <v>76</v>
      </c>
      <c r="AG158">
        <v>44.678888999999998</v>
      </c>
      <c r="AH158" t="s">
        <v>306</v>
      </c>
      <c r="AI158" t="s">
        <v>307</v>
      </c>
      <c r="AJ158">
        <v>1.967816</v>
      </c>
      <c r="AK158" t="s">
        <v>76</v>
      </c>
      <c r="AL158">
        <v>102.501133</v>
      </c>
      <c r="AM158" t="s">
        <v>97</v>
      </c>
      <c r="AN158" s="7">
        <v>1503.7511421105251</v>
      </c>
      <c r="AO158" t="s">
        <v>64</v>
      </c>
      <c r="AP158" s="3">
        <v>47</v>
      </c>
      <c r="AQ158">
        <v>1</v>
      </c>
      <c r="AR158">
        <v>1036.2717339999999</v>
      </c>
      <c r="AS158" t="s">
        <v>66</v>
      </c>
      <c r="AT158" t="s">
        <v>137</v>
      </c>
    </row>
    <row r="159" spans="1:46">
      <c r="A159">
        <v>494</v>
      </c>
      <c r="B159" t="s">
        <v>46</v>
      </c>
      <c r="C159">
        <v>13</v>
      </c>
      <c r="D159">
        <v>160</v>
      </c>
      <c r="E159" t="s">
        <v>360</v>
      </c>
      <c r="F159" t="s">
        <v>334</v>
      </c>
      <c r="G159">
        <v>13160</v>
      </c>
      <c r="H159">
        <v>13160</v>
      </c>
      <c r="I159" t="s">
        <v>288</v>
      </c>
      <c r="J159">
        <v>1304</v>
      </c>
      <c r="K159" t="s">
        <v>351</v>
      </c>
      <c r="L159" t="s">
        <v>69</v>
      </c>
      <c r="M159" t="s">
        <v>53</v>
      </c>
      <c r="N159">
        <v>9019</v>
      </c>
      <c r="O159" t="s">
        <v>53</v>
      </c>
      <c r="P159" t="s">
        <v>70</v>
      </c>
      <c r="Q159" t="s">
        <v>71</v>
      </c>
      <c r="R159" t="s">
        <v>72</v>
      </c>
      <c r="S159" t="s">
        <v>281</v>
      </c>
      <c r="T159" t="s">
        <v>73</v>
      </c>
      <c r="U159" t="s">
        <v>101</v>
      </c>
      <c r="V159">
        <v>0.83673500000000001</v>
      </c>
      <c r="W159">
        <v>2023</v>
      </c>
      <c r="X159" t="s">
        <v>361</v>
      </c>
      <c r="Y159" t="s">
        <v>362</v>
      </c>
      <c r="Z159" t="str">
        <f t="shared" si="4"/>
        <v>Mayor que 5 - hasta 8</v>
      </c>
      <c r="AA159">
        <f t="shared" si="5"/>
        <v>0</v>
      </c>
      <c r="AB159">
        <v>13160</v>
      </c>
      <c r="AC159" t="s">
        <v>282</v>
      </c>
      <c r="AD159" t="s">
        <v>283</v>
      </c>
      <c r="AE159">
        <v>2.654344</v>
      </c>
      <c r="AF159" t="s">
        <v>77</v>
      </c>
      <c r="AG159">
        <v>83.922244000000006</v>
      </c>
      <c r="AH159" t="s">
        <v>282</v>
      </c>
      <c r="AI159" t="s">
        <v>284</v>
      </c>
      <c r="AJ159">
        <v>5.0777450000000002</v>
      </c>
      <c r="AK159" t="s">
        <v>181</v>
      </c>
      <c r="AL159">
        <v>171.46458899999999</v>
      </c>
      <c r="AM159" t="s">
        <v>64</v>
      </c>
      <c r="AN159" s="7">
        <v>6136.3121849552626</v>
      </c>
      <c r="AO159" t="s">
        <v>65</v>
      </c>
      <c r="AP159" s="3">
        <v>182</v>
      </c>
      <c r="AQ159">
        <v>3</v>
      </c>
      <c r="AR159">
        <v>6812.9126340000003</v>
      </c>
      <c r="AS159" t="s">
        <v>66</v>
      </c>
      <c r="AT159" t="s">
        <v>137</v>
      </c>
    </row>
    <row r="160" spans="1:46">
      <c r="A160">
        <v>495</v>
      </c>
      <c r="B160" t="s">
        <v>46</v>
      </c>
      <c r="C160">
        <v>13</v>
      </c>
      <c r="D160">
        <v>188</v>
      </c>
      <c r="E160" t="s">
        <v>363</v>
      </c>
      <c r="F160" t="s">
        <v>334</v>
      </c>
      <c r="G160">
        <v>13188</v>
      </c>
      <c r="H160">
        <v>13188</v>
      </c>
      <c r="I160" t="s">
        <v>288</v>
      </c>
      <c r="J160">
        <v>1301</v>
      </c>
      <c r="K160" t="s">
        <v>364</v>
      </c>
      <c r="L160" t="s">
        <v>91</v>
      </c>
      <c r="M160" t="s">
        <v>53</v>
      </c>
      <c r="N160">
        <v>14652</v>
      </c>
      <c r="O160" t="s">
        <v>53</v>
      </c>
      <c r="P160" t="s">
        <v>70</v>
      </c>
      <c r="Q160" t="s">
        <v>71</v>
      </c>
      <c r="R160" t="s">
        <v>93</v>
      </c>
      <c r="S160" t="s">
        <v>57</v>
      </c>
      <c r="T160" t="s">
        <v>58</v>
      </c>
      <c r="U160" t="s">
        <v>81</v>
      </c>
      <c r="V160">
        <v>0.54135299999999997</v>
      </c>
      <c r="W160">
        <v>2023</v>
      </c>
      <c r="X160" t="s">
        <v>345</v>
      </c>
      <c r="Y160" t="s">
        <v>346</v>
      </c>
      <c r="Z160" t="str">
        <f t="shared" si="4"/>
        <v>Mayor que 8 - hasta 10</v>
      </c>
      <c r="AA160">
        <f t="shared" si="5"/>
        <v>0</v>
      </c>
      <c r="AB160">
        <v>13188</v>
      </c>
      <c r="AC160" t="s">
        <v>306</v>
      </c>
      <c r="AD160" t="s">
        <v>365</v>
      </c>
      <c r="AE160">
        <v>0.48663800000000001</v>
      </c>
      <c r="AF160" t="s">
        <v>63</v>
      </c>
      <c r="AG160">
        <v>24.886500999999999</v>
      </c>
      <c r="AH160" t="s">
        <v>341</v>
      </c>
      <c r="AI160" t="s">
        <v>349</v>
      </c>
      <c r="AJ160">
        <v>2.4608189999999999</v>
      </c>
      <c r="AK160" t="s">
        <v>77</v>
      </c>
      <c r="AL160">
        <v>116.763874</v>
      </c>
      <c r="AM160" t="s">
        <v>97</v>
      </c>
      <c r="AN160" s="7">
        <v>44.376642307701452</v>
      </c>
      <c r="AO160" t="s">
        <v>65</v>
      </c>
      <c r="AP160" s="3">
        <v>17</v>
      </c>
      <c r="AQ160">
        <v>3</v>
      </c>
      <c r="AR160">
        <v>504.28391099999999</v>
      </c>
      <c r="AS160" t="s">
        <v>66</v>
      </c>
      <c r="AT160" t="s">
        <v>137</v>
      </c>
    </row>
    <row r="161" spans="1:46">
      <c r="A161">
        <v>496</v>
      </c>
      <c r="B161" t="s">
        <v>46</v>
      </c>
      <c r="C161">
        <v>13</v>
      </c>
      <c r="D161">
        <v>212</v>
      </c>
      <c r="E161" t="s">
        <v>366</v>
      </c>
      <c r="F161" t="s">
        <v>334</v>
      </c>
      <c r="G161">
        <v>13212</v>
      </c>
      <c r="H161">
        <v>13212</v>
      </c>
      <c r="I161" t="s">
        <v>288</v>
      </c>
      <c r="J161">
        <v>1306</v>
      </c>
      <c r="K161" t="s">
        <v>367</v>
      </c>
      <c r="L161" t="s">
        <v>80</v>
      </c>
      <c r="M161" t="s">
        <v>53</v>
      </c>
      <c r="N161">
        <v>17408</v>
      </c>
      <c r="O161" t="s">
        <v>53</v>
      </c>
      <c r="P161" t="s">
        <v>70</v>
      </c>
      <c r="Q161" t="s">
        <v>71</v>
      </c>
      <c r="R161" t="s">
        <v>93</v>
      </c>
      <c r="S161" t="s">
        <v>368</v>
      </c>
      <c r="T161" t="s">
        <v>73</v>
      </c>
      <c r="U161" t="s">
        <v>59</v>
      </c>
      <c r="V161">
        <v>0.66741099999999998</v>
      </c>
      <c r="W161">
        <v>2023</v>
      </c>
      <c r="X161" t="s">
        <v>176</v>
      </c>
      <c r="Y161" t="s">
        <v>177</v>
      </c>
      <c r="Z161" t="str">
        <f t="shared" si="4"/>
        <v>Mayor que 20 - hasta 30</v>
      </c>
      <c r="AA161">
        <f t="shared" si="5"/>
        <v>0</v>
      </c>
      <c r="AB161">
        <v>13212</v>
      </c>
      <c r="AC161" t="s">
        <v>347</v>
      </c>
      <c r="AD161" t="s">
        <v>369</v>
      </c>
      <c r="AE161">
        <v>0.90667500000000001</v>
      </c>
      <c r="AF161" t="s">
        <v>63</v>
      </c>
      <c r="AG161">
        <v>33.360512</v>
      </c>
      <c r="AH161" t="s">
        <v>341</v>
      </c>
      <c r="AI161" t="s">
        <v>349</v>
      </c>
      <c r="AJ161">
        <v>2.739741</v>
      </c>
      <c r="AK161" t="s">
        <v>77</v>
      </c>
      <c r="AL161">
        <v>122.288138</v>
      </c>
      <c r="AM161" t="s">
        <v>64</v>
      </c>
      <c r="AN161" s="7">
        <v>229.67011972195971</v>
      </c>
      <c r="AO161" t="s">
        <v>64</v>
      </c>
      <c r="AP161" s="3">
        <v>15</v>
      </c>
      <c r="AQ161">
        <v>2</v>
      </c>
      <c r="AR161">
        <v>248.244159</v>
      </c>
      <c r="AS161" t="s">
        <v>66</v>
      </c>
      <c r="AT161" t="s">
        <v>137</v>
      </c>
    </row>
    <row r="162" spans="1:46">
      <c r="A162">
        <v>497</v>
      </c>
      <c r="B162" t="s">
        <v>46</v>
      </c>
      <c r="C162">
        <v>13</v>
      </c>
      <c r="D162">
        <v>222</v>
      </c>
      <c r="E162" t="s">
        <v>370</v>
      </c>
      <c r="F162" t="s">
        <v>334</v>
      </c>
      <c r="G162">
        <v>13222</v>
      </c>
      <c r="H162">
        <v>13222</v>
      </c>
      <c r="I162" t="s">
        <v>288</v>
      </c>
      <c r="J162">
        <v>1302</v>
      </c>
      <c r="K162" t="s">
        <v>335</v>
      </c>
      <c r="L162" t="s">
        <v>51</v>
      </c>
      <c r="M162" t="s">
        <v>53</v>
      </c>
      <c r="N162">
        <v>16081</v>
      </c>
      <c r="O162" t="s">
        <v>53</v>
      </c>
      <c r="P162" t="s">
        <v>70</v>
      </c>
      <c r="Q162" t="s">
        <v>71</v>
      </c>
      <c r="R162" t="s">
        <v>105</v>
      </c>
      <c r="S162" t="s">
        <v>57</v>
      </c>
      <c r="T162" t="s">
        <v>58</v>
      </c>
      <c r="U162" t="s">
        <v>59</v>
      </c>
      <c r="V162">
        <v>0.33962300000000001</v>
      </c>
      <c r="W162">
        <v>2023</v>
      </c>
      <c r="X162" t="s">
        <v>109</v>
      </c>
      <c r="Y162" t="s">
        <v>110</v>
      </c>
      <c r="Z162" t="str">
        <f t="shared" si="4"/>
        <v>Mayor que 30 - hasta 40</v>
      </c>
      <c r="AA162">
        <f t="shared" si="5"/>
        <v>0</v>
      </c>
      <c r="AB162">
        <v>13222</v>
      </c>
      <c r="AC162" t="s">
        <v>306</v>
      </c>
      <c r="AD162" t="s">
        <v>371</v>
      </c>
      <c r="AE162">
        <v>0.76156400000000002</v>
      </c>
      <c r="AF162" t="s">
        <v>63</v>
      </c>
      <c r="AG162">
        <v>37.357568999999998</v>
      </c>
      <c r="AH162" t="s">
        <v>306</v>
      </c>
      <c r="AI162" t="s">
        <v>307</v>
      </c>
      <c r="AJ162">
        <v>0.77975000000000005</v>
      </c>
      <c r="AK162" t="s">
        <v>63</v>
      </c>
      <c r="AL162">
        <v>37.240411000000002</v>
      </c>
      <c r="AM162" t="s">
        <v>64</v>
      </c>
      <c r="AN162" s="7">
        <v>429.99659462562579</v>
      </c>
      <c r="AO162" t="s">
        <v>65</v>
      </c>
      <c r="AP162" s="3">
        <v>69</v>
      </c>
      <c r="AQ162">
        <v>2</v>
      </c>
      <c r="AR162">
        <v>275.299601</v>
      </c>
      <c r="AS162" t="s">
        <v>66</v>
      </c>
      <c r="AT162" t="s">
        <v>137</v>
      </c>
    </row>
    <row r="163" spans="1:46">
      <c r="A163">
        <v>498</v>
      </c>
      <c r="B163" t="s">
        <v>46</v>
      </c>
      <c r="C163">
        <v>13</v>
      </c>
      <c r="D163">
        <v>244</v>
      </c>
      <c r="E163" t="s">
        <v>372</v>
      </c>
      <c r="F163" t="s">
        <v>334</v>
      </c>
      <c r="G163">
        <v>13244</v>
      </c>
      <c r="H163">
        <v>13244</v>
      </c>
      <c r="I163" t="s">
        <v>288</v>
      </c>
      <c r="J163">
        <v>1306</v>
      </c>
      <c r="K163" t="s">
        <v>367</v>
      </c>
      <c r="L163" t="s">
        <v>91</v>
      </c>
      <c r="M163" t="s">
        <v>53</v>
      </c>
      <c r="N163">
        <v>75923</v>
      </c>
      <c r="O163" t="s">
        <v>53</v>
      </c>
      <c r="P163" t="s">
        <v>92</v>
      </c>
      <c r="Q163" t="s">
        <v>71</v>
      </c>
      <c r="R163" t="s">
        <v>105</v>
      </c>
      <c r="S163" t="s">
        <v>368</v>
      </c>
      <c r="T163" t="s">
        <v>73</v>
      </c>
      <c r="U163" t="s">
        <v>119</v>
      </c>
      <c r="V163">
        <v>0.63408399999999998</v>
      </c>
      <c r="W163">
        <v>2023</v>
      </c>
      <c r="X163" t="s">
        <v>176</v>
      </c>
      <c r="Y163" t="s">
        <v>177</v>
      </c>
      <c r="Z163" t="str">
        <f t="shared" si="4"/>
        <v>Mayor que 20 - hasta 30</v>
      </c>
      <c r="AA163">
        <f t="shared" si="5"/>
        <v>0</v>
      </c>
      <c r="AB163">
        <v>13244</v>
      </c>
      <c r="AC163" t="s">
        <v>306</v>
      </c>
      <c r="AD163" t="s">
        <v>373</v>
      </c>
      <c r="AE163">
        <v>0</v>
      </c>
      <c r="AF163" t="s">
        <v>63</v>
      </c>
      <c r="AG163">
        <v>0</v>
      </c>
      <c r="AH163" t="s">
        <v>341</v>
      </c>
      <c r="AI163" t="s">
        <v>349</v>
      </c>
      <c r="AJ163">
        <v>1.664822</v>
      </c>
      <c r="AK163" t="s">
        <v>76</v>
      </c>
      <c r="AL163">
        <v>72.709249999999997</v>
      </c>
      <c r="AM163" t="s">
        <v>64</v>
      </c>
      <c r="AN163" s="7">
        <v>3332.5030484990889</v>
      </c>
      <c r="AO163" t="s">
        <v>65</v>
      </c>
      <c r="AP163" s="3">
        <v>354</v>
      </c>
      <c r="AQ163">
        <v>2</v>
      </c>
      <c r="AR163">
        <v>5006.574337</v>
      </c>
      <c r="AS163" t="s">
        <v>66</v>
      </c>
      <c r="AT163" t="s">
        <v>137</v>
      </c>
    </row>
    <row r="164" spans="1:46">
      <c r="A164">
        <v>499</v>
      </c>
      <c r="B164" t="s">
        <v>46</v>
      </c>
      <c r="C164">
        <v>13</v>
      </c>
      <c r="D164">
        <v>248</v>
      </c>
      <c r="E164" t="s">
        <v>374</v>
      </c>
      <c r="F164" t="s">
        <v>334</v>
      </c>
      <c r="G164">
        <v>13248</v>
      </c>
      <c r="H164">
        <v>13248</v>
      </c>
      <c r="I164" t="s">
        <v>288</v>
      </c>
      <c r="J164">
        <v>1306</v>
      </c>
      <c r="K164" t="s">
        <v>367</v>
      </c>
      <c r="L164" t="s">
        <v>69</v>
      </c>
      <c r="M164" t="s">
        <v>53</v>
      </c>
      <c r="N164">
        <v>9404</v>
      </c>
      <c r="O164" t="s">
        <v>53</v>
      </c>
      <c r="P164" t="s">
        <v>70</v>
      </c>
      <c r="Q164" t="s">
        <v>71</v>
      </c>
      <c r="R164" t="s">
        <v>56</v>
      </c>
      <c r="S164" t="s">
        <v>368</v>
      </c>
      <c r="T164" t="s">
        <v>73</v>
      </c>
      <c r="U164" t="s">
        <v>81</v>
      </c>
      <c r="V164">
        <v>0.62973000000000001</v>
      </c>
      <c r="W164">
        <v>2023</v>
      </c>
      <c r="X164" t="s">
        <v>345</v>
      </c>
      <c r="Y164" t="s">
        <v>346</v>
      </c>
      <c r="Z164" t="str">
        <f t="shared" si="4"/>
        <v>Mayor que 8 - hasta 10</v>
      </c>
      <c r="AA164">
        <f t="shared" si="5"/>
        <v>0</v>
      </c>
      <c r="AB164">
        <v>13248</v>
      </c>
      <c r="AC164" t="s">
        <v>306</v>
      </c>
      <c r="AD164" t="s">
        <v>357</v>
      </c>
      <c r="AE164">
        <v>0.87439699999999998</v>
      </c>
      <c r="AF164" t="s">
        <v>63</v>
      </c>
      <c r="AG164">
        <v>19.540915999999999</v>
      </c>
      <c r="AH164" t="s">
        <v>306</v>
      </c>
      <c r="AI164" t="s">
        <v>307</v>
      </c>
      <c r="AJ164">
        <v>1.913233</v>
      </c>
      <c r="AK164" t="s">
        <v>76</v>
      </c>
      <c r="AL164">
        <v>86.187423999999993</v>
      </c>
      <c r="AM164" t="s">
        <v>64</v>
      </c>
      <c r="AN164" s="7">
        <v>3024.291115432377</v>
      </c>
      <c r="AO164" t="s">
        <v>64</v>
      </c>
      <c r="AP164" s="3">
        <v>85</v>
      </c>
      <c r="AQ164">
        <v>1</v>
      </c>
      <c r="AR164">
        <v>2116.1584699999999</v>
      </c>
      <c r="AS164" t="s">
        <v>66</v>
      </c>
      <c r="AT164" t="s">
        <v>137</v>
      </c>
    </row>
    <row r="165" spans="1:46">
      <c r="A165">
        <v>500</v>
      </c>
      <c r="B165" t="s">
        <v>46</v>
      </c>
      <c r="C165">
        <v>13</v>
      </c>
      <c r="D165">
        <v>268</v>
      </c>
      <c r="E165" t="s">
        <v>375</v>
      </c>
      <c r="F165" t="s">
        <v>334</v>
      </c>
      <c r="G165">
        <v>13268</v>
      </c>
      <c r="H165">
        <v>13268</v>
      </c>
      <c r="I165" t="s">
        <v>288</v>
      </c>
      <c r="J165">
        <v>1303</v>
      </c>
      <c r="K165" t="s">
        <v>344</v>
      </c>
      <c r="L165" t="s">
        <v>69</v>
      </c>
      <c r="M165" t="s">
        <v>53</v>
      </c>
      <c r="N165">
        <v>8060</v>
      </c>
      <c r="O165" t="s">
        <v>53</v>
      </c>
      <c r="P165" t="s">
        <v>70</v>
      </c>
      <c r="Q165" t="s">
        <v>71</v>
      </c>
      <c r="R165" t="s">
        <v>122</v>
      </c>
      <c r="S165" t="s">
        <v>57</v>
      </c>
      <c r="T165" t="s">
        <v>58</v>
      </c>
      <c r="U165" t="s">
        <v>59</v>
      </c>
      <c r="V165">
        <v>0.57165100000000002</v>
      </c>
      <c r="W165">
        <v>2023</v>
      </c>
      <c r="X165" t="s">
        <v>361</v>
      </c>
      <c r="Y165" t="s">
        <v>362</v>
      </c>
      <c r="Z165" t="str">
        <f t="shared" si="4"/>
        <v>Mayor que 5 - hasta 8</v>
      </c>
      <c r="AA165">
        <f t="shared" si="5"/>
        <v>0</v>
      </c>
      <c r="AB165">
        <v>13268</v>
      </c>
      <c r="AC165" t="s">
        <v>347</v>
      </c>
      <c r="AD165" t="s">
        <v>348</v>
      </c>
      <c r="AE165">
        <v>1.385535</v>
      </c>
      <c r="AF165" t="s">
        <v>76</v>
      </c>
      <c r="AG165">
        <v>7.0526910000000003</v>
      </c>
      <c r="AH165" t="s">
        <v>352</v>
      </c>
      <c r="AI165" t="s">
        <v>376</v>
      </c>
      <c r="AJ165">
        <v>5.7211740000000004</v>
      </c>
      <c r="AK165" t="s">
        <v>181</v>
      </c>
      <c r="AL165">
        <v>248.062273</v>
      </c>
      <c r="AM165" t="s">
        <v>65</v>
      </c>
      <c r="AN165" s="7">
        <v>750.81134450054117</v>
      </c>
      <c r="AO165" t="s">
        <v>65</v>
      </c>
      <c r="AP165" s="3">
        <v>209</v>
      </c>
      <c r="AQ165">
        <v>3</v>
      </c>
      <c r="AR165">
        <v>1439.5928779999999</v>
      </c>
      <c r="AS165" t="s">
        <v>66</v>
      </c>
      <c r="AT165" t="s">
        <v>137</v>
      </c>
    </row>
    <row r="166" spans="1:46">
      <c r="A166">
        <v>1104</v>
      </c>
      <c r="B166" t="s">
        <v>46</v>
      </c>
      <c r="C166">
        <v>13</v>
      </c>
      <c r="D166">
        <v>300</v>
      </c>
      <c r="E166" t="s">
        <v>377</v>
      </c>
      <c r="F166" t="s">
        <v>334</v>
      </c>
      <c r="G166">
        <v>13300</v>
      </c>
      <c r="H166">
        <v>13300</v>
      </c>
      <c r="I166" t="s">
        <v>288</v>
      </c>
      <c r="J166">
        <v>1301</v>
      </c>
      <c r="K166" t="s">
        <v>364</v>
      </c>
      <c r="L166" t="s">
        <v>69</v>
      </c>
      <c r="M166" t="s">
        <v>53</v>
      </c>
      <c r="N166">
        <v>13176</v>
      </c>
      <c r="O166" t="s">
        <v>53</v>
      </c>
      <c r="P166" t="s">
        <v>70</v>
      </c>
      <c r="Q166" t="s">
        <v>71</v>
      </c>
      <c r="R166" t="s">
        <v>56</v>
      </c>
      <c r="S166" t="s">
        <v>57</v>
      </c>
      <c r="T166" t="s">
        <v>58</v>
      </c>
      <c r="U166" t="s">
        <v>81</v>
      </c>
      <c r="V166">
        <v>0.66478599999999999</v>
      </c>
      <c r="W166">
        <v>2023</v>
      </c>
      <c r="X166" t="s">
        <v>345</v>
      </c>
      <c r="Y166" t="s">
        <v>346</v>
      </c>
      <c r="Z166" t="str">
        <f t="shared" si="4"/>
        <v>Mayor que 8 - hasta 10</v>
      </c>
      <c r="AA166">
        <f t="shared" si="5"/>
        <v>0</v>
      </c>
      <c r="AB166">
        <v>13300</v>
      </c>
      <c r="AC166" t="s">
        <v>347</v>
      </c>
      <c r="AD166" t="s">
        <v>348</v>
      </c>
      <c r="AE166">
        <v>0.82031900000000002</v>
      </c>
      <c r="AF166" t="s">
        <v>63</v>
      </c>
      <c r="AG166">
        <v>23.566400000000002</v>
      </c>
      <c r="AH166" t="s">
        <v>341</v>
      </c>
      <c r="AI166" t="s">
        <v>349</v>
      </c>
      <c r="AJ166">
        <v>4.6356529999999996</v>
      </c>
      <c r="AK166" t="s">
        <v>85</v>
      </c>
      <c r="AL166">
        <v>223.67505800000001</v>
      </c>
      <c r="AM166" t="s">
        <v>65</v>
      </c>
      <c r="AN166" s="7">
        <v>932.68632194621864</v>
      </c>
      <c r="AO166" t="s">
        <v>65</v>
      </c>
      <c r="AP166" s="3">
        <v>186</v>
      </c>
      <c r="AQ166">
        <v>2</v>
      </c>
      <c r="AR166">
        <v>1517.2870109999999</v>
      </c>
      <c r="AS166" t="s">
        <v>66</v>
      </c>
      <c r="AT166" t="s">
        <v>137</v>
      </c>
    </row>
    <row r="167" spans="1:46">
      <c r="A167">
        <v>1106</v>
      </c>
      <c r="B167" t="s">
        <v>46</v>
      </c>
      <c r="C167">
        <v>13</v>
      </c>
      <c r="D167">
        <v>430</v>
      </c>
      <c r="E167" t="s">
        <v>378</v>
      </c>
      <c r="F167" t="s">
        <v>334</v>
      </c>
      <c r="G167">
        <v>13430</v>
      </c>
      <c r="H167">
        <v>13430</v>
      </c>
      <c r="I167" t="s">
        <v>288</v>
      </c>
      <c r="J167">
        <v>1305</v>
      </c>
      <c r="K167" t="s">
        <v>338</v>
      </c>
      <c r="L167" t="s">
        <v>91</v>
      </c>
      <c r="M167" t="s">
        <v>53</v>
      </c>
      <c r="N167">
        <v>145035</v>
      </c>
      <c r="O167" t="s">
        <v>53</v>
      </c>
      <c r="P167" t="s">
        <v>54</v>
      </c>
      <c r="Q167" t="s">
        <v>118</v>
      </c>
      <c r="R167" t="s">
        <v>105</v>
      </c>
      <c r="S167" t="s">
        <v>57</v>
      </c>
      <c r="T167" t="s">
        <v>58</v>
      </c>
      <c r="U167" t="s">
        <v>59</v>
      </c>
      <c r="V167">
        <v>0.47437600000000002</v>
      </c>
      <c r="W167">
        <v>2023</v>
      </c>
      <c r="X167" t="s">
        <v>109</v>
      </c>
      <c r="Y167" t="s">
        <v>110</v>
      </c>
      <c r="Z167" t="str">
        <f t="shared" si="4"/>
        <v>Mayor que 30 - hasta 40</v>
      </c>
      <c r="AA167">
        <f t="shared" si="5"/>
        <v>0</v>
      </c>
      <c r="AB167">
        <v>13430</v>
      </c>
      <c r="AC167" t="s">
        <v>306</v>
      </c>
      <c r="AD167" t="s">
        <v>365</v>
      </c>
      <c r="AE167">
        <v>0</v>
      </c>
      <c r="AF167" t="s">
        <v>63</v>
      </c>
      <c r="AG167">
        <v>0</v>
      </c>
      <c r="AH167" t="s">
        <v>341</v>
      </c>
      <c r="AI167" t="s">
        <v>349</v>
      </c>
      <c r="AJ167">
        <v>2.1040760000000001</v>
      </c>
      <c r="AK167" t="s">
        <v>77</v>
      </c>
      <c r="AL167">
        <v>95.091587000000004</v>
      </c>
      <c r="AM167" t="s">
        <v>64</v>
      </c>
      <c r="AN167" s="7">
        <v>4385.053619716814</v>
      </c>
      <c r="AO167" t="s">
        <v>65</v>
      </c>
      <c r="AP167" s="3">
        <v>266</v>
      </c>
      <c r="AQ167">
        <v>2</v>
      </c>
      <c r="AR167">
        <v>6112.9075359999997</v>
      </c>
      <c r="AS167" t="s">
        <v>66</v>
      </c>
      <c r="AT167" t="s">
        <v>137</v>
      </c>
    </row>
    <row r="168" spans="1:46">
      <c r="A168">
        <v>501</v>
      </c>
      <c r="B168" t="s">
        <v>46</v>
      </c>
      <c r="C168">
        <v>13</v>
      </c>
      <c r="D168">
        <v>433</v>
      </c>
      <c r="E168" t="s">
        <v>379</v>
      </c>
      <c r="F168" t="s">
        <v>334</v>
      </c>
      <c r="G168">
        <v>13433</v>
      </c>
      <c r="H168">
        <v>13433</v>
      </c>
      <c r="I168" t="s">
        <v>288</v>
      </c>
      <c r="J168">
        <v>1302</v>
      </c>
      <c r="K168" t="s">
        <v>335</v>
      </c>
      <c r="L168" t="s">
        <v>91</v>
      </c>
      <c r="M168" t="s">
        <v>53</v>
      </c>
      <c r="N168">
        <v>30104</v>
      </c>
      <c r="O168" t="s">
        <v>53</v>
      </c>
      <c r="P168" t="s">
        <v>92</v>
      </c>
      <c r="Q168" t="s">
        <v>71</v>
      </c>
      <c r="R168" t="s">
        <v>93</v>
      </c>
      <c r="S168" t="s">
        <v>57</v>
      </c>
      <c r="T168" t="s">
        <v>58</v>
      </c>
      <c r="U168" t="s">
        <v>81</v>
      </c>
      <c r="V168">
        <v>0.73911000000000004</v>
      </c>
      <c r="W168">
        <v>2023</v>
      </c>
      <c r="X168" t="s">
        <v>217</v>
      </c>
      <c r="Y168" t="s">
        <v>218</v>
      </c>
      <c r="Z168" t="str">
        <f t="shared" si="4"/>
        <v>Mayor que 40 - hasta 50</v>
      </c>
      <c r="AA168">
        <f t="shared" si="5"/>
        <v>0</v>
      </c>
      <c r="AB168">
        <v>13433</v>
      </c>
      <c r="AC168" t="s">
        <v>306</v>
      </c>
      <c r="AD168" t="s">
        <v>355</v>
      </c>
      <c r="AE168">
        <v>0.88868599999999998</v>
      </c>
      <c r="AF168" t="s">
        <v>63</v>
      </c>
      <c r="AG168">
        <v>36.191882999999997</v>
      </c>
      <c r="AH168" t="s">
        <v>306</v>
      </c>
      <c r="AI168" t="s">
        <v>307</v>
      </c>
      <c r="AJ168">
        <v>1.3181510000000001</v>
      </c>
      <c r="AK168" t="s">
        <v>76</v>
      </c>
      <c r="AL168">
        <v>61.203867000000002</v>
      </c>
      <c r="AM168" t="s">
        <v>64</v>
      </c>
      <c r="AN168" s="7">
        <v>3282.2244952271531</v>
      </c>
      <c r="AO168" t="s">
        <v>65</v>
      </c>
      <c r="AP168" s="3">
        <v>503</v>
      </c>
      <c r="AQ168">
        <v>1</v>
      </c>
      <c r="AR168">
        <v>6328.8283849999998</v>
      </c>
      <c r="AS168" t="s">
        <v>66</v>
      </c>
      <c r="AT168" t="s">
        <v>137</v>
      </c>
    </row>
    <row r="169" spans="1:46">
      <c r="A169">
        <v>502</v>
      </c>
      <c r="B169" t="s">
        <v>46</v>
      </c>
      <c r="C169">
        <v>13</v>
      </c>
      <c r="D169">
        <v>440</v>
      </c>
      <c r="E169" t="s">
        <v>380</v>
      </c>
      <c r="F169" t="s">
        <v>334</v>
      </c>
      <c r="G169">
        <v>13440</v>
      </c>
      <c r="H169">
        <v>13440</v>
      </c>
      <c r="I169" t="s">
        <v>288</v>
      </c>
      <c r="J169">
        <v>1301</v>
      </c>
      <c r="K169" t="s">
        <v>364</v>
      </c>
      <c r="L169" t="s">
        <v>80</v>
      </c>
      <c r="M169" t="s">
        <v>53</v>
      </c>
      <c r="N169">
        <v>11710</v>
      </c>
      <c r="O169" t="s">
        <v>53</v>
      </c>
      <c r="P169" t="s">
        <v>70</v>
      </c>
      <c r="Q169" t="s">
        <v>71</v>
      </c>
      <c r="R169" t="s">
        <v>93</v>
      </c>
      <c r="S169" t="s">
        <v>57</v>
      </c>
      <c r="T169" t="s">
        <v>58</v>
      </c>
      <c r="U169" t="s">
        <v>81</v>
      </c>
      <c r="V169">
        <v>0.82710899999999998</v>
      </c>
      <c r="W169">
        <v>2023</v>
      </c>
      <c r="X169" t="s">
        <v>310</v>
      </c>
      <c r="Y169" t="s">
        <v>311</v>
      </c>
      <c r="Z169" t="str">
        <f t="shared" si="4"/>
        <v>Mayor que 15 - hasta 20</v>
      </c>
      <c r="AA169">
        <f t="shared" si="5"/>
        <v>0</v>
      </c>
      <c r="AB169">
        <v>13440</v>
      </c>
      <c r="AC169" t="s">
        <v>347</v>
      </c>
      <c r="AD169" t="s">
        <v>348</v>
      </c>
      <c r="AE169">
        <v>0.89952699999999997</v>
      </c>
      <c r="AF169" t="s">
        <v>63</v>
      </c>
      <c r="AG169">
        <v>45.625692999999998</v>
      </c>
      <c r="AH169" t="s">
        <v>341</v>
      </c>
      <c r="AI169" t="s">
        <v>349</v>
      </c>
      <c r="AJ169">
        <v>3.633537</v>
      </c>
      <c r="AK169" t="s">
        <v>84</v>
      </c>
      <c r="AL169">
        <v>179.843478</v>
      </c>
      <c r="AM169" t="s">
        <v>65</v>
      </c>
      <c r="AN169" s="7">
        <v>1795.8348712539801</v>
      </c>
      <c r="AO169" t="s">
        <v>65</v>
      </c>
      <c r="AP169" s="3">
        <v>623</v>
      </c>
      <c r="AQ169">
        <v>2</v>
      </c>
      <c r="AR169">
        <v>2731.3233599999999</v>
      </c>
      <c r="AS169" t="s">
        <v>66</v>
      </c>
      <c r="AT169" t="s">
        <v>137</v>
      </c>
    </row>
    <row r="170" spans="1:46">
      <c r="A170">
        <v>503</v>
      </c>
      <c r="B170" t="s">
        <v>46</v>
      </c>
      <c r="C170">
        <v>13</v>
      </c>
      <c r="D170">
        <v>442</v>
      </c>
      <c r="E170" t="s">
        <v>381</v>
      </c>
      <c r="F170" t="s">
        <v>334</v>
      </c>
      <c r="G170">
        <v>13442</v>
      </c>
      <c r="H170">
        <v>13442</v>
      </c>
      <c r="I170" t="s">
        <v>288</v>
      </c>
      <c r="J170">
        <v>1306</v>
      </c>
      <c r="K170" t="s">
        <v>367</v>
      </c>
      <c r="L170" t="s">
        <v>91</v>
      </c>
      <c r="M170" t="s">
        <v>53</v>
      </c>
      <c r="N170">
        <v>50463</v>
      </c>
      <c r="O170" t="s">
        <v>53</v>
      </c>
      <c r="P170" t="s">
        <v>92</v>
      </c>
      <c r="Q170" t="s">
        <v>71</v>
      </c>
      <c r="R170" t="s">
        <v>122</v>
      </c>
      <c r="S170" t="s">
        <v>368</v>
      </c>
      <c r="T170" t="s">
        <v>73</v>
      </c>
      <c r="U170" t="s">
        <v>59</v>
      </c>
      <c r="V170">
        <v>0.82203199999999998</v>
      </c>
      <c r="W170">
        <v>2023</v>
      </c>
      <c r="X170" t="s">
        <v>109</v>
      </c>
      <c r="Y170" t="s">
        <v>110</v>
      </c>
      <c r="Z170" t="str">
        <f t="shared" si="4"/>
        <v>Mayor que 30 - hasta 40</v>
      </c>
      <c r="AA170">
        <f t="shared" si="5"/>
        <v>0</v>
      </c>
      <c r="AB170">
        <v>13442</v>
      </c>
      <c r="AC170" t="s">
        <v>306</v>
      </c>
      <c r="AD170" t="s">
        <v>355</v>
      </c>
      <c r="AE170">
        <v>1.023042</v>
      </c>
      <c r="AF170" t="s">
        <v>76</v>
      </c>
      <c r="AG170">
        <v>44.758788000000003</v>
      </c>
      <c r="AH170" t="s">
        <v>306</v>
      </c>
      <c r="AI170" t="s">
        <v>307</v>
      </c>
      <c r="AJ170">
        <v>1.4525079999999999</v>
      </c>
      <c r="AK170" t="s">
        <v>76</v>
      </c>
      <c r="AL170">
        <v>69.770771999999994</v>
      </c>
      <c r="AM170" t="s">
        <v>65</v>
      </c>
      <c r="AN170" s="7">
        <v>1782.3481905500551</v>
      </c>
      <c r="AO170" t="s">
        <v>65</v>
      </c>
      <c r="AP170" s="3">
        <v>616</v>
      </c>
      <c r="AQ170">
        <v>1</v>
      </c>
      <c r="AR170">
        <v>2834.6110199999998</v>
      </c>
      <c r="AS170" t="s">
        <v>66</v>
      </c>
      <c r="AT170" t="s">
        <v>137</v>
      </c>
    </row>
    <row r="171" spans="1:46">
      <c r="A171">
        <v>504</v>
      </c>
      <c r="B171" t="s">
        <v>46</v>
      </c>
      <c r="C171">
        <v>13</v>
      </c>
      <c r="D171">
        <v>458</v>
      </c>
      <c r="E171" t="s">
        <v>382</v>
      </c>
      <c r="F171" t="s">
        <v>334</v>
      </c>
      <c r="G171">
        <v>13458</v>
      </c>
      <c r="H171">
        <v>13458</v>
      </c>
      <c r="I171" t="s">
        <v>288</v>
      </c>
      <c r="J171">
        <v>1305</v>
      </c>
      <c r="K171" t="s">
        <v>338</v>
      </c>
      <c r="L171" t="s">
        <v>69</v>
      </c>
      <c r="M171" t="s">
        <v>53</v>
      </c>
      <c r="N171">
        <v>18243</v>
      </c>
      <c r="O171" t="s">
        <v>53</v>
      </c>
      <c r="P171" t="s">
        <v>70</v>
      </c>
      <c r="Q171" t="s">
        <v>71</v>
      </c>
      <c r="R171" t="s">
        <v>72</v>
      </c>
      <c r="S171" t="s">
        <v>57</v>
      </c>
      <c r="T171" t="s">
        <v>73</v>
      </c>
      <c r="U171" t="s">
        <v>101</v>
      </c>
      <c r="V171">
        <v>0.98198200000000002</v>
      </c>
      <c r="W171">
        <v>2023</v>
      </c>
      <c r="X171" t="s">
        <v>383</v>
      </c>
      <c r="Y171" t="s">
        <v>384</v>
      </c>
      <c r="Z171" t="str">
        <f t="shared" si="4"/>
        <v>Mayor que 3 - hasta 5</v>
      </c>
      <c r="AA171">
        <f t="shared" si="5"/>
        <v>0</v>
      </c>
      <c r="AB171">
        <v>13458</v>
      </c>
      <c r="AC171" t="s">
        <v>341</v>
      </c>
      <c r="AD171" t="s">
        <v>342</v>
      </c>
      <c r="AE171">
        <v>3.3890639999999999</v>
      </c>
      <c r="AF171" t="s">
        <v>84</v>
      </c>
      <c r="AG171">
        <v>132.727835</v>
      </c>
      <c r="AH171" t="s">
        <v>129</v>
      </c>
      <c r="AI171" t="s">
        <v>130</v>
      </c>
      <c r="AJ171">
        <v>6.2010509999999996</v>
      </c>
      <c r="AK171" t="s">
        <v>354</v>
      </c>
      <c r="AL171">
        <v>258.47333300000003</v>
      </c>
      <c r="AM171" t="s">
        <v>97</v>
      </c>
      <c r="AN171" s="7">
        <v>11023.95416144887</v>
      </c>
      <c r="AO171" t="s">
        <v>64</v>
      </c>
      <c r="AP171" s="3">
        <v>15</v>
      </c>
      <c r="AQ171">
        <v>4</v>
      </c>
      <c r="AR171">
        <v>6569.75594</v>
      </c>
      <c r="AS171" t="s">
        <v>66</v>
      </c>
      <c r="AT171" t="s">
        <v>137</v>
      </c>
    </row>
    <row r="172" spans="1:46">
      <c r="A172">
        <v>505</v>
      </c>
      <c r="B172" t="s">
        <v>46</v>
      </c>
      <c r="C172">
        <v>13</v>
      </c>
      <c r="D172">
        <v>468</v>
      </c>
      <c r="E172" t="s">
        <v>385</v>
      </c>
      <c r="F172" t="s">
        <v>334</v>
      </c>
      <c r="G172">
        <v>13468</v>
      </c>
      <c r="H172">
        <v>13468</v>
      </c>
      <c r="I172" t="s">
        <v>288</v>
      </c>
      <c r="J172">
        <v>1301</v>
      </c>
      <c r="K172" t="s">
        <v>364</v>
      </c>
      <c r="L172" t="s">
        <v>91</v>
      </c>
      <c r="M172" t="s">
        <v>53</v>
      </c>
      <c r="N172">
        <v>48385</v>
      </c>
      <c r="O172" t="s">
        <v>53</v>
      </c>
      <c r="P172" t="s">
        <v>92</v>
      </c>
      <c r="Q172" t="s">
        <v>71</v>
      </c>
      <c r="R172" t="s">
        <v>56</v>
      </c>
      <c r="S172" t="s">
        <v>57</v>
      </c>
      <c r="T172" t="s">
        <v>58</v>
      </c>
      <c r="U172" t="s">
        <v>81</v>
      </c>
      <c r="V172">
        <v>0.70812900000000001</v>
      </c>
      <c r="W172">
        <v>2023</v>
      </c>
      <c r="X172" t="s">
        <v>147</v>
      </c>
      <c r="Y172" t="s">
        <v>148</v>
      </c>
      <c r="Z172" t="str">
        <f t="shared" si="4"/>
        <v>Mayor que 50 - hasta 60</v>
      </c>
      <c r="AA172">
        <f t="shared" si="5"/>
        <v>0</v>
      </c>
      <c r="AB172">
        <v>13468</v>
      </c>
      <c r="AC172" t="s">
        <v>306</v>
      </c>
      <c r="AD172" t="s">
        <v>365</v>
      </c>
      <c r="AE172">
        <v>1.176064</v>
      </c>
      <c r="AF172" t="s">
        <v>76</v>
      </c>
      <c r="AG172">
        <v>61.236961999999998</v>
      </c>
      <c r="AH172" t="s">
        <v>341</v>
      </c>
      <c r="AI172" t="s">
        <v>349</v>
      </c>
      <c r="AJ172">
        <v>3.150245</v>
      </c>
      <c r="AK172" t="s">
        <v>84</v>
      </c>
      <c r="AL172">
        <v>153.11433600000001</v>
      </c>
      <c r="AM172" t="s">
        <v>64</v>
      </c>
      <c r="AN172" s="7">
        <v>2149.9746161880271</v>
      </c>
      <c r="AO172" t="s">
        <v>65</v>
      </c>
      <c r="AP172" s="3">
        <v>630</v>
      </c>
      <c r="AQ172">
        <v>2</v>
      </c>
      <c r="AR172">
        <v>2331.8711870000002</v>
      </c>
      <c r="AS172" t="s">
        <v>66</v>
      </c>
      <c r="AT172" t="s">
        <v>137</v>
      </c>
    </row>
    <row r="173" spans="1:46">
      <c r="A173">
        <v>506</v>
      </c>
      <c r="B173" t="s">
        <v>46</v>
      </c>
      <c r="C173">
        <v>13</v>
      </c>
      <c r="D173">
        <v>473</v>
      </c>
      <c r="E173" t="s">
        <v>386</v>
      </c>
      <c r="F173" t="s">
        <v>334</v>
      </c>
      <c r="G173">
        <v>13473</v>
      </c>
      <c r="H173">
        <v>13473</v>
      </c>
      <c r="I173" t="s">
        <v>288</v>
      </c>
      <c r="J173">
        <v>1304</v>
      </c>
      <c r="K173" t="s">
        <v>351</v>
      </c>
      <c r="L173" t="s">
        <v>80</v>
      </c>
      <c r="M173" t="s">
        <v>53</v>
      </c>
      <c r="N173">
        <v>24596</v>
      </c>
      <c r="O173" t="s">
        <v>53</v>
      </c>
      <c r="P173" t="s">
        <v>70</v>
      </c>
      <c r="Q173" t="s">
        <v>71</v>
      </c>
      <c r="R173" t="s">
        <v>93</v>
      </c>
      <c r="S173" t="s">
        <v>281</v>
      </c>
      <c r="T173" t="s">
        <v>73</v>
      </c>
      <c r="U173" t="s">
        <v>101</v>
      </c>
      <c r="V173">
        <v>0.384191</v>
      </c>
      <c r="W173">
        <v>2023</v>
      </c>
      <c r="X173" t="s">
        <v>345</v>
      </c>
      <c r="Y173" t="s">
        <v>346</v>
      </c>
      <c r="Z173" t="str">
        <f t="shared" si="4"/>
        <v>Mayor que 8 - hasta 10</v>
      </c>
      <c r="AA173">
        <f t="shared" si="5"/>
        <v>0</v>
      </c>
      <c r="AB173">
        <v>13473</v>
      </c>
      <c r="AC173" t="s">
        <v>352</v>
      </c>
      <c r="AD173" t="s">
        <v>353</v>
      </c>
      <c r="AE173">
        <v>2.0238960000000001</v>
      </c>
      <c r="AF173" t="s">
        <v>77</v>
      </c>
      <c r="AG173">
        <v>37.880612999999997</v>
      </c>
      <c r="AH173" t="s">
        <v>282</v>
      </c>
      <c r="AI173" t="s">
        <v>284</v>
      </c>
      <c r="AJ173">
        <v>6.057118</v>
      </c>
      <c r="AK173" t="s">
        <v>354</v>
      </c>
      <c r="AL173">
        <v>206.619213</v>
      </c>
      <c r="AM173" t="s">
        <v>64</v>
      </c>
      <c r="AN173" s="7">
        <v>10083.367800019891</v>
      </c>
      <c r="AO173" t="s">
        <v>64</v>
      </c>
      <c r="AP173" s="3">
        <v>361</v>
      </c>
      <c r="AQ173">
        <v>2</v>
      </c>
      <c r="AR173">
        <v>7078.0081300000002</v>
      </c>
      <c r="AS173" t="s">
        <v>66</v>
      </c>
      <c r="AT173" t="s">
        <v>137</v>
      </c>
    </row>
    <row r="174" spans="1:46">
      <c r="A174">
        <v>507</v>
      </c>
      <c r="B174" t="s">
        <v>46</v>
      </c>
      <c r="C174">
        <v>13</v>
      </c>
      <c r="D174">
        <v>549</v>
      </c>
      <c r="E174" t="s">
        <v>387</v>
      </c>
      <c r="F174" t="s">
        <v>334</v>
      </c>
      <c r="G174">
        <v>13549</v>
      </c>
      <c r="H174">
        <v>13549</v>
      </c>
      <c r="I174" t="s">
        <v>288</v>
      </c>
      <c r="J174">
        <v>1305</v>
      </c>
      <c r="K174" t="s">
        <v>338</v>
      </c>
      <c r="L174" t="s">
        <v>80</v>
      </c>
      <c r="M174" t="s">
        <v>53</v>
      </c>
      <c r="N174">
        <v>26467</v>
      </c>
      <c r="O174" t="s">
        <v>53</v>
      </c>
      <c r="P174" t="s">
        <v>70</v>
      </c>
      <c r="Q174" t="s">
        <v>71</v>
      </c>
      <c r="R174" t="s">
        <v>56</v>
      </c>
      <c r="S174" t="s">
        <v>57</v>
      </c>
      <c r="T174" t="s">
        <v>58</v>
      </c>
      <c r="U174" t="s">
        <v>81</v>
      </c>
      <c r="V174">
        <v>0.86584899999999998</v>
      </c>
      <c r="W174">
        <v>2023</v>
      </c>
      <c r="X174" t="s">
        <v>361</v>
      </c>
      <c r="Y174" t="s">
        <v>362</v>
      </c>
      <c r="Z174" t="str">
        <f t="shared" si="4"/>
        <v>Mayor que 5 - hasta 8</v>
      </c>
      <c r="AA174">
        <f t="shared" si="5"/>
        <v>0</v>
      </c>
      <c r="AB174">
        <v>13549</v>
      </c>
      <c r="AC174" t="s">
        <v>306</v>
      </c>
      <c r="AD174" t="s">
        <v>365</v>
      </c>
      <c r="AE174">
        <v>4.5682309999999999</v>
      </c>
      <c r="AF174" t="s">
        <v>85</v>
      </c>
      <c r="AG174">
        <v>74.967827999999997</v>
      </c>
      <c r="AH174" t="s">
        <v>341</v>
      </c>
      <c r="AI174" t="s">
        <v>349</v>
      </c>
      <c r="AJ174">
        <v>6.5424119999999997</v>
      </c>
      <c r="AK174" t="s">
        <v>354</v>
      </c>
      <c r="AL174">
        <v>166.845202</v>
      </c>
      <c r="AM174" t="s">
        <v>65</v>
      </c>
      <c r="AN174" s="7">
        <v>2468.101926945676</v>
      </c>
      <c r="AO174" t="s">
        <v>65</v>
      </c>
      <c r="AP174" s="3">
        <v>801</v>
      </c>
      <c r="AQ174">
        <v>2</v>
      </c>
      <c r="AR174">
        <v>3623.9896910000002</v>
      </c>
      <c r="AS174" t="s">
        <v>66</v>
      </c>
      <c r="AT174" t="s">
        <v>137</v>
      </c>
    </row>
    <row r="175" spans="1:46">
      <c r="A175">
        <v>508</v>
      </c>
      <c r="B175" t="s">
        <v>46</v>
      </c>
      <c r="C175">
        <v>13</v>
      </c>
      <c r="D175">
        <v>580</v>
      </c>
      <c r="E175" t="s">
        <v>388</v>
      </c>
      <c r="F175" t="s">
        <v>334</v>
      </c>
      <c r="G175">
        <v>13580</v>
      </c>
      <c r="H175">
        <v>13580</v>
      </c>
      <c r="I175" t="s">
        <v>288</v>
      </c>
      <c r="J175">
        <v>1303</v>
      </c>
      <c r="K175" t="s">
        <v>344</v>
      </c>
      <c r="L175" t="s">
        <v>91</v>
      </c>
      <c r="M175" t="s">
        <v>53</v>
      </c>
      <c r="N175">
        <v>7502</v>
      </c>
      <c r="O175" t="s">
        <v>53</v>
      </c>
      <c r="P175" t="s">
        <v>70</v>
      </c>
      <c r="Q175" t="s">
        <v>71</v>
      </c>
      <c r="R175" t="s">
        <v>105</v>
      </c>
      <c r="S175" t="s">
        <v>57</v>
      </c>
      <c r="T175" t="s">
        <v>58</v>
      </c>
      <c r="U175" t="s">
        <v>59</v>
      </c>
      <c r="V175">
        <v>0.43264200000000003</v>
      </c>
      <c r="W175">
        <v>2023</v>
      </c>
      <c r="X175" t="s">
        <v>345</v>
      </c>
      <c r="Y175" t="s">
        <v>346</v>
      </c>
      <c r="Z175" t="str">
        <f t="shared" si="4"/>
        <v>Mayor que 8 - hasta 10</v>
      </c>
      <c r="AA175">
        <f t="shared" si="5"/>
        <v>0</v>
      </c>
      <c r="AB175">
        <v>13580</v>
      </c>
      <c r="AC175" t="s">
        <v>352</v>
      </c>
      <c r="AD175" t="s">
        <v>353</v>
      </c>
      <c r="AE175">
        <v>1.6885650000000001</v>
      </c>
      <c r="AF175" t="s">
        <v>76</v>
      </c>
      <c r="AG175">
        <v>62.577669999999998</v>
      </c>
      <c r="AH175" t="s">
        <v>282</v>
      </c>
      <c r="AI175" t="s">
        <v>284</v>
      </c>
      <c r="AJ175">
        <v>5.7063579999999998</v>
      </c>
      <c r="AK175" t="s">
        <v>181</v>
      </c>
      <c r="AL175">
        <v>230.97484800000001</v>
      </c>
      <c r="AM175" t="s">
        <v>97</v>
      </c>
      <c r="AN175" s="7">
        <v>2493.6534186376848</v>
      </c>
      <c r="AO175" t="s">
        <v>64</v>
      </c>
      <c r="AP175" s="3">
        <v>13</v>
      </c>
      <c r="AQ175">
        <v>3</v>
      </c>
      <c r="AR175">
        <v>1701.6857930000001</v>
      </c>
      <c r="AS175" t="s">
        <v>66</v>
      </c>
      <c r="AT175" t="s">
        <v>137</v>
      </c>
    </row>
    <row r="176" spans="1:46">
      <c r="A176">
        <v>509</v>
      </c>
      <c r="B176" t="s">
        <v>46</v>
      </c>
      <c r="C176">
        <v>13</v>
      </c>
      <c r="D176">
        <v>600</v>
      </c>
      <c r="E176" t="s">
        <v>389</v>
      </c>
      <c r="F176" t="s">
        <v>334</v>
      </c>
      <c r="G176">
        <v>13600</v>
      </c>
      <c r="H176">
        <v>13600</v>
      </c>
      <c r="I176" t="s">
        <v>288</v>
      </c>
      <c r="J176">
        <v>1303</v>
      </c>
      <c r="K176" t="s">
        <v>344</v>
      </c>
      <c r="L176" t="s">
        <v>69</v>
      </c>
      <c r="M176" t="s">
        <v>53</v>
      </c>
      <c r="N176">
        <v>11436</v>
      </c>
      <c r="O176" t="s">
        <v>53</v>
      </c>
      <c r="P176" t="s">
        <v>70</v>
      </c>
      <c r="Q176" t="s">
        <v>71</v>
      </c>
      <c r="R176" t="s">
        <v>105</v>
      </c>
      <c r="S176" t="s">
        <v>57</v>
      </c>
      <c r="T176" t="s">
        <v>73</v>
      </c>
      <c r="U176" t="s">
        <v>59</v>
      </c>
      <c r="V176">
        <v>0.56680200000000003</v>
      </c>
      <c r="W176">
        <v>2023</v>
      </c>
      <c r="X176" t="s">
        <v>345</v>
      </c>
      <c r="Y176" t="s">
        <v>346</v>
      </c>
      <c r="Z176" t="str">
        <f t="shared" si="4"/>
        <v>Mayor que 8 - hasta 10</v>
      </c>
      <c r="AA176">
        <f t="shared" si="5"/>
        <v>0</v>
      </c>
      <c r="AB176">
        <v>13600</v>
      </c>
      <c r="AC176" t="s">
        <v>352</v>
      </c>
      <c r="AD176" t="s">
        <v>353</v>
      </c>
      <c r="AE176">
        <v>2.0020440000000002</v>
      </c>
      <c r="AF176" t="s">
        <v>77</v>
      </c>
      <c r="AG176">
        <v>74.407315999999994</v>
      </c>
      <c r="AH176" t="s">
        <v>282</v>
      </c>
      <c r="AI176" t="s">
        <v>284</v>
      </c>
      <c r="AJ176">
        <v>6.0198369999999999</v>
      </c>
      <c r="AK176" t="s">
        <v>354</v>
      </c>
      <c r="AL176">
        <v>242.804495</v>
      </c>
      <c r="AM176" t="s">
        <v>97</v>
      </c>
      <c r="AN176" s="7">
        <v>10278.705244033539</v>
      </c>
      <c r="AO176" t="s">
        <v>65</v>
      </c>
      <c r="AP176" s="3">
        <v>208</v>
      </c>
      <c r="AQ176">
        <v>3</v>
      </c>
      <c r="AR176">
        <v>13247.092601</v>
      </c>
      <c r="AS176" t="s">
        <v>66</v>
      </c>
      <c r="AT176" t="s">
        <v>137</v>
      </c>
    </row>
    <row r="177" spans="1:46">
      <c r="A177">
        <v>510</v>
      </c>
      <c r="B177" t="s">
        <v>46</v>
      </c>
      <c r="C177">
        <v>13</v>
      </c>
      <c r="D177">
        <v>620</v>
      </c>
      <c r="E177" t="s">
        <v>390</v>
      </c>
      <c r="F177" t="s">
        <v>334</v>
      </c>
      <c r="G177">
        <v>13620</v>
      </c>
      <c r="H177">
        <v>13620</v>
      </c>
      <c r="I177" t="s">
        <v>288</v>
      </c>
      <c r="J177">
        <v>1302</v>
      </c>
      <c r="K177" t="s">
        <v>335</v>
      </c>
      <c r="L177" t="s">
        <v>51</v>
      </c>
      <c r="M177" t="s">
        <v>53</v>
      </c>
      <c r="N177">
        <v>8676</v>
      </c>
      <c r="O177" t="s">
        <v>53</v>
      </c>
      <c r="P177" t="s">
        <v>70</v>
      </c>
      <c r="Q177" t="s">
        <v>71</v>
      </c>
      <c r="R177" t="s">
        <v>56</v>
      </c>
      <c r="S177" t="s">
        <v>57</v>
      </c>
      <c r="T177" t="s">
        <v>58</v>
      </c>
      <c r="U177" t="s">
        <v>81</v>
      </c>
      <c r="V177">
        <v>0.33631499999999998</v>
      </c>
      <c r="W177">
        <v>2023</v>
      </c>
      <c r="X177" t="s">
        <v>176</v>
      </c>
      <c r="Y177" t="s">
        <v>177</v>
      </c>
      <c r="Z177" t="str">
        <f t="shared" si="4"/>
        <v>Mayor que 20 - hasta 30</v>
      </c>
      <c r="AA177">
        <f t="shared" si="5"/>
        <v>0</v>
      </c>
      <c r="AB177">
        <v>13620</v>
      </c>
      <c r="AC177" t="s">
        <v>306</v>
      </c>
      <c r="AD177" t="s">
        <v>355</v>
      </c>
      <c r="AE177">
        <v>1.206893</v>
      </c>
      <c r="AF177" t="s">
        <v>76</v>
      </c>
      <c r="AG177">
        <v>43.860007000000003</v>
      </c>
      <c r="AH177" t="s">
        <v>306</v>
      </c>
      <c r="AI177" t="s">
        <v>307</v>
      </c>
      <c r="AJ177">
        <v>1.688795</v>
      </c>
      <c r="AK177" t="s">
        <v>76</v>
      </c>
      <c r="AL177">
        <v>62.909754999999997</v>
      </c>
      <c r="AM177" t="s">
        <v>65</v>
      </c>
      <c r="AN177" s="7">
        <v>131.5098563691086</v>
      </c>
      <c r="AO177" t="s">
        <v>65</v>
      </c>
      <c r="AP177" s="3">
        <v>41</v>
      </c>
      <c r="AQ177">
        <v>3</v>
      </c>
      <c r="AR177">
        <v>74.81756</v>
      </c>
      <c r="AS177" t="s">
        <v>66</v>
      </c>
      <c r="AT177" t="s">
        <v>137</v>
      </c>
    </row>
    <row r="178" spans="1:46">
      <c r="A178">
        <v>511</v>
      </c>
      <c r="B178" t="s">
        <v>46</v>
      </c>
      <c r="C178">
        <v>13</v>
      </c>
      <c r="D178">
        <v>647</v>
      </c>
      <c r="E178" t="s">
        <v>391</v>
      </c>
      <c r="F178" t="s">
        <v>334</v>
      </c>
      <c r="G178">
        <v>13647</v>
      </c>
      <c r="H178">
        <v>13647</v>
      </c>
      <c r="I178" t="s">
        <v>288</v>
      </c>
      <c r="J178">
        <v>1302</v>
      </c>
      <c r="K178" t="s">
        <v>335</v>
      </c>
      <c r="L178" t="s">
        <v>91</v>
      </c>
      <c r="M178" t="s">
        <v>53</v>
      </c>
      <c r="N178">
        <v>19816</v>
      </c>
      <c r="O178" t="s">
        <v>53</v>
      </c>
      <c r="P178" t="s">
        <v>70</v>
      </c>
      <c r="Q178" t="s">
        <v>71</v>
      </c>
      <c r="R178" t="s">
        <v>56</v>
      </c>
      <c r="S178" t="s">
        <v>57</v>
      </c>
      <c r="T178" t="s">
        <v>58</v>
      </c>
      <c r="U178" t="s">
        <v>81</v>
      </c>
      <c r="V178">
        <v>0.12364600000000001</v>
      </c>
      <c r="W178">
        <v>2023</v>
      </c>
      <c r="X178" t="s">
        <v>217</v>
      </c>
      <c r="Y178" t="s">
        <v>218</v>
      </c>
      <c r="Z178" t="str">
        <f t="shared" si="4"/>
        <v>Mayor que 40 - hasta 50</v>
      </c>
      <c r="AA178">
        <f t="shared" si="5"/>
        <v>0</v>
      </c>
      <c r="AB178">
        <v>13647</v>
      </c>
      <c r="AC178" t="s">
        <v>306</v>
      </c>
      <c r="AD178" t="s">
        <v>355</v>
      </c>
      <c r="AE178">
        <v>0.89826499999999998</v>
      </c>
      <c r="AF178" t="s">
        <v>63</v>
      </c>
      <c r="AG178">
        <v>32.371782000000003</v>
      </c>
      <c r="AH178" t="s">
        <v>306</v>
      </c>
      <c r="AI178" t="s">
        <v>307</v>
      </c>
      <c r="AJ178">
        <v>1.3674900000000001</v>
      </c>
      <c r="AK178" t="s">
        <v>76</v>
      </c>
      <c r="AL178">
        <v>50.938687000000002</v>
      </c>
      <c r="AM178" t="s">
        <v>64</v>
      </c>
      <c r="AN178" s="7">
        <v>1017.391359990993</v>
      </c>
      <c r="AO178" t="s">
        <v>65</v>
      </c>
      <c r="AP178" s="3">
        <v>51</v>
      </c>
      <c r="AQ178">
        <v>3</v>
      </c>
      <c r="AR178">
        <v>838.02834099999995</v>
      </c>
      <c r="AS178" t="s">
        <v>66</v>
      </c>
      <c r="AT178" t="s">
        <v>137</v>
      </c>
    </row>
    <row r="179" spans="1:46">
      <c r="A179">
        <v>1105</v>
      </c>
      <c r="B179" t="s">
        <v>46</v>
      </c>
      <c r="C179">
        <v>13</v>
      </c>
      <c r="D179">
        <v>650</v>
      </c>
      <c r="E179" t="s">
        <v>392</v>
      </c>
      <c r="F179" t="s">
        <v>334</v>
      </c>
      <c r="G179">
        <v>13650</v>
      </c>
      <c r="H179">
        <v>13650</v>
      </c>
      <c r="I179" t="s">
        <v>288</v>
      </c>
      <c r="J179">
        <v>1301</v>
      </c>
      <c r="K179" t="s">
        <v>364</v>
      </c>
      <c r="L179" t="s">
        <v>80</v>
      </c>
      <c r="M179" t="s">
        <v>53</v>
      </c>
      <c r="N179">
        <v>13725</v>
      </c>
      <c r="O179" t="s">
        <v>53</v>
      </c>
      <c r="P179" t="s">
        <v>70</v>
      </c>
      <c r="Q179" t="s">
        <v>71</v>
      </c>
      <c r="R179" t="s">
        <v>122</v>
      </c>
      <c r="S179" t="s">
        <v>57</v>
      </c>
      <c r="T179" t="s">
        <v>58</v>
      </c>
      <c r="U179" t="s">
        <v>81</v>
      </c>
      <c r="V179">
        <v>0.77867399999999998</v>
      </c>
      <c r="W179">
        <v>2023</v>
      </c>
      <c r="X179" t="s">
        <v>310</v>
      </c>
      <c r="Y179" t="s">
        <v>311</v>
      </c>
      <c r="Z179" t="str">
        <f t="shared" si="4"/>
        <v>Mayor que 15 - hasta 20</v>
      </c>
      <c r="AA179">
        <f t="shared" si="5"/>
        <v>0</v>
      </c>
      <c r="AB179">
        <v>13650</v>
      </c>
      <c r="AC179" t="s">
        <v>347</v>
      </c>
      <c r="AD179" t="s">
        <v>348</v>
      </c>
      <c r="AE179">
        <v>1.0918559999999999</v>
      </c>
      <c r="AF179" t="s">
        <v>76</v>
      </c>
      <c r="AG179">
        <v>56.823968000000001</v>
      </c>
      <c r="AH179" t="s">
        <v>341</v>
      </c>
      <c r="AI179" t="s">
        <v>349</v>
      </c>
      <c r="AJ179">
        <v>3.4265629999999998</v>
      </c>
      <c r="AK179" t="s">
        <v>84</v>
      </c>
      <c r="AL179">
        <v>168.44520199999999</v>
      </c>
      <c r="AM179" t="s">
        <v>65</v>
      </c>
      <c r="AN179" s="7">
        <v>741.78212520437796</v>
      </c>
      <c r="AO179" t="s">
        <v>65</v>
      </c>
      <c r="AP179" s="3">
        <v>269</v>
      </c>
      <c r="AQ179">
        <v>2</v>
      </c>
      <c r="AR179">
        <v>830.81192799999997</v>
      </c>
      <c r="AS179" t="s">
        <v>66</v>
      </c>
      <c r="AT179" t="s">
        <v>137</v>
      </c>
    </row>
    <row r="180" spans="1:46">
      <c r="A180">
        <v>512</v>
      </c>
      <c r="B180" t="s">
        <v>46</v>
      </c>
      <c r="C180">
        <v>13</v>
      </c>
      <c r="D180">
        <v>654</v>
      </c>
      <c r="E180" t="s">
        <v>393</v>
      </c>
      <c r="F180" t="s">
        <v>334</v>
      </c>
      <c r="G180">
        <v>13654</v>
      </c>
      <c r="H180">
        <v>13654</v>
      </c>
      <c r="I180" t="s">
        <v>288</v>
      </c>
      <c r="J180">
        <v>1306</v>
      </c>
      <c r="K180" t="s">
        <v>367</v>
      </c>
      <c r="L180" t="s">
        <v>69</v>
      </c>
      <c r="M180" t="s">
        <v>53</v>
      </c>
      <c r="N180">
        <v>25702</v>
      </c>
      <c r="O180" t="s">
        <v>53</v>
      </c>
      <c r="P180" t="s">
        <v>70</v>
      </c>
      <c r="Q180" t="s">
        <v>71</v>
      </c>
      <c r="R180" t="s">
        <v>122</v>
      </c>
      <c r="S180" t="s">
        <v>368</v>
      </c>
      <c r="T180" t="s">
        <v>73</v>
      </c>
      <c r="U180" t="s">
        <v>119</v>
      </c>
      <c r="V180">
        <v>0.63623799999999997</v>
      </c>
      <c r="W180">
        <v>2023</v>
      </c>
      <c r="X180" t="s">
        <v>176</v>
      </c>
      <c r="Y180" t="s">
        <v>177</v>
      </c>
      <c r="Z180" t="str">
        <f t="shared" si="4"/>
        <v>Mayor que 20 - hasta 30</v>
      </c>
      <c r="AA180">
        <f t="shared" si="5"/>
        <v>0</v>
      </c>
      <c r="AB180">
        <v>13654</v>
      </c>
      <c r="AC180" t="s">
        <v>306</v>
      </c>
      <c r="AD180" t="s">
        <v>357</v>
      </c>
      <c r="AE180">
        <v>0.37908700000000001</v>
      </c>
      <c r="AF180" t="s">
        <v>63</v>
      </c>
      <c r="AG180">
        <v>16.436753</v>
      </c>
      <c r="AH180" t="s">
        <v>341</v>
      </c>
      <c r="AI180" t="s">
        <v>349</v>
      </c>
      <c r="AJ180">
        <v>1.939724</v>
      </c>
      <c r="AK180" t="s">
        <v>76</v>
      </c>
      <c r="AL180">
        <v>87.421739000000002</v>
      </c>
      <c r="AM180" t="s">
        <v>64</v>
      </c>
      <c r="AN180" s="7">
        <v>1715.291980545835</v>
      </c>
      <c r="AO180" t="s">
        <v>65</v>
      </c>
      <c r="AP180" s="3">
        <v>132</v>
      </c>
      <c r="AQ180">
        <v>2</v>
      </c>
      <c r="AR180">
        <v>2162.2435879999998</v>
      </c>
      <c r="AS180" t="s">
        <v>66</v>
      </c>
      <c r="AT180" t="s">
        <v>137</v>
      </c>
    </row>
    <row r="181" spans="1:46">
      <c r="A181">
        <v>513</v>
      </c>
      <c r="B181" t="s">
        <v>46</v>
      </c>
      <c r="C181">
        <v>13</v>
      </c>
      <c r="D181">
        <v>655</v>
      </c>
      <c r="E181" t="s">
        <v>394</v>
      </c>
      <c r="F181" t="s">
        <v>334</v>
      </c>
      <c r="G181">
        <v>13655</v>
      </c>
      <c r="H181">
        <v>13655</v>
      </c>
      <c r="I181" t="s">
        <v>288</v>
      </c>
      <c r="J181">
        <v>1305</v>
      </c>
      <c r="K181" t="s">
        <v>338</v>
      </c>
      <c r="L181" t="s">
        <v>80</v>
      </c>
      <c r="M181" t="s">
        <v>53</v>
      </c>
      <c r="N181">
        <v>11024</v>
      </c>
      <c r="O181" t="s">
        <v>53</v>
      </c>
      <c r="P181" t="s">
        <v>70</v>
      </c>
      <c r="Q181" t="s">
        <v>71</v>
      </c>
      <c r="R181" t="s">
        <v>93</v>
      </c>
      <c r="S181" t="s">
        <v>57</v>
      </c>
      <c r="T181" t="s">
        <v>58</v>
      </c>
      <c r="U181" t="s">
        <v>59</v>
      </c>
      <c r="V181">
        <v>0.75095800000000001</v>
      </c>
      <c r="W181">
        <v>2023</v>
      </c>
      <c r="X181" t="s">
        <v>339</v>
      </c>
      <c r="Y181" t="s">
        <v>340</v>
      </c>
      <c r="Z181" t="str">
        <f t="shared" si="4"/>
        <v>Mayor que 10 - hasta 15</v>
      </c>
      <c r="AA181">
        <f t="shared" si="5"/>
        <v>0</v>
      </c>
      <c r="AB181">
        <v>13655</v>
      </c>
      <c r="AC181" t="s">
        <v>341</v>
      </c>
      <c r="AD181" t="s">
        <v>342</v>
      </c>
      <c r="AE181">
        <v>2.6058889999999999</v>
      </c>
      <c r="AF181" t="s">
        <v>77</v>
      </c>
      <c r="AG181">
        <v>88.073211000000001</v>
      </c>
      <c r="AH181" t="s">
        <v>129</v>
      </c>
      <c r="AI181" t="s">
        <v>130</v>
      </c>
      <c r="AJ181">
        <v>4.8630519999999997</v>
      </c>
      <c r="AK181" t="s">
        <v>85</v>
      </c>
      <c r="AL181">
        <v>211.92064199999999</v>
      </c>
      <c r="AM181" t="s">
        <v>64</v>
      </c>
      <c r="AN181" s="7">
        <v>11601.93241536915</v>
      </c>
      <c r="AO181" t="s">
        <v>65</v>
      </c>
      <c r="AP181" s="3">
        <v>565</v>
      </c>
      <c r="AQ181">
        <v>3</v>
      </c>
      <c r="AR181">
        <v>11481.794936</v>
      </c>
      <c r="AS181" t="s">
        <v>66</v>
      </c>
      <c r="AT181" t="s">
        <v>137</v>
      </c>
    </row>
    <row r="182" spans="1:46">
      <c r="A182">
        <v>514</v>
      </c>
      <c r="B182" t="s">
        <v>46</v>
      </c>
      <c r="C182">
        <v>13</v>
      </c>
      <c r="D182">
        <v>657</v>
      </c>
      <c r="E182" t="s">
        <v>357</v>
      </c>
      <c r="F182" t="s">
        <v>334</v>
      </c>
      <c r="G182">
        <v>13657</v>
      </c>
      <c r="H182">
        <v>13657</v>
      </c>
      <c r="I182" t="s">
        <v>288</v>
      </c>
      <c r="J182">
        <v>1306</v>
      </c>
      <c r="K182" t="s">
        <v>367</v>
      </c>
      <c r="L182" t="s">
        <v>91</v>
      </c>
      <c r="M182" t="s">
        <v>53</v>
      </c>
      <c r="N182">
        <v>40020</v>
      </c>
      <c r="O182" t="s">
        <v>53</v>
      </c>
      <c r="P182" t="s">
        <v>92</v>
      </c>
      <c r="Q182" t="s">
        <v>71</v>
      </c>
      <c r="R182" t="s">
        <v>93</v>
      </c>
      <c r="S182" t="s">
        <v>368</v>
      </c>
      <c r="T182" t="s">
        <v>73</v>
      </c>
      <c r="U182" t="s">
        <v>59</v>
      </c>
      <c r="V182">
        <v>0.59721400000000002</v>
      </c>
      <c r="W182">
        <v>2023</v>
      </c>
      <c r="X182" t="s">
        <v>176</v>
      </c>
      <c r="Y182" t="s">
        <v>177</v>
      </c>
      <c r="Z182" t="str">
        <f t="shared" si="4"/>
        <v>Mayor que 20 - hasta 30</v>
      </c>
      <c r="AA182">
        <f t="shared" si="5"/>
        <v>0</v>
      </c>
      <c r="AB182">
        <v>13657</v>
      </c>
      <c r="AC182" t="s">
        <v>306</v>
      </c>
      <c r="AD182" t="s">
        <v>357</v>
      </c>
      <c r="AE182">
        <v>0</v>
      </c>
      <c r="AF182" t="s">
        <v>63</v>
      </c>
      <c r="AG182">
        <v>0</v>
      </c>
      <c r="AH182" t="s">
        <v>306</v>
      </c>
      <c r="AI182" t="s">
        <v>307</v>
      </c>
      <c r="AJ182">
        <v>1.9648540000000001</v>
      </c>
      <c r="AK182" t="s">
        <v>76</v>
      </c>
      <c r="AL182">
        <v>85.766103999999999</v>
      </c>
      <c r="AM182" t="s">
        <v>64</v>
      </c>
      <c r="AN182" s="7">
        <v>2171.5600391610442</v>
      </c>
      <c r="AO182" t="s">
        <v>65</v>
      </c>
      <c r="AP182" s="3">
        <v>93</v>
      </c>
      <c r="AQ182">
        <v>2</v>
      </c>
      <c r="AR182">
        <v>1269.0735139999999</v>
      </c>
      <c r="AS182" t="s">
        <v>66</v>
      </c>
      <c r="AT182" t="s">
        <v>137</v>
      </c>
    </row>
    <row r="183" spans="1:46">
      <c r="A183">
        <v>515</v>
      </c>
      <c r="B183" t="s">
        <v>46</v>
      </c>
      <c r="C183">
        <v>13</v>
      </c>
      <c r="D183">
        <v>667</v>
      </c>
      <c r="E183" t="s">
        <v>395</v>
      </c>
      <c r="F183" t="s">
        <v>334</v>
      </c>
      <c r="G183">
        <v>13667</v>
      </c>
      <c r="H183">
        <v>13667</v>
      </c>
      <c r="I183" t="s">
        <v>288</v>
      </c>
      <c r="J183">
        <v>1303</v>
      </c>
      <c r="K183" t="s">
        <v>344</v>
      </c>
      <c r="L183" t="s">
        <v>69</v>
      </c>
      <c r="M183" t="s">
        <v>53</v>
      </c>
      <c r="N183">
        <v>15943</v>
      </c>
      <c r="O183" t="s">
        <v>53</v>
      </c>
      <c r="P183" t="s">
        <v>70</v>
      </c>
      <c r="Q183" t="s">
        <v>71</v>
      </c>
      <c r="R183" t="s">
        <v>122</v>
      </c>
      <c r="S183" t="s">
        <v>57</v>
      </c>
      <c r="T183" t="s">
        <v>58</v>
      </c>
      <c r="U183" t="s">
        <v>59</v>
      </c>
      <c r="V183">
        <v>0.79740299999999997</v>
      </c>
      <c r="W183">
        <v>2023</v>
      </c>
      <c r="X183" t="s">
        <v>345</v>
      </c>
      <c r="Y183" t="s">
        <v>346</v>
      </c>
      <c r="Z183" t="str">
        <f t="shared" si="4"/>
        <v>Mayor que 8 - hasta 10</v>
      </c>
      <c r="AA183">
        <f t="shared" si="5"/>
        <v>0</v>
      </c>
      <c r="AB183">
        <v>13667</v>
      </c>
      <c r="AC183" t="s">
        <v>347</v>
      </c>
      <c r="AD183" t="s">
        <v>348</v>
      </c>
      <c r="AE183">
        <v>1.28217</v>
      </c>
      <c r="AF183" t="s">
        <v>76</v>
      </c>
      <c r="AG183">
        <v>38.978889000000002</v>
      </c>
      <c r="AH183" t="s">
        <v>341</v>
      </c>
      <c r="AI183" t="s">
        <v>349</v>
      </c>
      <c r="AJ183">
        <v>4.932823</v>
      </c>
      <c r="AK183" t="s">
        <v>85</v>
      </c>
      <c r="AL183">
        <v>230.693434</v>
      </c>
      <c r="AM183" t="s">
        <v>64</v>
      </c>
      <c r="AN183" s="7">
        <v>103.1438848770261</v>
      </c>
      <c r="AO183" t="s">
        <v>65</v>
      </c>
      <c r="AP183" s="3">
        <v>11</v>
      </c>
      <c r="AQ183">
        <v>2</v>
      </c>
      <c r="AR183">
        <v>164.75899100000001</v>
      </c>
      <c r="AS183" t="s">
        <v>66</v>
      </c>
      <c r="AT183" t="s">
        <v>137</v>
      </c>
    </row>
    <row r="184" spans="1:46">
      <c r="A184">
        <v>516</v>
      </c>
      <c r="B184" t="s">
        <v>46</v>
      </c>
      <c r="C184">
        <v>13</v>
      </c>
      <c r="D184">
        <v>670</v>
      </c>
      <c r="E184" t="s">
        <v>396</v>
      </c>
      <c r="F184" t="s">
        <v>334</v>
      </c>
      <c r="G184">
        <v>13670</v>
      </c>
      <c r="H184">
        <v>13670</v>
      </c>
      <c r="I184" t="s">
        <v>288</v>
      </c>
      <c r="J184">
        <v>1304</v>
      </c>
      <c r="K184" t="s">
        <v>351</v>
      </c>
      <c r="L184" t="s">
        <v>91</v>
      </c>
      <c r="M184" t="s">
        <v>53</v>
      </c>
      <c r="N184">
        <v>29547</v>
      </c>
      <c r="O184" t="s">
        <v>53</v>
      </c>
      <c r="P184" t="s">
        <v>70</v>
      </c>
      <c r="Q184" t="s">
        <v>71</v>
      </c>
      <c r="R184" t="s">
        <v>105</v>
      </c>
      <c r="S184" t="s">
        <v>281</v>
      </c>
      <c r="T184" t="s">
        <v>73</v>
      </c>
      <c r="U184" t="s">
        <v>115</v>
      </c>
      <c r="V184">
        <v>0.60589300000000001</v>
      </c>
      <c r="W184">
        <v>2023</v>
      </c>
      <c r="X184" t="s">
        <v>361</v>
      </c>
      <c r="Y184" t="s">
        <v>362</v>
      </c>
      <c r="Z184" t="str">
        <f t="shared" si="4"/>
        <v>Mayor que 5 - hasta 8</v>
      </c>
      <c r="AA184">
        <f t="shared" si="5"/>
        <v>0</v>
      </c>
      <c r="AB184">
        <v>13670</v>
      </c>
      <c r="AC184" t="s">
        <v>282</v>
      </c>
      <c r="AD184" t="s">
        <v>283</v>
      </c>
      <c r="AE184">
        <v>2.335988</v>
      </c>
      <c r="AF184" t="s">
        <v>77</v>
      </c>
      <c r="AG184">
        <v>71.755339000000006</v>
      </c>
      <c r="AH184" t="s">
        <v>282</v>
      </c>
      <c r="AI184" t="s">
        <v>284</v>
      </c>
      <c r="AJ184">
        <v>4.7593880000000004</v>
      </c>
      <c r="AK184" t="s">
        <v>85</v>
      </c>
      <c r="AL184">
        <v>159.297684</v>
      </c>
      <c r="AM184" t="s">
        <v>64</v>
      </c>
      <c r="AN184" s="7">
        <v>26692.58020022975</v>
      </c>
      <c r="AO184" t="s">
        <v>64</v>
      </c>
      <c r="AP184" s="3">
        <v>444</v>
      </c>
      <c r="AQ184">
        <v>3</v>
      </c>
      <c r="AR184">
        <v>34633.454074000001</v>
      </c>
      <c r="AS184" t="s">
        <v>66</v>
      </c>
      <c r="AT184" t="s">
        <v>137</v>
      </c>
    </row>
    <row r="185" spans="1:46">
      <c r="A185">
        <v>517</v>
      </c>
      <c r="B185" t="s">
        <v>46</v>
      </c>
      <c r="C185">
        <v>13</v>
      </c>
      <c r="D185">
        <v>673</v>
      </c>
      <c r="E185" t="s">
        <v>397</v>
      </c>
      <c r="F185" t="s">
        <v>334</v>
      </c>
      <c r="G185">
        <v>13673</v>
      </c>
      <c r="H185">
        <v>13673</v>
      </c>
      <c r="I185" t="s">
        <v>288</v>
      </c>
      <c r="J185">
        <v>1302</v>
      </c>
      <c r="K185" t="s">
        <v>335</v>
      </c>
      <c r="L185" t="s">
        <v>91</v>
      </c>
      <c r="M185" t="s">
        <v>53</v>
      </c>
      <c r="N185">
        <v>15889</v>
      </c>
      <c r="O185" t="s">
        <v>53</v>
      </c>
      <c r="P185" t="s">
        <v>70</v>
      </c>
      <c r="Q185" t="s">
        <v>71</v>
      </c>
      <c r="R185" t="s">
        <v>56</v>
      </c>
      <c r="S185" t="s">
        <v>57</v>
      </c>
      <c r="T185" t="s">
        <v>58</v>
      </c>
      <c r="U185" t="s">
        <v>81</v>
      </c>
      <c r="V185">
        <v>0.78811399999999998</v>
      </c>
      <c r="W185">
        <v>2023</v>
      </c>
      <c r="X185" t="s">
        <v>109</v>
      </c>
      <c r="Y185" t="s">
        <v>110</v>
      </c>
      <c r="Z185" t="str">
        <f t="shared" si="4"/>
        <v>Mayor que 30 - hasta 40</v>
      </c>
      <c r="AA185">
        <f t="shared" si="5"/>
        <v>0</v>
      </c>
      <c r="AB185">
        <v>13673</v>
      </c>
      <c r="AC185" t="s">
        <v>306</v>
      </c>
      <c r="AD185" t="s">
        <v>371</v>
      </c>
      <c r="AE185">
        <v>0.90766599999999997</v>
      </c>
      <c r="AF185" t="s">
        <v>63</v>
      </c>
      <c r="AG185">
        <v>43.973000999999996</v>
      </c>
      <c r="AH185" t="s">
        <v>306</v>
      </c>
      <c r="AI185" t="s">
        <v>307</v>
      </c>
      <c r="AJ185">
        <v>0.92585200000000001</v>
      </c>
      <c r="AK185" t="s">
        <v>63</v>
      </c>
      <c r="AL185">
        <v>43.855843999999998</v>
      </c>
      <c r="AM185" t="s">
        <v>64</v>
      </c>
      <c r="AN185" s="7">
        <v>2792.430827721018</v>
      </c>
      <c r="AO185" t="s">
        <v>65</v>
      </c>
      <c r="AP185" s="3">
        <v>166</v>
      </c>
      <c r="AQ185">
        <v>2</v>
      </c>
      <c r="AR185">
        <v>2754.609915</v>
      </c>
      <c r="AS185" t="s">
        <v>66</v>
      </c>
      <c r="AT185" t="s">
        <v>137</v>
      </c>
    </row>
    <row r="186" spans="1:46">
      <c r="A186">
        <v>518</v>
      </c>
      <c r="B186" t="s">
        <v>46</v>
      </c>
      <c r="C186">
        <v>13</v>
      </c>
      <c r="D186">
        <v>683</v>
      </c>
      <c r="E186" t="s">
        <v>398</v>
      </c>
      <c r="F186" t="s">
        <v>334</v>
      </c>
      <c r="G186">
        <v>13683</v>
      </c>
      <c r="H186">
        <v>13683</v>
      </c>
      <c r="I186" t="s">
        <v>288</v>
      </c>
      <c r="J186">
        <v>1302</v>
      </c>
      <c r="K186" t="s">
        <v>335</v>
      </c>
      <c r="L186" t="s">
        <v>51</v>
      </c>
      <c r="M186" t="s">
        <v>53</v>
      </c>
      <c r="N186">
        <v>22736</v>
      </c>
      <c r="O186" t="s">
        <v>53</v>
      </c>
      <c r="P186" t="s">
        <v>70</v>
      </c>
      <c r="Q186" t="s">
        <v>71</v>
      </c>
      <c r="R186" t="s">
        <v>93</v>
      </c>
      <c r="S186" t="s">
        <v>57</v>
      </c>
      <c r="T186" t="s">
        <v>58</v>
      </c>
      <c r="U186" t="s">
        <v>101</v>
      </c>
      <c r="V186">
        <v>0.84595299999999995</v>
      </c>
      <c r="W186">
        <v>2023</v>
      </c>
      <c r="X186" t="s">
        <v>217</v>
      </c>
      <c r="Y186" t="s">
        <v>218</v>
      </c>
      <c r="Z186" t="str">
        <f t="shared" si="4"/>
        <v>Mayor que 40 - hasta 50</v>
      </c>
      <c r="AA186">
        <f t="shared" si="5"/>
        <v>0</v>
      </c>
      <c r="AB186">
        <v>13683</v>
      </c>
      <c r="AC186" t="s">
        <v>306</v>
      </c>
      <c r="AD186" t="s">
        <v>371</v>
      </c>
      <c r="AE186">
        <v>0.497693</v>
      </c>
      <c r="AF186" t="s">
        <v>63</v>
      </c>
      <c r="AG186">
        <v>22.420815000000001</v>
      </c>
      <c r="AH186" t="s">
        <v>306</v>
      </c>
      <c r="AI186" t="s">
        <v>307</v>
      </c>
      <c r="AJ186">
        <v>0.51587899999999998</v>
      </c>
      <c r="AK186" t="s">
        <v>63</v>
      </c>
      <c r="AL186">
        <v>22.303657999999999</v>
      </c>
      <c r="AM186" t="s">
        <v>64</v>
      </c>
      <c r="AN186" s="7">
        <v>400.86322930441452</v>
      </c>
      <c r="AO186" t="s">
        <v>65</v>
      </c>
      <c r="AP186" s="3">
        <v>57</v>
      </c>
      <c r="AQ186">
        <v>3</v>
      </c>
      <c r="AR186">
        <v>555.89004199999999</v>
      </c>
      <c r="AS186" t="s">
        <v>66</v>
      </c>
      <c r="AT186" t="s">
        <v>137</v>
      </c>
    </row>
    <row r="187" spans="1:46">
      <c r="A187">
        <v>519</v>
      </c>
      <c r="B187" t="s">
        <v>46</v>
      </c>
      <c r="C187">
        <v>13</v>
      </c>
      <c r="D187">
        <v>688</v>
      </c>
      <c r="E187" t="s">
        <v>399</v>
      </c>
      <c r="F187" t="s">
        <v>334</v>
      </c>
      <c r="G187">
        <v>13688</v>
      </c>
      <c r="H187">
        <v>13688</v>
      </c>
      <c r="I187" t="s">
        <v>288</v>
      </c>
      <c r="J187">
        <v>1304</v>
      </c>
      <c r="K187" t="s">
        <v>351</v>
      </c>
      <c r="L187" t="s">
        <v>69</v>
      </c>
      <c r="M187" t="s">
        <v>53</v>
      </c>
      <c r="N187">
        <v>35854</v>
      </c>
      <c r="O187" t="s">
        <v>53</v>
      </c>
      <c r="P187" t="s">
        <v>92</v>
      </c>
      <c r="Q187" t="s">
        <v>71</v>
      </c>
      <c r="R187" t="s">
        <v>122</v>
      </c>
      <c r="S187" t="s">
        <v>281</v>
      </c>
      <c r="T187" t="s">
        <v>73</v>
      </c>
      <c r="U187" t="s">
        <v>101</v>
      </c>
      <c r="V187">
        <v>0.63863599999999998</v>
      </c>
      <c r="W187">
        <v>2023</v>
      </c>
      <c r="X187" t="s">
        <v>345</v>
      </c>
      <c r="Y187" t="s">
        <v>346</v>
      </c>
      <c r="Z187" t="str">
        <f t="shared" si="4"/>
        <v>Mayor que 8 - hasta 10</v>
      </c>
      <c r="AA187">
        <f t="shared" si="5"/>
        <v>0</v>
      </c>
      <c r="AB187">
        <v>13688</v>
      </c>
      <c r="AC187" t="s">
        <v>282</v>
      </c>
      <c r="AD187" t="s">
        <v>283</v>
      </c>
      <c r="AE187">
        <v>4.5717100000000004</v>
      </c>
      <c r="AF187" t="s">
        <v>85</v>
      </c>
      <c r="AG187">
        <v>152.01311699999999</v>
      </c>
      <c r="AH187" t="s">
        <v>282</v>
      </c>
      <c r="AI187" t="s">
        <v>284</v>
      </c>
      <c r="AJ187">
        <v>6.9951100000000004</v>
      </c>
      <c r="AK187" t="s">
        <v>354</v>
      </c>
      <c r="AL187">
        <v>239.55546200000001</v>
      </c>
      <c r="AM187" t="s">
        <v>64</v>
      </c>
      <c r="AN187" s="7">
        <v>871.51178784796934</v>
      </c>
      <c r="AO187" t="s">
        <v>65</v>
      </c>
      <c r="AP187" s="3">
        <v>140</v>
      </c>
      <c r="AQ187">
        <v>3</v>
      </c>
      <c r="AR187">
        <v>687.50780299999997</v>
      </c>
      <c r="AS187" t="s">
        <v>66</v>
      </c>
      <c r="AT187" t="s">
        <v>137</v>
      </c>
    </row>
    <row r="188" spans="1:46">
      <c r="A188">
        <v>520</v>
      </c>
      <c r="B188" t="s">
        <v>46</v>
      </c>
      <c r="C188">
        <v>13</v>
      </c>
      <c r="D188">
        <v>744</v>
      </c>
      <c r="E188" t="s">
        <v>400</v>
      </c>
      <c r="F188" t="s">
        <v>334</v>
      </c>
      <c r="G188">
        <v>13744</v>
      </c>
      <c r="H188">
        <v>13744</v>
      </c>
      <c r="I188" t="s">
        <v>288</v>
      </c>
      <c r="J188">
        <v>1304</v>
      </c>
      <c r="K188" t="s">
        <v>351</v>
      </c>
      <c r="L188" t="s">
        <v>69</v>
      </c>
      <c r="M188" t="s">
        <v>53</v>
      </c>
      <c r="N188">
        <v>19902</v>
      </c>
      <c r="O188" t="s">
        <v>53</v>
      </c>
      <c r="P188" t="s">
        <v>70</v>
      </c>
      <c r="Q188" t="s">
        <v>71</v>
      </c>
      <c r="R188" t="s">
        <v>72</v>
      </c>
      <c r="S188" t="s">
        <v>281</v>
      </c>
      <c r="T188" t="s">
        <v>73</v>
      </c>
      <c r="U188" t="s">
        <v>101</v>
      </c>
      <c r="V188">
        <v>0.59837200000000001</v>
      </c>
      <c r="W188">
        <v>2023</v>
      </c>
      <c r="X188" t="s">
        <v>345</v>
      </c>
      <c r="Y188" t="s">
        <v>346</v>
      </c>
      <c r="Z188" t="str">
        <f t="shared" si="4"/>
        <v>Mayor que 8 - hasta 10</v>
      </c>
      <c r="AA188">
        <f t="shared" si="5"/>
        <v>0</v>
      </c>
      <c r="AB188">
        <v>13744</v>
      </c>
      <c r="AC188" t="s">
        <v>282</v>
      </c>
      <c r="AD188" t="s">
        <v>283</v>
      </c>
      <c r="AE188">
        <v>4.1406770000000002</v>
      </c>
      <c r="AF188" t="s">
        <v>85</v>
      </c>
      <c r="AG188">
        <v>139.67636400000001</v>
      </c>
      <c r="AH188" t="s">
        <v>282</v>
      </c>
      <c r="AI188" t="s">
        <v>284</v>
      </c>
      <c r="AJ188">
        <v>6.5640770000000002</v>
      </c>
      <c r="AK188" t="s">
        <v>354</v>
      </c>
      <c r="AL188">
        <v>227.21870799999999</v>
      </c>
      <c r="AM188" t="s">
        <v>64</v>
      </c>
      <c r="AN188" s="7">
        <v>18001.773933402259</v>
      </c>
      <c r="AO188" t="s">
        <v>64</v>
      </c>
      <c r="AP188" s="3">
        <v>380</v>
      </c>
      <c r="AQ188">
        <v>3</v>
      </c>
      <c r="AR188">
        <v>18230.009687999998</v>
      </c>
      <c r="AS188" t="s">
        <v>66</v>
      </c>
      <c r="AT188" t="s">
        <v>137</v>
      </c>
    </row>
    <row r="189" spans="1:46">
      <c r="A189">
        <v>521</v>
      </c>
      <c r="B189" t="s">
        <v>46</v>
      </c>
      <c r="C189">
        <v>13</v>
      </c>
      <c r="D189">
        <v>760</v>
      </c>
      <c r="E189" t="s">
        <v>401</v>
      </c>
      <c r="F189" t="s">
        <v>334</v>
      </c>
      <c r="G189">
        <v>13760</v>
      </c>
      <c r="H189">
        <v>13760</v>
      </c>
      <c r="I189" t="s">
        <v>288</v>
      </c>
      <c r="J189">
        <v>1302</v>
      </c>
      <c r="K189" t="s">
        <v>335</v>
      </c>
      <c r="L189" t="s">
        <v>91</v>
      </c>
      <c r="M189" t="s">
        <v>53</v>
      </c>
      <c r="N189">
        <v>11585</v>
      </c>
      <c r="O189" t="s">
        <v>53</v>
      </c>
      <c r="P189" t="s">
        <v>70</v>
      </c>
      <c r="Q189" t="s">
        <v>71</v>
      </c>
      <c r="R189" t="s">
        <v>122</v>
      </c>
      <c r="S189" t="s">
        <v>57</v>
      </c>
      <c r="T189" t="s">
        <v>58</v>
      </c>
      <c r="U189" t="s">
        <v>81</v>
      </c>
      <c r="V189">
        <v>0.78761099999999995</v>
      </c>
      <c r="W189">
        <v>2023</v>
      </c>
      <c r="X189" t="s">
        <v>176</v>
      </c>
      <c r="Y189" t="s">
        <v>177</v>
      </c>
      <c r="Z189" t="str">
        <f t="shared" si="4"/>
        <v>Mayor que 20 - hasta 30</v>
      </c>
      <c r="AA189">
        <f t="shared" si="5"/>
        <v>0</v>
      </c>
      <c r="AB189">
        <v>13760</v>
      </c>
      <c r="AC189" t="s">
        <v>306</v>
      </c>
      <c r="AD189" t="s">
        <v>355</v>
      </c>
      <c r="AE189">
        <v>0.954453</v>
      </c>
      <c r="AF189" t="s">
        <v>63</v>
      </c>
      <c r="AG189">
        <v>34.244574</v>
      </c>
      <c r="AH189" t="s">
        <v>306</v>
      </c>
      <c r="AI189" t="s">
        <v>307</v>
      </c>
      <c r="AJ189">
        <v>1.436355</v>
      </c>
      <c r="AK189" t="s">
        <v>76</v>
      </c>
      <c r="AL189">
        <v>53.294322000000001</v>
      </c>
      <c r="AM189" t="s">
        <v>65</v>
      </c>
      <c r="AN189" s="7">
        <v>186.58426416025509</v>
      </c>
      <c r="AO189" t="s">
        <v>65</v>
      </c>
      <c r="AP189" s="3">
        <v>34</v>
      </c>
      <c r="AQ189">
        <v>3</v>
      </c>
      <c r="AR189">
        <v>190.77419399999999</v>
      </c>
      <c r="AS189" t="s">
        <v>66</v>
      </c>
      <c r="AT189" t="s">
        <v>137</v>
      </c>
    </row>
    <row r="190" spans="1:46">
      <c r="A190">
        <v>522</v>
      </c>
      <c r="B190" t="s">
        <v>46</v>
      </c>
      <c r="C190">
        <v>13</v>
      </c>
      <c r="D190">
        <v>780</v>
      </c>
      <c r="E190" t="s">
        <v>402</v>
      </c>
      <c r="F190" t="s">
        <v>334</v>
      </c>
      <c r="G190">
        <v>13780</v>
      </c>
      <c r="H190">
        <v>13780</v>
      </c>
      <c r="I190" t="s">
        <v>288</v>
      </c>
      <c r="J190">
        <v>1301</v>
      </c>
      <c r="K190" t="s">
        <v>364</v>
      </c>
      <c r="L190" t="s">
        <v>69</v>
      </c>
      <c r="M190" t="s">
        <v>53</v>
      </c>
      <c r="N190">
        <v>13906</v>
      </c>
      <c r="O190" t="s">
        <v>53</v>
      </c>
      <c r="P190" t="s">
        <v>70</v>
      </c>
      <c r="Q190" t="s">
        <v>71</v>
      </c>
      <c r="R190" t="s">
        <v>93</v>
      </c>
      <c r="S190" t="s">
        <v>57</v>
      </c>
      <c r="T190" t="s">
        <v>58</v>
      </c>
      <c r="U190" t="s">
        <v>81</v>
      </c>
      <c r="V190">
        <v>0.60681099999999999</v>
      </c>
      <c r="W190">
        <v>2023</v>
      </c>
      <c r="X190" t="s">
        <v>345</v>
      </c>
      <c r="Y190" t="s">
        <v>346</v>
      </c>
      <c r="Z190" t="str">
        <f t="shared" si="4"/>
        <v>Mayor que 8 - hasta 10</v>
      </c>
      <c r="AA190">
        <f t="shared" si="5"/>
        <v>0</v>
      </c>
      <c r="AB190">
        <v>13780</v>
      </c>
      <c r="AC190" t="s">
        <v>306</v>
      </c>
      <c r="AD190" t="s">
        <v>365</v>
      </c>
      <c r="AE190">
        <v>0.68668099999999999</v>
      </c>
      <c r="AF190" t="s">
        <v>63</v>
      </c>
      <c r="AG190">
        <v>35.229140999999998</v>
      </c>
      <c r="AH190" t="s">
        <v>341</v>
      </c>
      <c r="AI190" t="s">
        <v>349</v>
      </c>
      <c r="AJ190">
        <v>2.6608619999999998</v>
      </c>
      <c r="AK190" t="s">
        <v>77</v>
      </c>
      <c r="AL190">
        <v>127.106515</v>
      </c>
      <c r="AM190" t="s">
        <v>65</v>
      </c>
      <c r="AN190" s="7">
        <v>1421.7275581787851</v>
      </c>
      <c r="AO190" t="s">
        <v>65</v>
      </c>
      <c r="AP190" s="3">
        <v>379</v>
      </c>
      <c r="AQ190">
        <v>3</v>
      </c>
      <c r="AR190">
        <v>747.70229300000005</v>
      </c>
      <c r="AS190" t="s">
        <v>66</v>
      </c>
      <c r="AT190" t="s">
        <v>137</v>
      </c>
    </row>
    <row r="191" spans="1:46">
      <c r="A191">
        <v>523</v>
      </c>
      <c r="B191" t="s">
        <v>46</v>
      </c>
      <c r="C191">
        <v>13</v>
      </c>
      <c r="D191">
        <v>810</v>
      </c>
      <c r="E191" t="s">
        <v>403</v>
      </c>
      <c r="F191" t="s">
        <v>334</v>
      </c>
      <c r="G191">
        <v>13810</v>
      </c>
      <c r="H191">
        <v>13810</v>
      </c>
      <c r="I191" t="s">
        <v>288</v>
      </c>
      <c r="J191">
        <v>1305</v>
      </c>
      <c r="K191" t="s">
        <v>338</v>
      </c>
      <c r="L191" t="s">
        <v>80</v>
      </c>
      <c r="M191" t="s">
        <v>53</v>
      </c>
      <c r="N191">
        <v>19500</v>
      </c>
      <c r="O191" t="s">
        <v>53</v>
      </c>
      <c r="P191" t="s">
        <v>70</v>
      </c>
      <c r="Q191" t="s">
        <v>71</v>
      </c>
      <c r="R191" t="s">
        <v>56</v>
      </c>
      <c r="S191" t="s">
        <v>57</v>
      </c>
      <c r="T191" t="s">
        <v>73</v>
      </c>
      <c r="U191" t="s">
        <v>101</v>
      </c>
      <c r="V191">
        <v>0.790045</v>
      </c>
      <c r="W191">
        <v>2023</v>
      </c>
      <c r="X191" t="s">
        <v>361</v>
      </c>
      <c r="Y191" t="s">
        <v>362</v>
      </c>
      <c r="Z191" t="str">
        <f t="shared" si="4"/>
        <v>Mayor que 5 - hasta 8</v>
      </c>
      <c r="AA191">
        <f t="shared" si="5"/>
        <v>0</v>
      </c>
      <c r="AB191">
        <v>13810</v>
      </c>
      <c r="AC191" t="s">
        <v>347</v>
      </c>
      <c r="AD191" t="s">
        <v>348</v>
      </c>
      <c r="AE191">
        <v>3.03972</v>
      </c>
      <c r="AF191" t="s">
        <v>84</v>
      </c>
      <c r="AG191">
        <v>106.17443</v>
      </c>
      <c r="AH191" t="s">
        <v>341</v>
      </c>
      <c r="AI191" t="s">
        <v>349</v>
      </c>
      <c r="AJ191">
        <v>6.6903740000000003</v>
      </c>
      <c r="AK191" t="s">
        <v>354</v>
      </c>
      <c r="AL191">
        <v>297.88897500000002</v>
      </c>
      <c r="AM191" t="s">
        <v>64</v>
      </c>
      <c r="AN191" s="7">
        <v>1181.8017605510461</v>
      </c>
      <c r="AO191" t="s">
        <v>64</v>
      </c>
      <c r="AP191" s="3">
        <v>37</v>
      </c>
      <c r="AQ191">
        <v>2</v>
      </c>
      <c r="AR191">
        <v>594.33382600000004</v>
      </c>
      <c r="AS191" t="s">
        <v>66</v>
      </c>
      <c r="AT191" t="s">
        <v>137</v>
      </c>
    </row>
    <row r="192" spans="1:46">
      <c r="A192">
        <v>524</v>
      </c>
      <c r="B192" t="s">
        <v>46</v>
      </c>
      <c r="C192">
        <v>13</v>
      </c>
      <c r="D192">
        <v>836</v>
      </c>
      <c r="E192" t="s">
        <v>371</v>
      </c>
      <c r="F192" t="s">
        <v>334</v>
      </c>
      <c r="G192">
        <v>13836</v>
      </c>
      <c r="H192">
        <v>13836</v>
      </c>
      <c r="I192" t="s">
        <v>288</v>
      </c>
      <c r="J192">
        <v>1302</v>
      </c>
      <c r="K192" t="s">
        <v>335</v>
      </c>
      <c r="L192" t="s">
        <v>51</v>
      </c>
      <c r="M192" t="s">
        <v>53</v>
      </c>
      <c r="N192">
        <v>114716</v>
      </c>
      <c r="O192" t="s">
        <v>53</v>
      </c>
      <c r="P192" t="s">
        <v>54</v>
      </c>
      <c r="Q192" t="s">
        <v>118</v>
      </c>
      <c r="R192" t="s">
        <v>72</v>
      </c>
      <c r="S192" t="s">
        <v>57</v>
      </c>
      <c r="T192" t="s">
        <v>58</v>
      </c>
      <c r="U192" t="s">
        <v>59</v>
      </c>
      <c r="V192">
        <v>0.40382099999999999</v>
      </c>
      <c r="W192">
        <v>2023</v>
      </c>
      <c r="X192" t="s">
        <v>106</v>
      </c>
      <c r="Y192" t="s">
        <v>107</v>
      </c>
      <c r="Z192" t="str">
        <f t="shared" si="4"/>
        <v>Mayor que 80 - hasta 100</v>
      </c>
      <c r="AA192">
        <f t="shared" si="5"/>
        <v>0</v>
      </c>
      <c r="AB192">
        <v>13836</v>
      </c>
      <c r="AC192" t="s">
        <v>306</v>
      </c>
      <c r="AD192" t="s">
        <v>371</v>
      </c>
      <c r="AE192">
        <v>0</v>
      </c>
      <c r="AF192" t="s">
        <v>63</v>
      </c>
      <c r="AG192">
        <v>0</v>
      </c>
      <c r="AH192" t="s">
        <v>306</v>
      </c>
      <c r="AI192" t="s">
        <v>307</v>
      </c>
      <c r="AJ192">
        <v>0.35682999999999998</v>
      </c>
      <c r="AK192" t="s">
        <v>63</v>
      </c>
      <c r="AL192">
        <v>12.992388</v>
      </c>
      <c r="AM192" t="s">
        <v>64</v>
      </c>
      <c r="AN192" s="7">
        <v>1943.6495701037049</v>
      </c>
      <c r="AO192" t="s">
        <v>65</v>
      </c>
      <c r="AP192" s="3">
        <v>605</v>
      </c>
      <c r="AQ192">
        <v>3</v>
      </c>
      <c r="AR192">
        <v>2810.0538339999998</v>
      </c>
      <c r="AS192" t="s">
        <v>66</v>
      </c>
      <c r="AT192" t="s">
        <v>137</v>
      </c>
    </row>
    <row r="193" spans="1:46">
      <c r="A193">
        <v>525</v>
      </c>
      <c r="B193" t="s">
        <v>46</v>
      </c>
      <c r="C193">
        <v>13</v>
      </c>
      <c r="D193">
        <v>838</v>
      </c>
      <c r="E193" t="s">
        <v>404</v>
      </c>
      <c r="F193" t="s">
        <v>334</v>
      </c>
      <c r="G193">
        <v>13838</v>
      </c>
      <c r="H193">
        <v>13838</v>
      </c>
      <c r="I193" t="s">
        <v>288</v>
      </c>
      <c r="J193">
        <v>1302</v>
      </c>
      <c r="K193" t="s">
        <v>335</v>
      </c>
      <c r="L193" t="s">
        <v>51</v>
      </c>
      <c r="M193" t="s">
        <v>53</v>
      </c>
      <c r="N193">
        <v>17776</v>
      </c>
      <c r="O193" t="s">
        <v>53</v>
      </c>
      <c r="P193" t="s">
        <v>70</v>
      </c>
      <c r="Q193" t="s">
        <v>71</v>
      </c>
      <c r="R193" t="s">
        <v>56</v>
      </c>
      <c r="S193" t="s">
        <v>57</v>
      </c>
      <c r="T193" t="s">
        <v>58</v>
      </c>
      <c r="U193" t="s">
        <v>59</v>
      </c>
      <c r="V193">
        <v>0.332625</v>
      </c>
      <c r="W193">
        <v>2023</v>
      </c>
      <c r="X193" t="s">
        <v>109</v>
      </c>
      <c r="Y193" t="s">
        <v>110</v>
      </c>
      <c r="Z193" t="str">
        <f t="shared" si="4"/>
        <v>Mayor que 30 - hasta 40</v>
      </c>
      <c r="AA193">
        <f t="shared" si="5"/>
        <v>0</v>
      </c>
      <c r="AB193">
        <v>13838</v>
      </c>
      <c r="AC193" t="s">
        <v>306</v>
      </c>
      <c r="AD193" t="s">
        <v>371</v>
      </c>
      <c r="AE193">
        <v>0.402333</v>
      </c>
      <c r="AF193" t="s">
        <v>63</v>
      </c>
      <c r="AG193">
        <v>8.7982759999999995</v>
      </c>
      <c r="AH193" t="s">
        <v>306</v>
      </c>
      <c r="AI193" t="s">
        <v>307</v>
      </c>
      <c r="AJ193">
        <v>0.59392199999999995</v>
      </c>
      <c r="AK193" t="s">
        <v>63</v>
      </c>
      <c r="AL193">
        <v>24.020814999999999</v>
      </c>
      <c r="AM193" t="s">
        <v>64</v>
      </c>
      <c r="AN193" s="7">
        <v>2750.5476399700401</v>
      </c>
      <c r="AO193" t="s">
        <v>64</v>
      </c>
      <c r="AP193" s="3">
        <v>60</v>
      </c>
      <c r="AQ193">
        <v>2</v>
      </c>
      <c r="AR193">
        <v>2876.1885000000002</v>
      </c>
      <c r="AS193" t="s">
        <v>66</v>
      </c>
      <c r="AT193" t="s">
        <v>137</v>
      </c>
    </row>
    <row r="194" spans="1:46">
      <c r="A194">
        <v>526</v>
      </c>
      <c r="B194" t="s">
        <v>46</v>
      </c>
      <c r="C194">
        <v>13</v>
      </c>
      <c r="D194">
        <v>873</v>
      </c>
      <c r="E194" t="s">
        <v>405</v>
      </c>
      <c r="F194" t="s">
        <v>334</v>
      </c>
      <c r="G194">
        <v>13873</v>
      </c>
      <c r="H194">
        <v>13873</v>
      </c>
      <c r="I194" t="s">
        <v>288</v>
      </c>
      <c r="J194">
        <v>1302</v>
      </c>
      <c r="K194" t="s">
        <v>335</v>
      </c>
      <c r="L194" t="s">
        <v>51</v>
      </c>
      <c r="M194" t="s">
        <v>53</v>
      </c>
      <c r="N194">
        <v>25795</v>
      </c>
      <c r="O194" t="s">
        <v>53</v>
      </c>
      <c r="P194" t="s">
        <v>70</v>
      </c>
      <c r="Q194" t="s">
        <v>71</v>
      </c>
      <c r="R194" t="s">
        <v>249</v>
      </c>
      <c r="S194" t="s">
        <v>57</v>
      </c>
      <c r="T194" t="s">
        <v>58</v>
      </c>
      <c r="U194" t="s">
        <v>59</v>
      </c>
      <c r="V194">
        <v>0.52678599999999998</v>
      </c>
      <c r="W194">
        <v>2023</v>
      </c>
      <c r="X194" t="s">
        <v>106</v>
      </c>
      <c r="Y194" t="s">
        <v>107</v>
      </c>
      <c r="Z194" t="str">
        <f t="shared" si="4"/>
        <v>Mayor que 80 - hasta 100</v>
      </c>
      <c r="AA194">
        <f t="shared" si="5"/>
        <v>0</v>
      </c>
      <c r="AB194">
        <v>13873</v>
      </c>
      <c r="AC194" t="s">
        <v>306</v>
      </c>
      <c r="AD194" t="s">
        <v>371</v>
      </c>
      <c r="AE194">
        <v>0.82887200000000005</v>
      </c>
      <c r="AF194" t="s">
        <v>63</v>
      </c>
      <c r="AG194">
        <v>34.960512000000001</v>
      </c>
      <c r="AH194" t="s">
        <v>306</v>
      </c>
      <c r="AI194" t="s">
        <v>307</v>
      </c>
      <c r="AJ194">
        <v>0.84705799999999998</v>
      </c>
      <c r="AK194" t="s">
        <v>63</v>
      </c>
      <c r="AL194">
        <v>34.843355000000003</v>
      </c>
      <c r="AM194" t="s">
        <v>64</v>
      </c>
      <c r="AN194" s="7">
        <v>444.7493915494457</v>
      </c>
      <c r="AO194" t="s">
        <v>65</v>
      </c>
      <c r="AP194" s="3">
        <v>123</v>
      </c>
      <c r="AQ194">
        <v>2</v>
      </c>
      <c r="AR194">
        <v>513.81765099999996</v>
      </c>
      <c r="AS194" t="s">
        <v>66</v>
      </c>
      <c r="AT194" t="s">
        <v>137</v>
      </c>
    </row>
    <row r="195" spans="1:46">
      <c r="A195">
        <v>527</v>
      </c>
      <c r="B195" t="s">
        <v>46</v>
      </c>
      <c r="C195">
        <v>13</v>
      </c>
      <c r="D195">
        <v>894</v>
      </c>
      <c r="E195" t="s">
        <v>406</v>
      </c>
      <c r="F195" t="s">
        <v>334</v>
      </c>
      <c r="G195">
        <v>13894</v>
      </c>
      <c r="H195">
        <v>13894</v>
      </c>
      <c r="I195" t="s">
        <v>288</v>
      </c>
      <c r="J195">
        <v>1306</v>
      </c>
      <c r="K195" t="s">
        <v>367</v>
      </c>
      <c r="L195" t="s">
        <v>69</v>
      </c>
      <c r="M195" t="s">
        <v>53</v>
      </c>
      <c r="N195">
        <v>12795</v>
      </c>
      <c r="O195" t="s">
        <v>53</v>
      </c>
      <c r="P195" t="s">
        <v>70</v>
      </c>
      <c r="Q195" t="s">
        <v>71</v>
      </c>
      <c r="R195" t="s">
        <v>122</v>
      </c>
      <c r="S195" t="s">
        <v>368</v>
      </c>
      <c r="T195" t="s">
        <v>73</v>
      </c>
      <c r="U195" t="s">
        <v>119</v>
      </c>
      <c r="V195">
        <v>0.483709</v>
      </c>
      <c r="W195">
        <v>2023</v>
      </c>
      <c r="X195" t="s">
        <v>339</v>
      </c>
      <c r="Y195" t="s">
        <v>340</v>
      </c>
      <c r="Z195" t="str">
        <f t="shared" ref="Z195:Z258" si="6">IF(LEFT(Y195,10)="Irradiado_",
   RIGHT(Y195, LEN(Y195)-10),   Y195)</f>
        <v>Mayor que 10 - hasta 15</v>
      </c>
      <c r="AA195">
        <f t="shared" ref="AA195:AA258" si="7">IF(LEFT(Y195,10)="Irradiado_", 1, 0)</f>
        <v>0</v>
      </c>
      <c r="AB195">
        <v>13894</v>
      </c>
      <c r="AC195" t="s">
        <v>347</v>
      </c>
      <c r="AD195" t="s">
        <v>369</v>
      </c>
      <c r="AE195">
        <v>0.29824499999999998</v>
      </c>
      <c r="AF195" t="s">
        <v>63</v>
      </c>
      <c r="AG195">
        <v>10.156853999999999</v>
      </c>
      <c r="AH195" t="s">
        <v>341</v>
      </c>
      <c r="AI195" t="s">
        <v>349</v>
      </c>
      <c r="AJ195">
        <v>2.3709739999999999</v>
      </c>
      <c r="AK195" t="s">
        <v>77</v>
      </c>
      <c r="AL195">
        <v>110.004076</v>
      </c>
      <c r="AM195" t="s">
        <v>97</v>
      </c>
      <c r="AN195" s="7">
        <v>1851.751936071104</v>
      </c>
      <c r="AO195" t="s">
        <v>97</v>
      </c>
      <c r="AP195" s="3">
        <v>9</v>
      </c>
      <c r="AQ195">
        <v>2</v>
      </c>
      <c r="AR195">
        <v>1072.96216</v>
      </c>
      <c r="AS195" t="s">
        <v>66</v>
      </c>
      <c r="AT195" t="s">
        <v>137</v>
      </c>
    </row>
    <row r="196" spans="1:46">
      <c r="A196">
        <v>633</v>
      </c>
      <c r="B196" t="s">
        <v>46</v>
      </c>
      <c r="C196">
        <v>15</v>
      </c>
      <c r="D196">
        <v>1</v>
      </c>
      <c r="E196" t="s">
        <v>407</v>
      </c>
      <c r="F196" t="s">
        <v>408</v>
      </c>
      <c r="G196">
        <v>15001</v>
      </c>
      <c r="H196">
        <v>15001</v>
      </c>
      <c r="I196" t="s">
        <v>49</v>
      </c>
      <c r="J196">
        <v>1501</v>
      </c>
      <c r="K196" t="s">
        <v>409</v>
      </c>
      <c r="L196" t="s">
        <v>51</v>
      </c>
      <c r="M196" t="s">
        <v>52</v>
      </c>
      <c r="N196">
        <v>185469</v>
      </c>
      <c r="O196" t="s">
        <v>53</v>
      </c>
      <c r="P196" t="s">
        <v>54</v>
      </c>
      <c r="Q196" t="s">
        <v>138</v>
      </c>
      <c r="R196" t="s">
        <v>122</v>
      </c>
      <c r="S196" t="s">
        <v>57</v>
      </c>
      <c r="T196" t="s">
        <v>58</v>
      </c>
      <c r="U196" t="s">
        <v>81</v>
      </c>
      <c r="V196">
        <v>0.56405799999999995</v>
      </c>
      <c r="W196" t="s">
        <v>53</v>
      </c>
      <c r="X196" t="s">
        <v>53</v>
      </c>
      <c r="Y196" t="s">
        <v>228</v>
      </c>
      <c r="Z196" t="str">
        <f t="shared" si="6"/>
        <v>Mayor que 180 - hasta 200</v>
      </c>
      <c r="AA196">
        <f t="shared" si="7"/>
        <v>1</v>
      </c>
      <c r="AB196">
        <v>15001</v>
      </c>
      <c r="AC196" t="s">
        <v>234</v>
      </c>
      <c r="AD196" t="s">
        <v>407</v>
      </c>
      <c r="AE196">
        <v>0</v>
      </c>
      <c r="AF196" t="s">
        <v>63</v>
      </c>
      <c r="AG196">
        <v>0</v>
      </c>
      <c r="AH196" t="s">
        <v>234</v>
      </c>
      <c r="AI196" t="s">
        <v>407</v>
      </c>
      <c r="AJ196">
        <v>0</v>
      </c>
      <c r="AK196" t="s">
        <v>63</v>
      </c>
      <c r="AL196">
        <v>0</v>
      </c>
      <c r="AM196" s="4" t="s">
        <v>65</v>
      </c>
      <c r="AN196" s="5">
        <v>6605.6283558076975</v>
      </c>
      <c r="AO196" s="4" t="s">
        <v>65</v>
      </c>
      <c r="AP196" s="6">
        <v>3871</v>
      </c>
      <c r="AQ196">
        <v>3</v>
      </c>
      <c r="AR196">
        <v>5500.8278849999997</v>
      </c>
      <c r="AS196" t="s">
        <v>66</v>
      </c>
      <c r="AT196" t="s">
        <v>53</v>
      </c>
    </row>
    <row r="197" spans="1:46">
      <c r="A197">
        <v>634</v>
      </c>
      <c r="B197" t="s">
        <v>46</v>
      </c>
      <c r="C197">
        <v>15</v>
      </c>
      <c r="D197">
        <v>22</v>
      </c>
      <c r="E197" t="s">
        <v>410</v>
      </c>
      <c r="F197" t="s">
        <v>408</v>
      </c>
      <c r="G197">
        <v>15022</v>
      </c>
      <c r="H197">
        <v>15022</v>
      </c>
      <c r="I197" t="s">
        <v>49</v>
      </c>
      <c r="J197">
        <v>1509</v>
      </c>
      <c r="K197" t="s">
        <v>68</v>
      </c>
      <c r="L197" t="s">
        <v>80</v>
      </c>
      <c r="M197" t="s">
        <v>53</v>
      </c>
      <c r="N197">
        <v>2030</v>
      </c>
      <c r="O197" t="s">
        <v>53</v>
      </c>
      <c r="P197" t="s">
        <v>70</v>
      </c>
      <c r="Q197" t="s">
        <v>71</v>
      </c>
      <c r="R197" t="s">
        <v>105</v>
      </c>
      <c r="S197" t="s">
        <v>57</v>
      </c>
      <c r="T197" t="s">
        <v>58</v>
      </c>
      <c r="U197" t="s">
        <v>81</v>
      </c>
      <c r="V197">
        <v>0.70216000000000001</v>
      </c>
      <c r="W197" t="s">
        <v>53</v>
      </c>
      <c r="X197" t="s">
        <v>53</v>
      </c>
      <c r="Y197" t="s">
        <v>102</v>
      </c>
      <c r="Z197" t="str">
        <f t="shared" si="6"/>
        <v>Mayor que 20 - hasta 30</v>
      </c>
      <c r="AA197">
        <f t="shared" si="7"/>
        <v>1</v>
      </c>
      <c r="AB197">
        <v>15022</v>
      </c>
      <c r="AC197" t="s">
        <v>330</v>
      </c>
      <c r="AD197" t="s">
        <v>411</v>
      </c>
      <c r="AE197">
        <v>2.6299079999999999</v>
      </c>
      <c r="AF197" t="s">
        <v>77</v>
      </c>
      <c r="AG197">
        <v>86.561941000000004</v>
      </c>
      <c r="AH197" t="s">
        <v>330</v>
      </c>
      <c r="AI197" t="s">
        <v>332</v>
      </c>
      <c r="AJ197">
        <v>3.576883</v>
      </c>
      <c r="AK197" t="s">
        <v>84</v>
      </c>
      <c r="AL197">
        <v>135.98225099999999</v>
      </c>
      <c r="AM197" s="4" t="s">
        <v>65</v>
      </c>
      <c r="AN197" s="5">
        <v>4407.4201345007741</v>
      </c>
      <c r="AO197" s="4" t="s">
        <v>65</v>
      </c>
      <c r="AP197" s="6">
        <v>1813</v>
      </c>
      <c r="AQ197">
        <v>3</v>
      </c>
      <c r="AR197">
        <v>4021.4065409999998</v>
      </c>
      <c r="AS197" t="s">
        <v>66</v>
      </c>
      <c r="AT197" t="s">
        <v>53</v>
      </c>
    </row>
    <row r="198" spans="1:46">
      <c r="A198">
        <v>635</v>
      </c>
      <c r="B198" t="s">
        <v>46</v>
      </c>
      <c r="C198">
        <v>15</v>
      </c>
      <c r="D198">
        <v>47</v>
      </c>
      <c r="E198" t="s">
        <v>412</v>
      </c>
      <c r="F198" t="s">
        <v>408</v>
      </c>
      <c r="G198">
        <v>15047</v>
      </c>
      <c r="H198">
        <v>15047</v>
      </c>
      <c r="I198" t="s">
        <v>49</v>
      </c>
      <c r="J198">
        <v>1511</v>
      </c>
      <c r="K198" t="s">
        <v>413</v>
      </c>
      <c r="L198" t="s">
        <v>69</v>
      </c>
      <c r="M198" t="s">
        <v>53</v>
      </c>
      <c r="N198">
        <v>16319</v>
      </c>
      <c r="O198" t="s">
        <v>53</v>
      </c>
      <c r="P198" t="s">
        <v>70</v>
      </c>
      <c r="Q198" t="s">
        <v>71</v>
      </c>
      <c r="R198" t="s">
        <v>93</v>
      </c>
      <c r="S198" t="s">
        <v>57</v>
      </c>
      <c r="T198" t="s">
        <v>58</v>
      </c>
      <c r="U198" t="s">
        <v>81</v>
      </c>
      <c r="V198">
        <v>0.89218500000000001</v>
      </c>
      <c r="W198">
        <v>2021</v>
      </c>
      <c r="X198" t="s">
        <v>414</v>
      </c>
      <c r="Y198" t="s">
        <v>415</v>
      </c>
      <c r="Z198" t="str">
        <f t="shared" si="6"/>
        <v>Mayor que 200 - hasta 250</v>
      </c>
      <c r="AA198">
        <f t="shared" si="7"/>
        <v>0</v>
      </c>
      <c r="AB198">
        <v>15047</v>
      </c>
      <c r="AC198" t="s">
        <v>234</v>
      </c>
      <c r="AD198" t="s">
        <v>416</v>
      </c>
      <c r="AE198">
        <v>1.1079939999999999</v>
      </c>
      <c r="AF198" t="s">
        <v>76</v>
      </c>
      <c r="AG198">
        <v>30.529140999999999</v>
      </c>
      <c r="AH198" t="s">
        <v>234</v>
      </c>
      <c r="AI198" t="s">
        <v>407</v>
      </c>
      <c r="AJ198">
        <v>2.6469179999999999</v>
      </c>
      <c r="AK198" t="s">
        <v>77</v>
      </c>
      <c r="AL198">
        <v>100.375649</v>
      </c>
      <c r="AM198" t="s">
        <v>65</v>
      </c>
      <c r="AN198" s="7">
        <v>289.82138285682493</v>
      </c>
      <c r="AO198" t="s">
        <v>65</v>
      </c>
      <c r="AP198" s="3">
        <v>563</v>
      </c>
      <c r="AQ198">
        <v>4</v>
      </c>
      <c r="AR198">
        <v>230.65868399999999</v>
      </c>
      <c r="AS198" t="s">
        <v>66</v>
      </c>
      <c r="AT198" t="s">
        <v>137</v>
      </c>
    </row>
    <row r="199" spans="1:46">
      <c r="A199">
        <v>636</v>
      </c>
      <c r="B199" t="s">
        <v>46</v>
      </c>
      <c r="C199">
        <v>15</v>
      </c>
      <c r="D199">
        <v>51</v>
      </c>
      <c r="E199" t="s">
        <v>417</v>
      </c>
      <c r="F199" t="s">
        <v>408</v>
      </c>
      <c r="G199">
        <v>15051</v>
      </c>
      <c r="H199">
        <v>15051</v>
      </c>
      <c r="I199" t="s">
        <v>49</v>
      </c>
      <c r="J199">
        <v>1510</v>
      </c>
      <c r="K199" t="s">
        <v>418</v>
      </c>
      <c r="L199" t="s">
        <v>69</v>
      </c>
      <c r="M199" t="s">
        <v>53</v>
      </c>
      <c r="N199">
        <v>6265</v>
      </c>
      <c r="O199" t="s">
        <v>53</v>
      </c>
      <c r="P199" t="s">
        <v>70</v>
      </c>
      <c r="Q199" t="s">
        <v>71</v>
      </c>
      <c r="R199" t="s">
        <v>72</v>
      </c>
      <c r="S199" t="s">
        <v>57</v>
      </c>
      <c r="T199" t="s">
        <v>58</v>
      </c>
      <c r="U199" t="s">
        <v>81</v>
      </c>
      <c r="V199">
        <v>0.52689600000000003</v>
      </c>
      <c r="W199" t="s">
        <v>53</v>
      </c>
      <c r="X199" t="s">
        <v>53</v>
      </c>
      <c r="Y199" t="s">
        <v>116</v>
      </c>
      <c r="Z199" t="str">
        <f t="shared" si="6"/>
        <v>Mayor que 30 - hasta 40</v>
      </c>
      <c r="AA199">
        <f t="shared" si="7"/>
        <v>1</v>
      </c>
      <c r="AB199">
        <v>15051</v>
      </c>
      <c r="AC199" t="s">
        <v>234</v>
      </c>
      <c r="AD199" t="s">
        <v>407</v>
      </c>
      <c r="AE199">
        <v>1.003851</v>
      </c>
      <c r="AF199" t="s">
        <v>76</v>
      </c>
      <c r="AG199">
        <v>34.346299000000002</v>
      </c>
      <c r="AH199" t="s">
        <v>234</v>
      </c>
      <c r="AI199" t="s">
        <v>407</v>
      </c>
      <c r="AJ199">
        <v>0.98612</v>
      </c>
      <c r="AK199" t="s">
        <v>63</v>
      </c>
      <c r="AL199">
        <v>33.946299000000003</v>
      </c>
      <c r="AM199" s="4" t="s">
        <v>65</v>
      </c>
      <c r="AN199" s="5">
        <v>7088.0031424592926</v>
      </c>
      <c r="AO199" s="4" t="s">
        <v>65</v>
      </c>
      <c r="AP199" s="6">
        <v>2444</v>
      </c>
      <c r="AQ199">
        <v>3</v>
      </c>
      <c r="AR199">
        <v>3965.7093359999999</v>
      </c>
      <c r="AS199" t="s">
        <v>66</v>
      </c>
      <c r="AT199" t="s">
        <v>53</v>
      </c>
    </row>
    <row r="200" spans="1:46">
      <c r="A200">
        <v>637</v>
      </c>
      <c r="B200" t="s">
        <v>46</v>
      </c>
      <c r="C200">
        <v>15</v>
      </c>
      <c r="D200">
        <v>87</v>
      </c>
      <c r="E200" t="s">
        <v>419</v>
      </c>
      <c r="F200" t="s">
        <v>408</v>
      </c>
      <c r="G200">
        <v>15087</v>
      </c>
      <c r="H200">
        <v>15087</v>
      </c>
      <c r="I200" t="s">
        <v>49</v>
      </c>
      <c r="J200">
        <v>1512</v>
      </c>
      <c r="K200" t="s">
        <v>420</v>
      </c>
      <c r="L200" t="s">
        <v>69</v>
      </c>
      <c r="M200" t="s">
        <v>53</v>
      </c>
      <c r="N200">
        <v>7914</v>
      </c>
      <c r="O200" t="s">
        <v>53</v>
      </c>
      <c r="P200" t="s">
        <v>70</v>
      </c>
      <c r="Q200" t="s">
        <v>71</v>
      </c>
      <c r="R200" t="s">
        <v>122</v>
      </c>
      <c r="S200" t="s">
        <v>57</v>
      </c>
      <c r="T200" t="s">
        <v>58</v>
      </c>
      <c r="U200" t="s">
        <v>81</v>
      </c>
      <c r="V200">
        <v>0.67047500000000004</v>
      </c>
      <c r="W200" t="s">
        <v>53</v>
      </c>
      <c r="X200" t="s">
        <v>53</v>
      </c>
      <c r="Y200" t="s">
        <v>187</v>
      </c>
      <c r="Z200" t="str">
        <f t="shared" si="6"/>
        <v>Mayor que 80 - hasta 100</v>
      </c>
      <c r="AA200">
        <f t="shared" si="7"/>
        <v>1</v>
      </c>
      <c r="AB200">
        <v>15087</v>
      </c>
      <c r="AC200" t="s">
        <v>234</v>
      </c>
      <c r="AD200" t="s">
        <v>421</v>
      </c>
      <c r="AE200">
        <v>0.71255599999999997</v>
      </c>
      <c r="AF200" t="s">
        <v>63</v>
      </c>
      <c r="AG200">
        <v>26.063455999999999</v>
      </c>
      <c r="AH200" t="s">
        <v>234</v>
      </c>
      <c r="AI200" t="s">
        <v>407</v>
      </c>
      <c r="AJ200">
        <v>1.906517</v>
      </c>
      <c r="AK200" t="s">
        <v>76</v>
      </c>
      <c r="AL200">
        <v>81.273211000000003</v>
      </c>
      <c r="AM200" s="4" t="s">
        <v>65</v>
      </c>
      <c r="AN200" s="5">
        <v>8567.6763455153286</v>
      </c>
      <c r="AO200" s="4" t="s">
        <v>65</v>
      </c>
      <c r="AP200" s="6">
        <v>4760</v>
      </c>
      <c r="AQ200">
        <v>4</v>
      </c>
      <c r="AR200">
        <v>4806.2521340000003</v>
      </c>
      <c r="AS200" t="s">
        <v>66</v>
      </c>
      <c r="AT200" t="s">
        <v>53</v>
      </c>
    </row>
    <row r="201" spans="1:46">
      <c r="A201">
        <v>638</v>
      </c>
      <c r="B201" t="s">
        <v>46</v>
      </c>
      <c r="C201">
        <v>15</v>
      </c>
      <c r="D201">
        <v>90</v>
      </c>
      <c r="E201" t="s">
        <v>422</v>
      </c>
      <c r="F201" t="s">
        <v>408</v>
      </c>
      <c r="G201">
        <v>15090</v>
      </c>
      <c r="H201">
        <v>15090</v>
      </c>
      <c r="I201" t="s">
        <v>49</v>
      </c>
      <c r="J201">
        <v>1504</v>
      </c>
      <c r="K201" t="s">
        <v>423</v>
      </c>
      <c r="L201" t="s">
        <v>80</v>
      </c>
      <c r="M201" t="s">
        <v>53</v>
      </c>
      <c r="N201">
        <v>1664</v>
      </c>
      <c r="O201" t="s">
        <v>53</v>
      </c>
      <c r="P201" t="s">
        <v>70</v>
      </c>
      <c r="Q201" t="s">
        <v>71</v>
      </c>
      <c r="R201" t="s">
        <v>72</v>
      </c>
      <c r="S201" t="s">
        <v>57</v>
      </c>
      <c r="T201" t="s">
        <v>58</v>
      </c>
      <c r="U201" t="s">
        <v>81</v>
      </c>
      <c r="V201">
        <v>0.50049299999999997</v>
      </c>
      <c r="W201" t="s">
        <v>53</v>
      </c>
      <c r="X201" t="s">
        <v>53</v>
      </c>
      <c r="Y201" t="s">
        <v>116</v>
      </c>
      <c r="Z201" t="str">
        <f t="shared" si="6"/>
        <v>Mayor que 30 - hasta 40</v>
      </c>
      <c r="AA201">
        <f t="shared" si="7"/>
        <v>1</v>
      </c>
      <c r="AB201">
        <v>15090</v>
      </c>
      <c r="AC201" t="s">
        <v>234</v>
      </c>
      <c r="AD201" t="s">
        <v>407</v>
      </c>
      <c r="AE201">
        <v>2.618665</v>
      </c>
      <c r="AF201" t="s">
        <v>77</v>
      </c>
      <c r="AG201">
        <v>63.679603</v>
      </c>
      <c r="AH201" t="s">
        <v>234</v>
      </c>
      <c r="AI201" t="s">
        <v>407</v>
      </c>
      <c r="AJ201">
        <v>2.625804</v>
      </c>
      <c r="AK201" t="s">
        <v>77</v>
      </c>
      <c r="AL201">
        <v>64.021023999999997</v>
      </c>
      <c r="AM201" s="4" t="s">
        <v>65</v>
      </c>
      <c r="AN201" s="5">
        <v>3385.5248737600396</v>
      </c>
      <c r="AO201" s="4" t="s">
        <v>65</v>
      </c>
      <c r="AP201" s="6">
        <v>955</v>
      </c>
      <c r="AQ201">
        <v>4</v>
      </c>
      <c r="AR201">
        <v>3922.7565060000002</v>
      </c>
      <c r="AS201" t="s">
        <v>66</v>
      </c>
      <c r="AT201" t="s">
        <v>53</v>
      </c>
    </row>
    <row r="202" spans="1:46">
      <c r="A202">
        <v>639</v>
      </c>
      <c r="B202" t="s">
        <v>46</v>
      </c>
      <c r="C202">
        <v>15</v>
      </c>
      <c r="D202">
        <v>92</v>
      </c>
      <c r="E202" t="s">
        <v>424</v>
      </c>
      <c r="F202" t="s">
        <v>408</v>
      </c>
      <c r="G202">
        <v>15092</v>
      </c>
      <c r="H202">
        <v>15092</v>
      </c>
      <c r="I202" t="s">
        <v>49</v>
      </c>
      <c r="J202">
        <v>1513</v>
      </c>
      <c r="K202" t="s">
        <v>425</v>
      </c>
      <c r="L202" t="s">
        <v>80</v>
      </c>
      <c r="M202" t="s">
        <v>53</v>
      </c>
      <c r="N202">
        <v>2047</v>
      </c>
      <c r="O202" t="s">
        <v>53</v>
      </c>
      <c r="P202" t="s">
        <v>70</v>
      </c>
      <c r="Q202" t="s">
        <v>71</v>
      </c>
      <c r="R202" t="s">
        <v>105</v>
      </c>
      <c r="S202" t="s">
        <v>57</v>
      </c>
      <c r="T202" t="s">
        <v>58</v>
      </c>
      <c r="U202" t="s">
        <v>81</v>
      </c>
      <c r="V202">
        <v>0.63526400000000005</v>
      </c>
      <c r="W202" t="s">
        <v>53</v>
      </c>
      <c r="X202" t="s">
        <v>53</v>
      </c>
      <c r="Y202" t="s">
        <v>165</v>
      </c>
      <c r="Z202" t="str">
        <f t="shared" si="6"/>
        <v>Mayor que 60 - hasta 70</v>
      </c>
      <c r="AA202">
        <f t="shared" si="7"/>
        <v>1</v>
      </c>
      <c r="AB202">
        <v>15092</v>
      </c>
      <c r="AC202" t="s">
        <v>234</v>
      </c>
      <c r="AD202" t="s">
        <v>416</v>
      </c>
      <c r="AE202">
        <v>1.1921440000000001</v>
      </c>
      <c r="AF202" t="s">
        <v>76</v>
      </c>
      <c r="AG202">
        <v>31.701934000000001</v>
      </c>
      <c r="AH202" t="s">
        <v>234</v>
      </c>
      <c r="AI202" t="s">
        <v>407</v>
      </c>
      <c r="AJ202">
        <v>2.6222089999999998</v>
      </c>
      <c r="AK202" t="s">
        <v>77</v>
      </c>
      <c r="AL202">
        <v>100.217071</v>
      </c>
      <c r="AM202" s="4" t="s">
        <v>65</v>
      </c>
      <c r="AN202" s="5">
        <v>6672.7614065777325</v>
      </c>
      <c r="AO202" s="4" t="s">
        <v>65</v>
      </c>
      <c r="AP202" s="6">
        <v>3126</v>
      </c>
      <c r="AQ202">
        <v>4</v>
      </c>
      <c r="AR202">
        <v>5783.9724960000003</v>
      </c>
      <c r="AS202" t="s">
        <v>66</v>
      </c>
      <c r="AT202" t="s">
        <v>53</v>
      </c>
    </row>
    <row r="203" spans="1:46">
      <c r="A203">
        <v>640</v>
      </c>
      <c r="B203" t="s">
        <v>46</v>
      </c>
      <c r="C203">
        <v>15</v>
      </c>
      <c r="D203">
        <v>97</v>
      </c>
      <c r="E203" t="s">
        <v>426</v>
      </c>
      <c r="F203" t="s">
        <v>408</v>
      </c>
      <c r="G203">
        <v>15097</v>
      </c>
      <c r="H203">
        <v>15097</v>
      </c>
      <c r="I203" t="s">
        <v>49</v>
      </c>
      <c r="J203">
        <v>1507</v>
      </c>
      <c r="K203" t="s">
        <v>112</v>
      </c>
      <c r="L203" t="s">
        <v>69</v>
      </c>
      <c r="M203" t="s">
        <v>53</v>
      </c>
      <c r="N203">
        <v>5368</v>
      </c>
      <c r="O203" t="s">
        <v>53</v>
      </c>
      <c r="P203" t="s">
        <v>70</v>
      </c>
      <c r="Q203" t="s">
        <v>71</v>
      </c>
      <c r="R203" t="s">
        <v>72</v>
      </c>
      <c r="S203" t="s">
        <v>57</v>
      </c>
      <c r="T203" t="s">
        <v>58</v>
      </c>
      <c r="U203" t="s">
        <v>81</v>
      </c>
      <c r="V203">
        <v>0.74839699999999998</v>
      </c>
      <c r="W203" t="s">
        <v>53</v>
      </c>
      <c r="X203" t="s">
        <v>53</v>
      </c>
      <c r="Y203" t="s">
        <v>87</v>
      </c>
      <c r="Z203" t="str">
        <f t="shared" si="6"/>
        <v>Mayor que 40 - hasta 50</v>
      </c>
      <c r="AA203">
        <f t="shared" si="7"/>
        <v>1</v>
      </c>
      <c r="AB203">
        <v>15097</v>
      </c>
      <c r="AC203" t="s">
        <v>234</v>
      </c>
      <c r="AD203" t="s">
        <v>421</v>
      </c>
      <c r="AE203">
        <v>3.418231</v>
      </c>
      <c r="AF203" t="s">
        <v>84</v>
      </c>
      <c r="AG203">
        <v>102.60996400000001</v>
      </c>
      <c r="AH203" t="s">
        <v>234</v>
      </c>
      <c r="AI203" t="s">
        <v>407</v>
      </c>
      <c r="AJ203">
        <v>4.6121920000000003</v>
      </c>
      <c r="AK203" t="s">
        <v>85</v>
      </c>
      <c r="AL203">
        <v>157.81971799999999</v>
      </c>
      <c r="AM203" s="4" t="s">
        <v>65</v>
      </c>
      <c r="AN203" s="5">
        <v>9299.95151175297</v>
      </c>
      <c r="AO203" s="4" t="s">
        <v>65</v>
      </c>
      <c r="AP203" s="6">
        <v>3722</v>
      </c>
      <c r="AQ203">
        <v>4</v>
      </c>
      <c r="AR203">
        <v>6959.7976749999998</v>
      </c>
      <c r="AS203" t="s">
        <v>66</v>
      </c>
      <c r="AT203" t="s">
        <v>53</v>
      </c>
    </row>
    <row r="204" spans="1:46">
      <c r="A204">
        <v>641</v>
      </c>
      <c r="B204" t="s">
        <v>46</v>
      </c>
      <c r="C204">
        <v>15</v>
      </c>
      <c r="D204">
        <v>104</v>
      </c>
      <c r="E204" t="s">
        <v>408</v>
      </c>
      <c r="F204" t="s">
        <v>408</v>
      </c>
      <c r="G204">
        <v>15104</v>
      </c>
      <c r="H204">
        <v>15104</v>
      </c>
      <c r="I204" t="s">
        <v>49</v>
      </c>
      <c r="J204">
        <v>1505</v>
      </c>
      <c r="K204" t="s">
        <v>427</v>
      </c>
      <c r="L204" t="s">
        <v>69</v>
      </c>
      <c r="M204" t="s">
        <v>53</v>
      </c>
      <c r="N204">
        <v>5392</v>
      </c>
      <c r="O204" t="s">
        <v>53</v>
      </c>
      <c r="P204" t="s">
        <v>70</v>
      </c>
      <c r="Q204" t="s">
        <v>71</v>
      </c>
      <c r="R204" t="s">
        <v>93</v>
      </c>
      <c r="S204" t="s">
        <v>57</v>
      </c>
      <c r="T204" t="s">
        <v>58</v>
      </c>
      <c r="U204" t="s">
        <v>81</v>
      </c>
      <c r="V204">
        <v>0.29176099999999999</v>
      </c>
      <c r="W204" t="s">
        <v>53</v>
      </c>
      <c r="X204" t="s">
        <v>53</v>
      </c>
      <c r="Y204" t="s">
        <v>136</v>
      </c>
      <c r="Z204" t="str">
        <f t="shared" si="6"/>
        <v>Mayor que 100 - hasta 120</v>
      </c>
      <c r="AA204">
        <f t="shared" si="7"/>
        <v>1</v>
      </c>
      <c r="AB204">
        <v>15104</v>
      </c>
      <c r="AC204" t="s">
        <v>234</v>
      </c>
      <c r="AD204" t="s">
        <v>407</v>
      </c>
      <c r="AE204">
        <v>0.53688199999999997</v>
      </c>
      <c r="AF204" t="s">
        <v>63</v>
      </c>
      <c r="AG204">
        <v>15.192387999999999</v>
      </c>
      <c r="AH204" t="s">
        <v>234</v>
      </c>
      <c r="AI204" t="s">
        <v>407</v>
      </c>
      <c r="AJ204">
        <v>0.54401999999999995</v>
      </c>
      <c r="AK204" t="s">
        <v>63</v>
      </c>
      <c r="AL204">
        <v>15.533810000000001</v>
      </c>
      <c r="AM204" s="4" t="s">
        <v>65</v>
      </c>
      <c r="AN204" s="5">
        <v>4565.3238119236084</v>
      </c>
      <c r="AO204" s="4" t="s">
        <v>65</v>
      </c>
      <c r="AP204" s="6">
        <v>5153</v>
      </c>
      <c r="AQ204">
        <v>4</v>
      </c>
      <c r="AR204">
        <v>2720.0201999999999</v>
      </c>
      <c r="AS204" t="s">
        <v>66</v>
      </c>
      <c r="AT204" t="s">
        <v>53</v>
      </c>
    </row>
    <row r="205" spans="1:46">
      <c r="A205">
        <v>642</v>
      </c>
      <c r="B205" t="s">
        <v>46</v>
      </c>
      <c r="C205">
        <v>15</v>
      </c>
      <c r="D205">
        <v>106</v>
      </c>
      <c r="E205" t="s">
        <v>149</v>
      </c>
      <c r="F205" t="s">
        <v>408</v>
      </c>
      <c r="G205">
        <v>15106</v>
      </c>
      <c r="H205">
        <v>15106</v>
      </c>
      <c r="I205" t="s">
        <v>49</v>
      </c>
      <c r="J205">
        <v>1508</v>
      </c>
      <c r="K205" t="s">
        <v>79</v>
      </c>
      <c r="L205" t="s">
        <v>69</v>
      </c>
      <c r="M205" t="s">
        <v>53</v>
      </c>
      <c r="N205">
        <v>2297</v>
      </c>
      <c r="O205" t="s">
        <v>53</v>
      </c>
      <c r="P205" t="s">
        <v>70</v>
      </c>
      <c r="Q205" t="s">
        <v>71</v>
      </c>
      <c r="R205" t="s">
        <v>93</v>
      </c>
      <c r="S205" t="s">
        <v>57</v>
      </c>
      <c r="T205" t="s">
        <v>58</v>
      </c>
      <c r="U205" t="s">
        <v>81</v>
      </c>
      <c r="V205">
        <v>0.78549999999999998</v>
      </c>
      <c r="W205" t="s">
        <v>53</v>
      </c>
      <c r="X205" t="s">
        <v>53</v>
      </c>
      <c r="Y205" t="s">
        <v>116</v>
      </c>
      <c r="Z205" t="str">
        <f t="shared" si="6"/>
        <v>Mayor que 30 - hasta 40</v>
      </c>
      <c r="AA205">
        <f t="shared" si="7"/>
        <v>1</v>
      </c>
      <c r="AB205">
        <v>15106</v>
      </c>
      <c r="AC205" t="s">
        <v>234</v>
      </c>
      <c r="AD205" t="s">
        <v>428</v>
      </c>
      <c r="AE205">
        <v>1.191578</v>
      </c>
      <c r="AF205" t="s">
        <v>76</v>
      </c>
      <c r="AG205">
        <v>32.940410999999997</v>
      </c>
      <c r="AH205" t="s">
        <v>234</v>
      </c>
      <c r="AI205" t="s">
        <v>407</v>
      </c>
      <c r="AJ205">
        <v>3.1992259999999999</v>
      </c>
      <c r="AK205" t="s">
        <v>84</v>
      </c>
      <c r="AL205">
        <v>104.862655</v>
      </c>
      <c r="AM205" s="4" t="s">
        <v>65</v>
      </c>
      <c r="AN205" s="5">
        <v>5495.5740803708904</v>
      </c>
      <c r="AO205" s="4" t="s">
        <v>65</v>
      </c>
      <c r="AP205" s="6">
        <v>1517</v>
      </c>
      <c r="AQ205">
        <v>4</v>
      </c>
      <c r="AR205">
        <v>3899.418885</v>
      </c>
      <c r="AS205" t="s">
        <v>66</v>
      </c>
      <c r="AT205" t="s">
        <v>53</v>
      </c>
    </row>
    <row r="206" spans="1:46">
      <c r="A206">
        <v>643</v>
      </c>
      <c r="B206" t="s">
        <v>46</v>
      </c>
      <c r="C206">
        <v>15</v>
      </c>
      <c r="D206">
        <v>109</v>
      </c>
      <c r="E206" t="s">
        <v>429</v>
      </c>
      <c r="F206" t="s">
        <v>408</v>
      </c>
      <c r="G206">
        <v>15109</v>
      </c>
      <c r="H206">
        <v>15109</v>
      </c>
      <c r="I206" t="s">
        <v>49</v>
      </c>
      <c r="J206">
        <v>1508</v>
      </c>
      <c r="K206" t="s">
        <v>79</v>
      </c>
      <c r="L206" t="s">
        <v>69</v>
      </c>
      <c r="M206" t="s">
        <v>53</v>
      </c>
      <c r="N206">
        <v>4626</v>
      </c>
      <c r="O206" t="s">
        <v>53</v>
      </c>
      <c r="P206" t="s">
        <v>70</v>
      </c>
      <c r="Q206" t="s">
        <v>71</v>
      </c>
      <c r="R206" t="s">
        <v>93</v>
      </c>
      <c r="S206" t="s">
        <v>57</v>
      </c>
      <c r="T206" t="s">
        <v>58</v>
      </c>
      <c r="U206" t="s">
        <v>81</v>
      </c>
      <c r="V206">
        <v>0.659937</v>
      </c>
      <c r="W206" t="s">
        <v>53</v>
      </c>
      <c r="X206" t="s">
        <v>53</v>
      </c>
      <c r="Y206" t="s">
        <v>167</v>
      </c>
      <c r="Z206" t="str">
        <f t="shared" si="6"/>
        <v>Mayor que 50 - hasta 60</v>
      </c>
      <c r="AA206">
        <f t="shared" si="7"/>
        <v>1</v>
      </c>
      <c r="AB206">
        <v>15109</v>
      </c>
      <c r="AC206" t="s">
        <v>234</v>
      </c>
      <c r="AD206" t="s">
        <v>428</v>
      </c>
      <c r="AE206">
        <v>0.80684699999999998</v>
      </c>
      <c r="AF206" t="s">
        <v>63</v>
      </c>
      <c r="AG206">
        <v>23.566400000000002</v>
      </c>
      <c r="AH206" t="s">
        <v>234</v>
      </c>
      <c r="AI206" t="s">
        <v>407</v>
      </c>
      <c r="AJ206">
        <v>2.814495</v>
      </c>
      <c r="AK206" t="s">
        <v>77</v>
      </c>
      <c r="AL206">
        <v>95.488643999999994</v>
      </c>
      <c r="AM206" s="4" t="s">
        <v>65</v>
      </c>
      <c r="AN206" s="5">
        <v>9021.9953458166874</v>
      </c>
      <c r="AO206" s="4" t="s">
        <v>65</v>
      </c>
      <c r="AP206" s="6">
        <v>2775</v>
      </c>
      <c r="AQ206">
        <v>4</v>
      </c>
      <c r="AR206">
        <v>7708.4569229999997</v>
      </c>
      <c r="AS206" t="s">
        <v>66</v>
      </c>
      <c r="AT206" t="s">
        <v>53</v>
      </c>
    </row>
    <row r="207" spans="1:46">
      <c r="A207">
        <v>644</v>
      </c>
      <c r="B207" t="s">
        <v>46</v>
      </c>
      <c r="C207">
        <v>15</v>
      </c>
      <c r="D207">
        <v>114</v>
      </c>
      <c r="E207" t="s">
        <v>430</v>
      </c>
      <c r="F207" t="s">
        <v>408</v>
      </c>
      <c r="G207">
        <v>15114</v>
      </c>
      <c r="H207">
        <v>15114</v>
      </c>
      <c r="I207" t="s">
        <v>49</v>
      </c>
      <c r="J207">
        <v>1512</v>
      </c>
      <c r="K207" t="s">
        <v>420</v>
      </c>
      <c r="L207" t="s">
        <v>69</v>
      </c>
      <c r="M207" t="s">
        <v>53</v>
      </c>
      <c r="N207">
        <v>1202</v>
      </c>
      <c r="O207" t="s">
        <v>53</v>
      </c>
      <c r="P207" t="s">
        <v>70</v>
      </c>
      <c r="Q207" t="s">
        <v>71</v>
      </c>
      <c r="R207" t="s">
        <v>105</v>
      </c>
      <c r="S207" t="s">
        <v>57</v>
      </c>
      <c r="T207" t="s">
        <v>58</v>
      </c>
      <c r="U207" t="s">
        <v>81</v>
      </c>
      <c r="V207">
        <v>0.85806499999999997</v>
      </c>
      <c r="W207" t="s">
        <v>53</v>
      </c>
      <c r="X207" t="s">
        <v>53</v>
      </c>
      <c r="Y207" t="s">
        <v>165</v>
      </c>
      <c r="Z207" t="str">
        <f t="shared" si="6"/>
        <v>Mayor que 60 - hasta 70</v>
      </c>
      <c r="AA207">
        <f t="shared" si="7"/>
        <v>1</v>
      </c>
      <c r="AB207">
        <v>15114</v>
      </c>
      <c r="AC207" t="s">
        <v>234</v>
      </c>
      <c r="AD207" t="s">
        <v>416</v>
      </c>
      <c r="AE207">
        <v>0.83167800000000003</v>
      </c>
      <c r="AF207" t="s">
        <v>63</v>
      </c>
      <c r="AG207">
        <v>24.503658000000001</v>
      </c>
      <c r="AH207" t="s">
        <v>234</v>
      </c>
      <c r="AI207" t="s">
        <v>407</v>
      </c>
      <c r="AJ207">
        <v>2.0295860000000001</v>
      </c>
      <c r="AK207" t="s">
        <v>77</v>
      </c>
      <c r="AL207">
        <v>79.658996999999999</v>
      </c>
      <c r="AM207" s="4" t="s">
        <v>65</v>
      </c>
      <c r="AN207" s="5">
        <v>1964.0219826572552</v>
      </c>
      <c r="AO207" s="4" t="s">
        <v>65</v>
      </c>
      <c r="AP207" s="6">
        <v>741</v>
      </c>
      <c r="AQ207">
        <v>4</v>
      </c>
      <c r="AR207">
        <v>1812.3233499999999</v>
      </c>
      <c r="AS207" t="s">
        <v>66</v>
      </c>
      <c r="AT207" t="s">
        <v>53</v>
      </c>
    </row>
    <row r="208" spans="1:46">
      <c r="A208">
        <v>645</v>
      </c>
      <c r="B208" t="s">
        <v>46</v>
      </c>
      <c r="C208">
        <v>15</v>
      </c>
      <c r="D208">
        <v>131</v>
      </c>
      <c r="E208" t="s">
        <v>96</v>
      </c>
      <c r="F208" t="s">
        <v>408</v>
      </c>
      <c r="G208">
        <v>15131</v>
      </c>
      <c r="H208">
        <v>15131</v>
      </c>
      <c r="I208" t="s">
        <v>49</v>
      </c>
      <c r="J208">
        <v>1508</v>
      </c>
      <c r="K208" t="s">
        <v>79</v>
      </c>
      <c r="L208" t="s">
        <v>80</v>
      </c>
      <c r="M208" t="s">
        <v>53</v>
      </c>
      <c r="N208">
        <v>3296</v>
      </c>
      <c r="O208" t="s">
        <v>53</v>
      </c>
      <c r="P208" t="s">
        <v>70</v>
      </c>
      <c r="Q208" t="s">
        <v>71</v>
      </c>
      <c r="R208" t="s">
        <v>122</v>
      </c>
      <c r="S208" t="s">
        <v>57</v>
      </c>
      <c r="T208" t="s">
        <v>58</v>
      </c>
      <c r="U208" t="s">
        <v>81</v>
      </c>
      <c r="V208">
        <v>0.71306000000000003</v>
      </c>
      <c r="W208" t="s">
        <v>53</v>
      </c>
      <c r="X208" t="s">
        <v>53</v>
      </c>
      <c r="Y208" t="s">
        <v>167</v>
      </c>
      <c r="Z208" t="str">
        <f t="shared" si="6"/>
        <v>Mayor que 50 - hasta 60</v>
      </c>
      <c r="AA208">
        <f t="shared" si="7"/>
        <v>1</v>
      </c>
      <c r="AB208">
        <v>15131</v>
      </c>
      <c r="AC208" t="s">
        <v>234</v>
      </c>
      <c r="AD208" t="s">
        <v>428</v>
      </c>
      <c r="AE208">
        <v>0.34978199999999998</v>
      </c>
      <c r="AF208" t="s">
        <v>63</v>
      </c>
      <c r="AG208">
        <v>10.556854</v>
      </c>
      <c r="AH208" t="s">
        <v>234</v>
      </c>
      <c r="AI208" t="s">
        <v>407</v>
      </c>
      <c r="AJ208">
        <v>2.3574310000000001</v>
      </c>
      <c r="AK208" t="s">
        <v>77</v>
      </c>
      <c r="AL208">
        <v>82.479097999999993</v>
      </c>
      <c r="AM208" s="4" t="s">
        <v>65</v>
      </c>
      <c r="AN208" s="5">
        <v>7404.3804499714397</v>
      </c>
      <c r="AO208" s="4" t="s">
        <v>65</v>
      </c>
      <c r="AP208" s="6">
        <v>3012</v>
      </c>
      <c r="AQ208">
        <v>3</v>
      </c>
      <c r="AR208">
        <v>7036.6790540000002</v>
      </c>
      <c r="AS208" t="s">
        <v>66</v>
      </c>
      <c r="AT208" t="s">
        <v>53</v>
      </c>
    </row>
    <row r="209" spans="1:46">
      <c r="A209">
        <v>646</v>
      </c>
      <c r="B209" t="s">
        <v>46</v>
      </c>
      <c r="C209">
        <v>15</v>
      </c>
      <c r="D209">
        <v>135</v>
      </c>
      <c r="E209" t="s">
        <v>431</v>
      </c>
      <c r="F209" t="s">
        <v>408</v>
      </c>
      <c r="G209">
        <v>15135</v>
      </c>
      <c r="H209">
        <v>15135</v>
      </c>
      <c r="I209" t="s">
        <v>49</v>
      </c>
      <c r="J209">
        <v>1504</v>
      </c>
      <c r="K209" t="s">
        <v>423</v>
      </c>
      <c r="L209" t="s">
        <v>80</v>
      </c>
      <c r="M209" t="s">
        <v>53</v>
      </c>
      <c r="N209">
        <v>3259</v>
      </c>
      <c r="O209" t="s">
        <v>53</v>
      </c>
      <c r="P209" t="s">
        <v>70</v>
      </c>
      <c r="Q209" t="s">
        <v>71</v>
      </c>
      <c r="R209" t="s">
        <v>105</v>
      </c>
      <c r="S209" t="s">
        <v>57</v>
      </c>
      <c r="T209" t="s">
        <v>58</v>
      </c>
      <c r="U209" t="s">
        <v>81</v>
      </c>
      <c r="V209">
        <v>0.51648000000000005</v>
      </c>
      <c r="W209" t="s">
        <v>53</v>
      </c>
      <c r="X209" t="s">
        <v>53</v>
      </c>
      <c r="Y209" t="s">
        <v>102</v>
      </c>
      <c r="Z209" t="str">
        <f t="shared" si="6"/>
        <v>Mayor que 20 - hasta 30</v>
      </c>
      <c r="AA209">
        <f t="shared" si="7"/>
        <v>1</v>
      </c>
      <c r="AB209">
        <v>15135</v>
      </c>
      <c r="AC209" t="s">
        <v>432</v>
      </c>
      <c r="AD209" t="s">
        <v>405</v>
      </c>
      <c r="AE209">
        <v>2.5257459999999998</v>
      </c>
      <c r="AF209" t="s">
        <v>77</v>
      </c>
      <c r="AG209">
        <v>77.413413000000006</v>
      </c>
      <c r="AH209" t="s">
        <v>234</v>
      </c>
      <c r="AI209" t="s">
        <v>407</v>
      </c>
      <c r="AJ209">
        <v>3.7943899999999999</v>
      </c>
      <c r="AK209" t="s">
        <v>84</v>
      </c>
      <c r="AL209">
        <v>97.420013999999995</v>
      </c>
      <c r="AM209" s="4" t="s">
        <v>65</v>
      </c>
      <c r="AN209" s="5">
        <v>16169.892846145878</v>
      </c>
      <c r="AO209" s="4" t="s">
        <v>65</v>
      </c>
      <c r="AP209" s="6">
        <v>2626</v>
      </c>
      <c r="AQ209">
        <v>4</v>
      </c>
      <c r="AR209">
        <v>26231.638645999999</v>
      </c>
      <c r="AS209" t="s">
        <v>66</v>
      </c>
      <c r="AT209" t="s">
        <v>53</v>
      </c>
    </row>
    <row r="210" spans="1:46">
      <c r="A210">
        <v>647</v>
      </c>
      <c r="B210" t="s">
        <v>46</v>
      </c>
      <c r="C210">
        <v>15</v>
      </c>
      <c r="D210">
        <v>162</v>
      </c>
      <c r="E210" t="s">
        <v>433</v>
      </c>
      <c r="F210" t="s">
        <v>408</v>
      </c>
      <c r="G210">
        <v>15162</v>
      </c>
      <c r="H210">
        <v>15162</v>
      </c>
      <c r="I210" t="s">
        <v>49</v>
      </c>
      <c r="J210">
        <v>1512</v>
      </c>
      <c r="K210" t="s">
        <v>420</v>
      </c>
      <c r="L210" t="s">
        <v>91</v>
      </c>
      <c r="M210" t="s">
        <v>53</v>
      </c>
      <c r="N210">
        <v>3912</v>
      </c>
      <c r="O210" t="s">
        <v>53</v>
      </c>
      <c r="P210" t="s">
        <v>70</v>
      </c>
      <c r="Q210" t="s">
        <v>71</v>
      </c>
      <c r="R210" t="s">
        <v>105</v>
      </c>
      <c r="S210" t="s">
        <v>57</v>
      </c>
      <c r="T210" t="s">
        <v>58</v>
      </c>
      <c r="U210" t="s">
        <v>81</v>
      </c>
      <c r="V210">
        <v>0.70829600000000004</v>
      </c>
      <c r="W210" t="s">
        <v>53</v>
      </c>
      <c r="X210" t="s">
        <v>53</v>
      </c>
      <c r="Y210" t="s">
        <v>187</v>
      </c>
      <c r="Z210" t="str">
        <f t="shared" si="6"/>
        <v>Mayor que 80 - hasta 100</v>
      </c>
      <c r="AA210">
        <f t="shared" si="7"/>
        <v>1</v>
      </c>
      <c r="AB210">
        <v>15162</v>
      </c>
      <c r="AC210" t="s">
        <v>234</v>
      </c>
      <c r="AD210" t="s">
        <v>421</v>
      </c>
      <c r="AE210">
        <v>0.60502999999999996</v>
      </c>
      <c r="AF210" t="s">
        <v>63</v>
      </c>
      <c r="AG210">
        <v>20.430866000000002</v>
      </c>
      <c r="AH210" t="s">
        <v>234</v>
      </c>
      <c r="AI210" t="s">
        <v>407</v>
      </c>
      <c r="AJ210">
        <v>1.7989900000000001</v>
      </c>
      <c r="AK210" t="s">
        <v>76</v>
      </c>
      <c r="AL210">
        <v>75.640619999999998</v>
      </c>
      <c r="AM210" s="4" t="s">
        <v>65</v>
      </c>
      <c r="AN210" s="5">
        <v>3520.3111048804085</v>
      </c>
      <c r="AO210" s="4" t="s">
        <v>65</v>
      </c>
      <c r="AP210" s="6">
        <v>3789</v>
      </c>
      <c r="AQ210">
        <v>2</v>
      </c>
      <c r="AR210">
        <v>1647.4221399999999</v>
      </c>
      <c r="AS210" t="s">
        <v>66</v>
      </c>
      <c r="AT210" t="s">
        <v>53</v>
      </c>
    </row>
    <row r="211" spans="1:46">
      <c r="A211">
        <v>648</v>
      </c>
      <c r="B211" t="s">
        <v>46</v>
      </c>
      <c r="C211">
        <v>15</v>
      </c>
      <c r="D211">
        <v>172</v>
      </c>
      <c r="E211" t="s">
        <v>434</v>
      </c>
      <c r="F211" t="s">
        <v>408</v>
      </c>
      <c r="G211">
        <v>15172</v>
      </c>
      <c r="H211">
        <v>15172</v>
      </c>
      <c r="I211" t="s">
        <v>49</v>
      </c>
      <c r="J211">
        <v>1506</v>
      </c>
      <c r="K211" t="s">
        <v>435</v>
      </c>
      <c r="L211" t="s">
        <v>69</v>
      </c>
      <c r="M211" t="s">
        <v>53</v>
      </c>
      <c r="N211">
        <v>3373</v>
      </c>
      <c r="O211" t="s">
        <v>53</v>
      </c>
      <c r="P211" t="s">
        <v>70</v>
      </c>
      <c r="Q211" t="s">
        <v>71</v>
      </c>
      <c r="R211" t="s">
        <v>93</v>
      </c>
      <c r="S211" t="s">
        <v>57</v>
      </c>
      <c r="T211" t="s">
        <v>58</v>
      </c>
      <c r="U211" t="s">
        <v>81</v>
      </c>
      <c r="V211">
        <v>0.52575300000000003</v>
      </c>
      <c r="W211">
        <v>2015</v>
      </c>
      <c r="X211" t="s">
        <v>217</v>
      </c>
      <c r="Y211" t="s">
        <v>167</v>
      </c>
      <c r="Z211" t="str">
        <f t="shared" si="6"/>
        <v>Mayor que 50 - hasta 60</v>
      </c>
      <c r="AA211">
        <f t="shared" si="7"/>
        <v>1</v>
      </c>
      <c r="AB211">
        <v>15172</v>
      </c>
      <c r="AC211" t="s">
        <v>234</v>
      </c>
      <c r="AD211" t="s">
        <v>407</v>
      </c>
      <c r="AE211">
        <v>2.332338</v>
      </c>
      <c r="AF211" t="s">
        <v>77</v>
      </c>
      <c r="AG211">
        <v>54.181328000000001</v>
      </c>
      <c r="AH211" t="s">
        <v>234</v>
      </c>
      <c r="AI211" t="s">
        <v>407</v>
      </c>
      <c r="AJ211">
        <v>2.339477</v>
      </c>
      <c r="AK211" t="s">
        <v>77</v>
      </c>
      <c r="AL211">
        <v>54.522748999999997</v>
      </c>
      <c r="AM211" t="s">
        <v>65</v>
      </c>
      <c r="AN211" s="7">
        <v>74.484367504601352</v>
      </c>
      <c r="AO211" t="s">
        <v>65</v>
      </c>
      <c r="AP211" s="3">
        <v>103</v>
      </c>
      <c r="AQ211">
        <v>4</v>
      </c>
      <c r="AR211">
        <v>71.431284000000005</v>
      </c>
      <c r="AS211" t="s">
        <v>66</v>
      </c>
      <c r="AT211" t="s">
        <v>137</v>
      </c>
    </row>
    <row r="212" spans="1:46">
      <c r="A212">
        <v>649</v>
      </c>
      <c r="B212" t="s">
        <v>46</v>
      </c>
      <c r="C212">
        <v>15</v>
      </c>
      <c r="D212">
        <v>176</v>
      </c>
      <c r="E212" t="s">
        <v>436</v>
      </c>
      <c r="F212" t="s">
        <v>408</v>
      </c>
      <c r="G212">
        <v>15176</v>
      </c>
      <c r="H212">
        <v>15176</v>
      </c>
      <c r="I212" t="s">
        <v>49</v>
      </c>
      <c r="J212">
        <v>1508</v>
      </c>
      <c r="K212" t="s">
        <v>79</v>
      </c>
      <c r="L212" t="s">
        <v>91</v>
      </c>
      <c r="M212" t="s">
        <v>53</v>
      </c>
      <c r="N212">
        <v>60138</v>
      </c>
      <c r="O212" t="s">
        <v>53</v>
      </c>
      <c r="P212" t="s">
        <v>92</v>
      </c>
      <c r="Q212" t="s">
        <v>118</v>
      </c>
      <c r="R212" t="s">
        <v>56</v>
      </c>
      <c r="S212" t="s">
        <v>57</v>
      </c>
      <c r="T212" t="s">
        <v>58</v>
      </c>
      <c r="U212" t="s">
        <v>81</v>
      </c>
      <c r="V212">
        <v>0.44283499999999998</v>
      </c>
      <c r="W212" t="s">
        <v>53</v>
      </c>
      <c r="X212" t="s">
        <v>53</v>
      </c>
      <c r="Y212" t="s">
        <v>437</v>
      </c>
      <c r="Z212" t="str">
        <f t="shared" si="6"/>
        <v>Mayor que 160 - hasta 180</v>
      </c>
      <c r="AA212">
        <f t="shared" si="7"/>
        <v>1</v>
      </c>
      <c r="AB212">
        <v>15176</v>
      </c>
      <c r="AC212" t="s">
        <v>234</v>
      </c>
      <c r="AD212" t="s">
        <v>428</v>
      </c>
      <c r="AE212">
        <v>0</v>
      </c>
      <c r="AF212" t="s">
        <v>63</v>
      </c>
      <c r="AG212">
        <v>0</v>
      </c>
      <c r="AH212" t="s">
        <v>234</v>
      </c>
      <c r="AI212" t="s">
        <v>407</v>
      </c>
      <c r="AJ212">
        <v>2.0441050000000001</v>
      </c>
      <c r="AK212" t="s">
        <v>77</v>
      </c>
      <c r="AL212">
        <v>72.122243999999995</v>
      </c>
      <c r="AM212" s="4" t="s">
        <v>65</v>
      </c>
      <c r="AN212" s="5">
        <v>13062.16954833164</v>
      </c>
      <c r="AO212" s="4" t="s">
        <v>65</v>
      </c>
      <c r="AP212" s="6">
        <v>6873</v>
      </c>
      <c r="AQ212">
        <v>3</v>
      </c>
      <c r="AR212">
        <v>7315.9914120000003</v>
      </c>
      <c r="AS212" t="s">
        <v>66</v>
      </c>
      <c r="AT212" t="s">
        <v>53</v>
      </c>
    </row>
    <row r="213" spans="1:46">
      <c r="A213">
        <v>753</v>
      </c>
      <c r="B213" t="s">
        <v>46</v>
      </c>
      <c r="C213">
        <v>15</v>
      </c>
      <c r="D213">
        <v>180</v>
      </c>
      <c r="E213" t="s">
        <v>438</v>
      </c>
      <c r="F213" t="s">
        <v>408</v>
      </c>
      <c r="G213">
        <v>15180</v>
      </c>
      <c r="H213">
        <v>15180</v>
      </c>
      <c r="I213" t="s">
        <v>49</v>
      </c>
      <c r="J213">
        <v>1502</v>
      </c>
      <c r="K213" t="s">
        <v>439</v>
      </c>
      <c r="L213" t="s">
        <v>80</v>
      </c>
      <c r="M213" t="s">
        <v>53</v>
      </c>
      <c r="N213">
        <v>4155</v>
      </c>
      <c r="O213" t="s">
        <v>53</v>
      </c>
      <c r="P213" t="s">
        <v>70</v>
      </c>
      <c r="Q213" t="s">
        <v>71</v>
      </c>
      <c r="R213" t="s">
        <v>72</v>
      </c>
      <c r="S213" t="s">
        <v>57</v>
      </c>
      <c r="T213" t="s">
        <v>58</v>
      </c>
      <c r="U213" t="s">
        <v>81</v>
      </c>
      <c r="V213">
        <v>0.78419300000000003</v>
      </c>
      <c r="W213" t="s">
        <v>53</v>
      </c>
      <c r="X213" t="s">
        <v>53</v>
      </c>
      <c r="Y213" t="s">
        <v>82</v>
      </c>
      <c r="Z213" t="str">
        <f t="shared" si="6"/>
        <v>Mayor que 15 - hasta 20</v>
      </c>
      <c r="AA213">
        <f t="shared" si="7"/>
        <v>1</v>
      </c>
      <c r="AB213">
        <v>15180</v>
      </c>
      <c r="AC213" t="s">
        <v>234</v>
      </c>
      <c r="AD213" t="s">
        <v>421</v>
      </c>
      <c r="AE213">
        <v>5.8093050000000002</v>
      </c>
      <c r="AF213" t="s">
        <v>211</v>
      </c>
      <c r="AG213">
        <v>134.826111</v>
      </c>
      <c r="AH213" t="s">
        <v>234</v>
      </c>
      <c r="AI213" t="s">
        <v>407</v>
      </c>
      <c r="AJ213">
        <v>7.003266</v>
      </c>
      <c r="AK213" t="s">
        <v>221</v>
      </c>
      <c r="AL213">
        <v>190.035866</v>
      </c>
      <c r="AM213" s="4" t="s">
        <v>65</v>
      </c>
      <c r="AN213" s="5">
        <v>2334.0343461592379</v>
      </c>
      <c r="AO213" s="4" t="s">
        <v>65</v>
      </c>
      <c r="AP213" s="6">
        <v>1695</v>
      </c>
      <c r="AQ213">
        <v>4</v>
      </c>
      <c r="AR213">
        <v>2308.9823809999998</v>
      </c>
      <c r="AS213" t="s">
        <v>66</v>
      </c>
      <c r="AT213" t="s">
        <v>53</v>
      </c>
    </row>
    <row r="214" spans="1:46">
      <c r="A214">
        <v>650</v>
      </c>
      <c r="B214" t="s">
        <v>46</v>
      </c>
      <c r="C214">
        <v>15</v>
      </c>
      <c r="D214">
        <v>183</v>
      </c>
      <c r="E214" t="s">
        <v>440</v>
      </c>
      <c r="F214" t="s">
        <v>408</v>
      </c>
      <c r="G214">
        <v>15183</v>
      </c>
      <c r="H214">
        <v>15183</v>
      </c>
      <c r="I214" t="s">
        <v>49</v>
      </c>
      <c r="J214">
        <v>1513</v>
      </c>
      <c r="K214" t="s">
        <v>425</v>
      </c>
      <c r="L214" t="s">
        <v>80</v>
      </c>
      <c r="M214" t="s">
        <v>53</v>
      </c>
      <c r="N214">
        <v>8317</v>
      </c>
      <c r="O214" t="s">
        <v>53</v>
      </c>
      <c r="P214" t="s">
        <v>70</v>
      </c>
      <c r="Q214" t="s">
        <v>71</v>
      </c>
      <c r="R214" t="s">
        <v>56</v>
      </c>
      <c r="S214" t="s">
        <v>57</v>
      </c>
      <c r="T214" t="s">
        <v>58</v>
      </c>
      <c r="U214" t="s">
        <v>81</v>
      </c>
      <c r="V214">
        <v>0.55847999999999998</v>
      </c>
      <c r="W214" t="s">
        <v>53</v>
      </c>
      <c r="X214" t="s">
        <v>53</v>
      </c>
      <c r="Y214" t="s">
        <v>102</v>
      </c>
      <c r="Z214" t="str">
        <f t="shared" si="6"/>
        <v>Mayor que 20 - hasta 30</v>
      </c>
      <c r="AA214">
        <f t="shared" si="7"/>
        <v>1</v>
      </c>
      <c r="AB214">
        <v>15183</v>
      </c>
      <c r="AC214" t="s">
        <v>234</v>
      </c>
      <c r="AD214" t="s">
        <v>421</v>
      </c>
      <c r="AE214">
        <v>4.7640459999999996</v>
      </c>
      <c r="AF214" t="s">
        <v>85</v>
      </c>
      <c r="AG214">
        <v>114.108239</v>
      </c>
      <c r="AH214" t="s">
        <v>234</v>
      </c>
      <c r="AI214" t="s">
        <v>407</v>
      </c>
      <c r="AJ214">
        <v>5.9580070000000003</v>
      </c>
      <c r="AK214" t="s">
        <v>181</v>
      </c>
      <c r="AL214">
        <v>169.317994</v>
      </c>
      <c r="AM214" s="4" t="s">
        <v>65</v>
      </c>
      <c r="AN214" s="5">
        <v>5637.5196893950788</v>
      </c>
      <c r="AO214" s="4" t="s">
        <v>65</v>
      </c>
      <c r="AP214" s="6">
        <v>6356</v>
      </c>
      <c r="AQ214">
        <v>4</v>
      </c>
      <c r="AR214">
        <v>11694.123802</v>
      </c>
      <c r="AS214" t="s">
        <v>66</v>
      </c>
      <c r="AT214" t="s">
        <v>53</v>
      </c>
    </row>
    <row r="215" spans="1:46">
      <c r="A215">
        <v>651</v>
      </c>
      <c r="B215" t="s">
        <v>46</v>
      </c>
      <c r="C215">
        <v>15</v>
      </c>
      <c r="D215">
        <v>185</v>
      </c>
      <c r="E215" t="s">
        <v>441</v>
      </c>
      <c r="F215" t="s">
        <v>408</v>
      </c>
      <c r="G215">
        <v>15185</v>
      </c>
      <c r="H215">
        <v>15185</v>
      </c>
      <c r="I215" t="s">
        <v>49</v>
      </c>
      <c r="J215">
        <v>1510</v>
      </c>
      <c r="K215" t="s">
        <v>418</v>
      </c>
      <c r="L215" t="s">
        <v>80</v>
      </c>
      <c r="M215" t="s">
        <v>53</v>
      </c>
      <c r="N215">
        <v>6185</v>
      </c>
      <c r="O215" t="s">
        <v>53</v>
      </c>
      <c r="P215" t="s">
        <v>70</v>
      </c>
      <c r="Q215" t="s">
        <v>71</v>
      </c>
      <c r="R215" t="s">
        <v>122</v>
      </c>
      <c r="S215" t="s">
        <v>57</v>
      </c>
      <c r="T215" t="s">
        <v>58</v>
      </c>
      <c r="U215" t="s">
        <v>81</v>
      </c>
      <c r="V215">
        <v>0.64008900000000002</v>
      </c>
      <c r="W215" t="s">
        <v>53</v>
      </c>
      <c r="X215" t="s">
        <v>53</v>
      </c>
      <c r="Y215" t="s">
        <v>165</v>
      </c>
      <c r="Z215" t="str">
        <f t="shared" si="6"/>
        <v>Mayor que 60 - hasta 70</v>
      </c>
      <c r="AA215">
        <f t="shared" si="7"/>
        <v>1</v>
      </c>
      <c r="AB215">
        <v>15185</v>
      </c>
      <c r="AC215" t="s">
        <v>282</v>
      </c>
      <c r="AD215" t="s">
        <v>88</v>
      </c>
      <c r="AE215">
        <v>0.98269099999999998</v>
      </c>
      <c r="AF215" t="s">
        <v>63</v>
      </c>
      <c r="AG215">
        <v>34.864674999999998</v>
      </c>
      <c r="AH215" t="s">
        <v>234</v>
      </c>
      <c r="AI215" t="s">
        <v>407</v>
      </c>
      <c r="AJ215">
        <v>3.4346990000000002</v>
      </c>
      <c r="AK215" t="s">
        <v>84</v>
      </c>
      <c r="AL215">
        <v>83.510469000000001</v>
      </c>
      <c r="AM215" s="4" t="s">
        <v>65</v>
      </c>
      <c r="AN215" s="5">
        <v>8739.4333806422674</v>
      </c>
      <c r="AO215" s="4" t="s">
        <v>65</v>
      </c>
      <c r="AP215" s="6">
        <v>2379</v>
      </c>
      <c r="AQ215">
        <v>4</v>
      </c>
      <c r="AR215">
        <v>9247.2993409999999</v>
      </c>
      <c r="AS215" t="s">
        <v>66</v>
      </c>
      <c r="AT215" t="s">
        <v>53</v>
      </c>
    </row>
    <row r="216" spans="1:46">
      <c r="A216">
        <v>652</v>
      </c>
      <c r="B216" t="s">
        <v>46</v>
      </c>
      <c r="C216">
        <v>15</v>
      </c>
      <c r="D216">
        <v>187</v>
      </c>
      <c r="E216" t="s">
        <v>442</v>
      </c>
      <c r="F216" t="s">
        <v>408</v>
      </c>
      <c r="G216">
        <v>15187</v>
      </c>
      <c r="H216">
        <v>15187</v>
      </c>
      <c r="I216" t="s">
        <v>49</v>
      </c>
      <c r="J216">
        <v>1501</v>
      </c>
      <c r="K216" t="s">
        <v>409</v>
      </c>
      <c r="L216" t="s">
        <v>91</v>
      </c>
      <c r="M216" t="s">
        <v>53</v>
      </c>
      <c r="N216">
        <v>2960</v>
      </c>
      <c r="O216" t="s">
        <v>53</v>
      </c>
      <c r="P216" t="s">
        <v>70</v>
      </c>
      <c r="Q216" t="s">
        <v>71</v>
      </c>
      <c r="R216" t="s">
        <v>72</v>
      </c>
      <c r="S216" t="s">
        <v>57</v>
      </c>
      <c r="T216" t="s">
        <v>58</v>
      </c>
      <c r="U216" t="s">
        <v>81</v>
      </c>
      <c r="V216">
        <v>0.35471999999999998</v>
      </c>
      <c r="W216" t="s">
        <v>53</v>
      </c>
      <c r="X216" t="s">
        <v>53</v>
      </c>
      <c r="Y216" t="s">
        <v>183</v>
      </c>
      <c r="Z216" t="str">
        <f t="shared" si="6"/>
        <v>Mayor que 120 - hasta 140</v>
      </c>
      <c r="AA216">
        <f t="shared" si="7"/>
        <v>1</v>
      </c>
      <c r="AB216">
        <v>15187</v>
      </c>
      <c r="AC216" t="s">
        <v>234</v>
      </c>
      <c r="AD216" t="s">
        <v>407</v>
      </c>
      <c r="AE216">
        <v>0.46473199999999998</v>
      </c>
      <c r="AF216" t="s">
        <v>63</v>
      </c>
      <c r="AG216">
        <v>12.071068</v>
      </c>
      <c r="AH216" t="s">
        <v>234</v>
      </c>
      <c r="AI216" t="s">
        <v>407</v>
      </c>
      <c r="AJ216">
        <v>0.44732300000000003</v>
      </c>
      <c r="AK216" t="s">
        <v>63</v>
      </c>
      <c r="AL216">
        <v>11.588225</v>
      </c>
      <c r="AM216" s="4" t="s">
        <v>65</v>
      </c>
      <c r="AN216" s="5">
        <v>4117.9802521545425</v>
      </c>
      <c r="AO216" s="4" t="s">
        <v>65</v>
      </c>
      <c r="AP216" s="6">
        <v>2265</v>
      </c>
      <c r="AQ216">
        <v>4</v>
      </c>
      <c r="AR216">
        <v>2286.1578730000001</v>
      </c>
      <c r="AS216" t="s">
        <v>66</v>
      </c>
      <c r="AT216" t="s">
        <v>53</v>
      </c>
    </row>
    <row r="217" spans="1:46">
      <c r="A217">
        <v>653</v>
      </c>
      <c r="B217" t="s">
        <v>46</v>
      </c>
      <c r="C217">
        <v>15</v>
      </c>
      <c r="D217">
        <v>189</v>
      </c>
      <c r="E217" t="s">
        <v>443</v>
      </c>
      <c r="F217" t="s">
        <v>408</v>
      </c>
      <c r="G217">
        <v>15189</v>
      </c>
      <c r="H217">
        <v>15189</v>
      </c>
      <c r="I217" t="s">
        <v>49</v>
      </c>
      <c r="J217">
        <v>1505</v>
      </c>
      <c r="K217" t="s">
        <v>427</v>
      </c>
      <c r="L217" t="s">
        <v>69</v>
      </c>
      <c r="M217" t="s">
        <v>53</v>
      </c>
      <c r="N217">
        <v>4894</v>
      </c>
      <c r="O217" t="s">
        <v>53</v>
      </c>
      <c r="P217" t="s">
        <v>70</v>
      </c>
      <c r="Q217" t="s">
        <v>71</v>
      </c>
      <c r="R217" t="s">
        <v>56</v>
      </c>
      <c r="S217" t="s">
        <v>57</v>
      </c>
      <c r="T217" t="s">
        <v>58</v>
      </c>
      <c r="U217" t="s">
        <v>81</v>
      </c>
      <c r="V217">
        <v>0.63394499999999998</v>
      </c>
      <c r="W217" t="s">
        <v>53</v>
      </c>
      <c r="X217" t="s">
        <v>53</v>
      </c>
      <c r="Y217" t="s">
        <v>187</v>
      </c>
      <c r="Z217" t="str">
        <f t="shared" si="6"/>
        <v>Mayor que 80 - hasta 100</v>
      </c>
      <c r="AA217">
        <f t="shared" si="7"/>
        <v>1</v>
      </c>
      <c r="AB217">
        <v>15189</v>
      </c>
      <c r="AC217" t="s">
        <v>234</v>
      </c>
      <c r="AD217" t="s">
        <v>407</v>
      </c>
      <c r="AE217">
        <v>0.98941000000000001</v>
      </c>
      <c r="AF217" t="s">
        <v>63</v>
      </c>
      <c r="AG217">
        <v>25.922035000000001</v>
      </c>
      <c r="AH217" t="s">
        <v>234</v>
      </c>
      <c r="AI217" t="s">
        <v>407</v>
      </c>
      <c r="AJ217">
        <v>0.99654900000000002</v>
      </c>
      <c r="AK217" t="s">
        <v>63</v>
      </c>
      <c r="AL217">
        <v>26.263456000000001</v>
      </c>
      <c r="AM217" s="4" t="s">
        <v>65</v>
      </c>
      <c r="AN217" s="5">
        <v>4168.6446233755742</v>
      </c>
      <c r="AO217" s="4" t="s">
        <v>65</v>
      </c>
      <c r="AP217" s="6">
        <v>5049</v>
      </c>
      <c r="AQ217">
        <v>3</v>
      </c>
      <c r="AR217">
        <v>2748.0396249999999</v>
      </c>
      <c r="AS217" t="s">
        <v>66</v>
      </c>
      <c r="AT217" t="s">
        <v>53</v>
      </c>
    </row>
    <row r="218" spans="1:46">
      <c r="A218">
        <v>654</v>
      </c>
      <c r="B218" t="s">
        <v>46</v>
      </c>
      <c r="C218">
        <v>15</v>
      </c>
      <c r="D218">
        <v>204</v>
      </c>
      <c r="E218" t="s">
        <v>444</v>
      </c>
      <c r="F218" t="s">
        <v>408</v>
      </c>
      <c r="G218">
        <v>15204</v>
      </c>
      <c r="H218">
        <v>15204</v>
      </c>
      <c r="I218" t="s">
        <v>49</v>
      </c>
      <c r="J218">
        <v>1501</v>
      </c>
      <c r="K218" t="s">
        <v>409</v>
      </c>
      <c r="L218" t="s">
        <v>91</v>
      </c>
      <c r="M218" t="s">
        <v>53</v>
      </c>
      <c r="N218">
        <v>13896</v>
      </c>
      <c r="O218" t="s">
        <v>53</v>
      </c>
      <c r="P218" t="s">
        <v>70</v>
      </c>
      <c r="Q218" t="s">
        <v>71</v>
      </c>
      <c r="R218" t="s">
        <v>72</v>
      </c>
      <c r="S218" t="s">
        <v>57</v>
      </c>
      <c r="T218" t="s">
        <v>58</v>
      </c>
      <c r="U218" t="s">
        <v>81</v>
      </c>
      <c r="V218">
        <v>0.224851</v>
      </c>
      <c r="W218" t="s">
        <v>53</v>
      </c>
      <c r="X218" t="s">
        <v>53</v>
      </c>
      <c r="Y218" t="s">
        <v>136</v>
      </c>
      <c r="Z218" t="str">
        <f t="shared" si="6"/>
        <v>Mayor que 100 - hasta 120</v>
      </c>
      <c r="AA218">
        <f t="shared" si="7"/>
        <v>1</v>
      </c>
      <c r="AB218">
        <v>15204</v>
      </c>
      <c r="AC218" t="s">
        <v>234</v>
      </c>
      <c r="AD218" t="s">
        <v>407</v>
      </c>
      <c r="AE218">
        <v>0.39744499999999999</v>
      </c>
      <c r="AF218" t="s">
        <v>63</v>
      </c>
      <c r="AG218">
        <v>14.009544999999999</v>
      </c>
      <c r="AH218" t="s">
        <v>234</v>
      </c>
      <c r="AI218" t="s">
        <v>407</v>
      </c>
      <c r="AJ218">
        <v>0.37971300000000002</v>
      </c>
      <c r="AK218" t="s">
        <v>63</v>
      </c>
      <c r="AL218">
        <v>13.609545000000001</v>
      </c>
      <c r="AM218" s="4" t="s">
        <v>65</v>
      </c>
      <c r="AN218" s="5">
        <v>10712.53170648523</v>
      </c>
      <c r="AO218" s="4" t="s">
        <v>65</v>
      </c>
      <c r="AP218" s="6">
        <v>7333</v>
      </c>
      <c r="AQ218">
        <v>3</v>
      </c>
      <c r="AR218">
        <v>9389.3800800000008</v>
      </c>
      <c r="AS218" t="s">
        <v>66</v>
      </c>
      <c r="AT218" t="s">
        <v>53</v>
      </c>
    </row>
    <row r="219" spans="1:46">
      <c r="A219">
        <v>655</v>
      </c>
      <c r="B219" t="s">
        <v>46</v>
      </c>
      <c r="C219">
        <v>15</v>
      </c>
      <c r="D219">
        <v>212</v>
      </c>
      <c r="E219" t="s">
        <v>445</v>
      </c>
      <c r="F219" t="s">
        <v>408</v>
      </c>
      <c r="G219">
        <v>15212</v>
      </c>
      <c r="H219">
        <v>15212</v>
      </c>
      <c r="I219" t="s">
        <v>49</v>
      </c>
      <c r="J219">
        <v>1508</v>
      </c>
      <c r="K219" t="s">
        <v>79</v>
      </c>
      <c r="L219" t="s">
        <v>80</v>
      </c>
      <c r="M219" t="s">
        <v>53</v>
      </c>
      <c r="N219">
        <v>3798</v>
      </c>
      <c r="O219" t="s">
        <v>53</v>
      </c>
      <c r="P219" t="s">
        <v>70</v>
      </c>
      <c r="Q219" t="s">
        <v>71</v>
      </c>
      <c r="R219" t="s">
        <v>122</v>
      </c>
      <c r="S219" t="s">
        <v>57</v>
      </c>
      <c r="T219" t="s">
        <v>58</v>
      </c>
      <c r="U219" t="s">
        <v>81</v>
      </c>
      <c r="V219">
        <v>0.63384200000000002</v>
      </c>
      <c r="W219" t="s">
        <v>53</v>
      </c>
      <c r="X219" t="s">
        <v>53</v>
      </c>
      <c r="Y219" t="s">
        <v>167</v>
      </c>
      <c r="Z219" t="str">
        <f t="shared" si="6"/>
        <v>Mayor que 50 - hasta 60</v>
      </c>
      <c r="AA219">
        <f t="shared" si="7"/>
        <v>1</v>
      </c>
      <c r="AB219">
        <v>15212</v>
      </c>
      <c r="AC219" t="s">
        <v>234</v>
      </c>
      <c r="AD219" t="s">
        <v>428</v>
      </c>
      <c r="AE219">
        <v>1.690256</v>
      </c>
      <c r="AF219" t="s">
        <v>76</v>
      </c>
      <c r="AG219">
        <v>39.575944999999997</v>
      </c>
      <c r="AH219" t="s">
        <v>234</v>
      </c>
      <c r="AI219" t="s">
        <v>407</v>
      </c>
      <c r="AJ219">
        <v>3.697905</v>
      </c>
      <c r="AK219" t="s">
        <v>84</v>
      </c>
      <c r="AL219">
        <v>111.498189</v>
      </c>
      <c r="AM219" s="4" t="s">
        <v>65</v>
      </c>
      <c r="AN219" s="5">
        <v>7025.4726335775395</v>
      </c>
      <c r="AO219" s="4" t="s">
        <v>65</v>
      </c>
      <c r="AP219" s="6">
        <v>1875</v>
      </c>
      <c r="AQ219">
        <v>4</v>
      </c>
      <c r="AR219">
        <v>8990.4916369999992</v>
      </c>
      <c r="AS219" t="s">
        <v>66</v>
      </c>
      <c r="AT219" t="s">
        <v>53</v>
      </c>
    </row>
    <row r="220" spans="1:46">
      <c r="A220">
        <v>656</v>
      </c>
      <c r="B220" t="s">
        <v>46</v>
      </c>
      <c r="C220">
        <v>15</v>
      </c>
      <c r="D220">
        <v>215</v>
      </c>
      <c r="E220" t="s">
        <v>446</v>
      </c>
      <c r="F220" t="s">
        <v>408</v>
      </c>
      <c r="G220">
        <v>15215</v>
      </c>
      <c r="H220">
        <v>15215</v>
      </c>
      <c r="I220" t="s">
        <v>49</v>
      </c>
      <c r="J220">
        <v>1512</v>
      </c>
      <c r="K220" t="s">
        <v>420</v>
      </c>
      <c r="L220" t="s">
        <v>69</v>
      </c>
      <c r="M220" t="s">
        <v>53</v>
      </c>
      <c r="N220">
        <v>2662</v>
      </c>
      <c r="O220" t="s">
        <v>53</v>
      </c>
      <c r="P220" t="s">
        <v>70</v>
      </c>
      <c r="Q220" t="s">
        <v>71</v>
      </c>
      <c r="R220" t="s">
        <v>105</v>
      </c>
      <c r="S220" t="s">
        <v>57</v>
      </c>
      <c r="T220" t="s">
        <v>58</v>
      </c>
      <c r="U220" t="s">
        <v>81</v>
      </c>
      <c r="V220">
        <v>0.75309300000000001</v>
      </c>
      <c r="W220" t="s">
        <v>53</v>
      </c>
      <c r="X220" t="s">
        <v>53</v>
      </c>
      <c r="Y220" t="s">
        <v>127</v>
      </c>
      <c r="Z220" t="str">
        <f t="shared" si="6"/>
        <v>Mayor que 70 - hasta 80</v>
      </c>
      <c r="AA220">
        <f t="shared" si="7"/>
        <v>1</v>
      </c>
      <c r="AB220">
        <v>15215</v>
      </c>
      <c r="AC220" t="s">
        <v>234</v>
      </c>
      <c r="AD220" t="s">
        <v>416</v>
      </c>
      <c r="AE220">
        <v>0.65750500000000001</v>
      </c>
      <c r="AF220" t="s">
        <v>63</v>
      </c>
      <c r="AG220">
        <v>19.099495000000001</v>
      </c>
      <c r="AH220" t="s">
        <v>234</v>
      </c>
      <c r="AI220" t="s">
        <v>407</v>
      </c>
      <c r="AJ220">
        <v>2.0875699999999999</v>
      </c>
      <c r="AK220" t="s">
        <v>77</v>
      </c>
      <c r="AL220">
        <v>87.614632</v>
      </c>
      <c r="AM220" s="4" t="s">
        <v>65</v>
      </c>
      <c r="AN220" s="5">
        <v>4289.0509068495412</v>
      </c>
      <c r="AO220" s="4" t="s">
        <v>65</v>
      </c>
      <c r="AP220" s="6">
        <v>1569</v>
      </c>
      <c r="AQ220">
        <v>5</v>
      </c>
      <c r="AR220">
        <v>2842.7448260000001</v>
      </c>
      <c r="AS220" t="s">
        <v>66</v>
      </c>
      <c r="AT220" t="s">
        <v>53</v>
      </c>
    </row>
    <row r="221" spans="1:46">
      <c r="A221">
        <v>673</v>
      </c>
      <c r="B221" t="s">
        <v>46</v>
      </c>
      <c r="C221">
        <v>15</v>
      </c>
      <c r="D221">
        <v>218</v>
      </c>
      <c r="E221" t="s">
        <v>447</v>
      </c>
      <c r="F221" t="s">
        <v>408</v>
      </c>
      <c r="G221">
        <v>15218</v>
      </c>
      <c r="H221">
        <v>15218</v>
      </c>
      <c r="I221" t="s">
        <v>49</v>
      </c>
      <c r="J221">
        <v>1507</v>
      </c>
      <c r="K221" t="s">
        <v>112</v>
      </c>
      <c r="L221" t="s">
        <v>80</v>
      </c>
      <c r="M221" t="s">
        <v>53</v>
      </c>
      <c r="N221">
        <v>2904</v>
      </c>
      <c r="O221" t="s">
        <v>53</v>
      </c>
      <c r="P221" t="s">
        <v>70</v>
      </c>
      <c r="Q221" t="s">
        <v>71</v>
      </c>
      <c r="R221" t="s">
        <v>72</v>
      </c>
      <c r="S221" t="s">
        <v>57</v>
      </c>
      <c r="T221" t="s">
        <v>58</v>
      </c>
      <c r="U221" t="s">
        <v>81</v>
      </c>
      <c r="V221">
        <v>0.72438000000000002</v>
      </c>
      <c r="W221" t="s">
        <v>53</v>
      </c>
      <c r="X221" t="s">
        <v>53</v>
      </c>
      <c r="Y221" t="s">
        <v>116</v>
      </c>
      <c r="Z221" t="str">
        <f t="shared" si="6"/>
        <v>Mayor que 30 - hasta 40</v>
      </c>
      <c r="AA221">
        <f t="shared" si="7"/>
        <v>1</v>
      </c>
      <c r="AB221">
        <v>15218</v>
      </c>
      <c r="AC221" t="s">
        <v>234</v>
      </c>
      <c r="AD221" t="s">
        <v>421</v>
      </c>
      <c r="AE221">
        <v>4.249396</v>
      </c>
      <c r="AF221" t="s">
        <v>85</v>
      </c>
      <c r="AG221">
        <v>126.32783499999999</v>
      </c>
      <c r="AH221" t="s">
        <v>282</v>
      </c>
      <c r="AI221" t="s">
        <v>284</v>
      </c>
      <c r="AJ221">
        <v>5.4003829999999997</v>
      </c>
      <c r="AK221" t="s">
        <v>181</v>
      </c>
      <c r="AL221">
        <v>149.72855000000001</v>
      </c>
      <c r="AM221" s="4" t="s">
        <v>65</v>
      </c>
      <c r="AN221" s="5">
        <v>4926.6258451127806</v>
      </c>
      <c r="AO221" s="4" t="s">
        <v>65</v>
      </c>
      <c r="AP221" s="6">
        <v>1323</v>
      </c>
      <c r="AQ221">
        <v>4</v>
      </c>
      <c r="AR221">
        <v>5636.910433</v>
      </c>
      <c r="AS221" t="s">
        <v>66</v>
      </c>
      <c r="AT221" t="s">
        <v>53</v>
      </c>
    </row>
    <row r="222" spans="1:46">
      <c r="A222">
        <v>754</v>
      </c>
      <c r="B222" t="s">
        <v>46</v>
      </c>
      <c r="C222">
        <v>15</v>
      </c>
      <c r="D222">
        <v>223</v>
      </c>
      <c r="E222" t="s">
        <v>448</v>
      </c>
      <c r="F222" t="s">
        <v>408</v>
      </c>
      <c r="G222">
        <v>15223</v>
      </c>
      <c r="H222">
        <v>15223</v>
      </c>
      <c r="I222" t="s">
        <v>49</v>
      </c>
      <c r="J222">
        <v>1502</v>
      </c>
      <c r="K222" t="s">
        <v>439</v>
      </c>
      <c r="L222" t="s">
        <v>80</v>
      </c>
      <c r="M222" t="s">
        <v>53</v>
      </c>
      <c r="N222">
        <v>11175</v>
      </c>
      <c r="O222" t="s">
        <v>53</v>
      </c>
      <c r="P222" t="s">
        <v>70</v>
      </c>
      <c r="Q222" t="s">
        <v>71</v>
      </c>
      <c r="R222" t="s">
        <v>72</v>
      </c>
      <c r="S222" t="s">
        <v>57</v>
      </c>
      <c r="T222" t="s">
        <v>58</v>
      </c>
      <c r="U222" t="s">
        <v>101</v>
      </c>
      <c r="V222">
        <v>0.33396900000000002</v>
      </c>
      <c r="W222" t="s">
        <v>53</v>
      </c>
      <c r="X222" t="s">
        <v>53</v>
      </c>
      <c r="Y222" t="s">
        <v>82</v>
      </c>
      <c r="Z222" t="str">
        <f t="shared" si="6"/>
        <v>Mayor que 15 - hasta 20</v>
      </c>
      <c r="AA222">
        <f t="shared" si="7"/>
        <v>1</v>
      </c>
      <c r="AB222">
        <v>15223</v>
      </c>
      <c r="AC222" t="s">
        <v>449</v>
      </c>
      <c r="AD222" t="s">
        <v>450</v>
      </c>
      <c r="AE222">
        <v>1.0299590000000001</v>
      </c>
      <c r="AF222" t="s">
        <v>76</v>
      </c>
      <c r="AG222">
        <v>36.711984000000001</v>
      </c>
      <c r="AH222" t="s">
        <v>449</v>
      </c>
      <c r="AI222" t="s">
        <v>451</v>
      </c>
      <c r="AJ222">
        <v>5.4393289999999999</v>
      </c>
      <c r="AK222" t="s">
        <v>181</v>
      </c>
      <c r="AL222">
        <v>251.126529</v>
      </c>
      <c r="AM222" s="4" t="s">
        <v>64</v>
      </c>
      <c r="AN222" s="5">
        <v>2797.5317238960142</v>
      </c>
      <c r="AO222" s="4" t="s">
        <v>65</v>
      </c>
      <c r="AP222" s="6">
        <v>140</v>
      </c>
      <c r="AQ222">
        <v>2</v>
      </c>
      <c r="AR222">
        <v>3669.8788100000002</v>
      </c>
      <c r="AS222" t="s">
        <v>66</v>
      </c>
      <c r="AT222" t="s">
        <v>53</v>
      </c>
    </row>
    <row r="223" spans="1:46">
      <c r="A223">
        <v>674</v>
      </c>
      <c r="B223" t="s">
        <v>46</v>
      </c>
      <c r="C223">
        <v>15</v>
      </c>
      <c r="D223">
        <v>224</v>
      </c>
      <c r="E223" t="s">
        <v>452</v>
      </c>
      <c r="F223" t="s">
        <v>408</v>
      </c>
      <c r="G223">
        <v>15224</v>
      </c>
      <c r="H223">
        <v>15224</v>
      </c>
      <c r="I223" t="s">
        <v>49</v>
      </c>
      <c r="J223">
        <v>1501</v>
      </c>
      <c r="K223" t="s">
        <v>409</v>
      </c>
      <c r="L223" t="s">
        <v>91</v>
      </c>
      <c r="M223" t="s">
        <v>53</v>
      </c>
      <c r="N223">
        <v>3980</v>
      </c>
      <c r="O223" t="s">
        <v>53</v>
      </c>
      <c r="P223" t="s">
        <v>70</v>
      </c>
      <c r="Q223" t="s">
        <v>71</v>
      </c>
      <c r="R223" t="s">
        <v>72</v>
      </c>
      <c r="S223" t="s">
        <v>57</v>
      </c>
      <c r="T223" t="s">
        <v>58</v>
      </c>
      <c r="U223" t="s">
        <v>81</v>
      </c>
      <c r="V223">
        <v>0.36116199999999998</v>
      </c>
      <c r="W223" t="s">
        <v>53</v>
      </c>
      <c r="X223" t="s">
        <v>53</v>
      </c>
      <c r="Y223" t="s">
        <v>127</v>
      </c>
      <c r="Z223" t="str">
        <f t="shared" si="6"/>
        <v>Mayor que 70 - hasta 80</v>
      </c>
      <c r="AA223">
        <f t="shared" si="7"/>
        <v>1</v>
      </c>
      <c r="AB223">
        <v>15224</v>
      </c>
      <c r="AC223" t="s">
        <v>234</v>
      </c>
      <c r="AD223" t="s">
        <v>407</v>
      </c>
      <c r="AE223">
        <v>0.71116400000000002</v>
      </c>
      <c r="AF223" t="s">
        <v>63</v>
      </c>
      <c r="AG223">
        <v>14.861017</v>
      </c>
      <c r="AH223" t="s">
        <v>234</v>
      </c>
      <c r="AI223" t="s">
        <v>407</v>
      </c>
      <c r="AJ223">
        <v>0.69343200000000005</v>
      </c>
      <c r="AK223" t="s">
        <v>63</v>
      </c>
      <c r="AL223">
        <v>14.461017</v>
      </c>
      <c r="AM223" s="4" t="s">
        <v>65</v>
      </c>
      <c r="AN223" s="5">
        <v>2671.9191936367183</v>
      </c>
      <c r="AO223" s="4" t="s">
        <v>65</v>
      </c>
      <c r="AP223" s="6">
        <v>1570</v>
      </c>
      <c r="AQ223">
        <v>3</v>
      </c>
      <c r="AR223">
        <v>1920.3957330000001</v>
      </c>
      <c r="AS223" t="s">
        <v>66</v>
      </c>
      <c r="AT223" t="s">
        <v>53</v>
      </c>
    </row>
    <row r="224" spans="1:46">
      <c r="A224">
        <v>675</v>
      </c>
      <c r="B224" t="s">
        <v>46</v>
      </c>
      <c r="C224">
        <v>15</v>
      </c>
      <c r="D224">
        <v>226</v>
      </c>
      <c r="E224" t="s">
        <v>453</v>
      </c>
      <c r="F224" t="s">
        <v>408</v>
      </c>
      <c r="G224">
        <v>15226</v>
      </c>
      <c r="H224">
        <v>15226</v>
      </c>
      <c r="I224" t="s">
        <v>49</v>
      </c>
      <c r="J224">
        <v>1511</v>
      </c>
      <c r="K224" t="s">
        <v>413</v>
      </c>
      <c r="L224" t="s">
        <v>80</v>
      </c>
      <c r="M224" t="s">
        <v>53</v>
      </c>
      <c r="N224">
        <v>1899</v>
      </c>
      <c r="O224" t="s">
        <v>53</v>
      </c>
      <c r="P224" t="s">
        <v>70</v>
      </c>
      <c r="Q224" t="s">
        <v>71</v>
      </c>
      <c r="R224" t="s">
        <v>56</v>
      </c>
      <c r="S224" t="s">
        <v>57</v>
      </c>
      <c r="T224" t="s">
        <v>58</v>
      </c>
      <c r="U224" t="s">
        <v>81</v>
      </c>
      <c r="V224">
        <v>0.81875200000000004</v>
      </c>
      <c r="W224">
        <v>2021</v>
      </c>
      <c r="X224" t="s">
        <v>454</v>
      </c>
      <c r="Y224" t="s">
        <v>455</v>
      </c>
      <c r="Z224" t="str">
        <f t="shared" si="6"/>
        <v>Mayor que 250 - hasta 300</v>
      </c>
      <c r="AA224">
        <f t="shared" si="7"/>
        <v>0</v>
      </c>
      <c r="AB224">
        <v>15226</v>
      </c>
      <c r="AC224" t="s">
        <v>234</v>
      </c>
      <c r="AD224" t="s">
        <v>416</v>
      </c>
      <c r="AE224">
        <v>0.70976099999999998</v>
      </c>
      <c r="AF224" t="s">
        <v>63</v>
      </c>
      <c r="AG224">
        <v>21.317872000000001</v>
      </c>
      <c r="AH224" t="s">
        <v>234</v>
      </c>
      <c r="AI224" t="s">
        <v>407</v>
      </c>
      <c r="AJ224">
        <v>2.2486839999999999</v>
      </c>
      <c r="AK224" t="s">
        <v>77</v>
      </c>
      <c r="AL224">
        <v>91.164378999999997</v>
      </c>
      <c r="AM224" t="s">
        <v>65</v>
      </c>
      <c r="AN224" s="7">
        <v>6.7987091060635461</v>
      </c>
      <c r="AO224" t="s">
        <v>65</v>
      </c>
      <c r="AP224" s="3">
        <v>21</v>
      </c>
      <c r="AQ224">
        <v>3</v>
      </c>
      <c r="AR224">
        <v>6.0431650000000001</v>
      </c>
      <c r="AS224" t="s">
        <v>66</v>
      </c>
      <c r="AT224" t="s">
        <v>137</v>
      </c>
    </row>
    <row r="225" spans="1:46">
      <c r="A225">
        <v>676</v>
      </c>
      <c r="B225" t="s">
        <v>46</v>
      </c>
      <c r="C225">
        <v>15</v>
      </c>
      <c r="D225">
        <v>232</v>
      </c>
      <c r="E225" t="s">
        <v>456</v>
      </c>
      <c r="F225" t="s">
        <v>408</v>
      </c>
      <c r="G225">
        <v>15232</v>
      </c>
      <c r="H225">
        <v>15232</v>
      </c>
      <c r="I225" t="s">
        <v>49</v>
      </c>
      <c r="J225">
        <v>1501</v>
      </c>
      <c r="K225" t="s">
        <v>409</v>
      </c>
      <c r="L225" t="s">
        <v>80</v>
      </c>
      <c r="M225" t="s">
        <v>53</v>
      </c>
      <c r="N225">
        <v>4971</v>
      </c>
      <c r="O225" t="s">
        <v>53</v>
      </c>
      <c r="P225" t="s">
        <v>70</v>
      </c>
      <c r="Q225" t="s">
        <v>71</v>
      </c>
      <c r="R225" t="s">
        <v>72</v>
      </c>
      <c r="S225" t="s">
        <v>57</v>
      </c>
      <c r="T225" t="s">
        <v>58</v>
      </c>
      <c r="U225" t="s">
        <v>81</v>
      </c>
      <c r="V225">
        <v>0.29100900000000002</v>
      </c>
      <c r="W225" t="s">
        <v>53</v>
      </c>
      <c r="X225" t="s">
        <v>53</v>
      </c>
      <c r="Y225" t="s">
        <v>127</v>
      </c>
      <c r="Z225" t="str">
        <f t="shared" si="6"/>
        <v>Mayor que 70 - hasta 80</v>
      </c>
      <c r="AA225">
        <f t="shared" si="7"/>
        <v>1</v>
      </c>
      <c r="AB225">
        <v>15232</v>
      </c>
      <c r="AC225" t="s">
        <v>234</v>
      </c>
      <c r="AD225" t="s">
        <v>407</v>
      </c>
      <c r="AE225">
        <v>1.056781</v>
      </c>
      <c r="AF225" t="s">
        <v>76</v>
      </c>
      <c r="AG225">
        <v>22.755130000000001</v>
      </c>
      <c r="AH225" t="s">
        <v>234</v>
      </c>
      <c r="AI225" t="s">
        <v>407</v>
      </c>
      <c r="AJ225">
        <v>1.03905</v>
      </c>
      <c r="AK225" t="s">
        <v>76</v>
      </c>
      <c r="AL225">
        <v>22.355129999999999</v>
      </c>
      <c r="AM225" s="4" t="s">
        <v>65</v>
      </c>
      <c r="AN225" s="5">
        <v>3895.4088623146317</v>
      </c>
      <c r="AO225" s="4" t="s">
        <v>65</v>
      </c>
      <c r="AP225" s="6">
        <v>1602</v>
      </c>
      <c r="AQ225">
        <v>4</v>
      </c>
      <c r="AR225">
        <v>3648.4207670000001</v>
      </c>
      <c r="AS225" t="s">
        <v>66</v>
      </c>
      <c r="AT225" t="s">
        <v>53</v>
      </c>
    </row>
    <row r="226" spans="1:46">
      <c r="A226">
        <v>677</v>
      </c>
      <c r="B226" t="s">
        <v>46</v>
      </c>
      <c r="C226">
        <v>15</v>
      </c>
      <c r="D226">
        <v>236</v>
      </c>
      <c r="E226" t="s">
        <v>457</v>
      </c>
      <c r="F226" t="s">
        <v>408</v>
      </c>
      <c r="G226">
        <v>15236</v>
      </c>
      <c r="H226">
        <v>15236</v>
      </c>
      <c r="I226" t="s">
        <v>49</v>
      </c>
      <c r="J226">
        <v>1509</v>
      </c>
      <c r="K226" t="s">
        <v>68</v>
      </c>
      <c r="L226" t="s">
        <v>80</v>
      </c>
      <c r="M226" t="s">
        <v>53</v>
      </c>
      <c r="N226">
        <v>2640</v>
      </c>
      <c r="O226" t="s">
        <v>53</v>
      </c>
      <c r="P226" t="s">
        <v>70</v>
      </c>
      <c r="Q226" t="s">
        <v>71</v>
      </c>
      <c r="R226" t="s">
        <v>56</v>
      </c>
      <c r="S226" t="s">
        <v>57</v>
      </c>
      <c r="T226" t="s">
        <v>73</v>
      </c>
      <c r="U226" t="s">
        <v>59</v>
      </c>
      <c r="V226">
        <v>0.51076900000000003</v>
      </c>
      <c r="W226" t="s">
        <v>53</v>
      </c>
      <c r="X226" t="s">
        <v>53</v>
      </c>
      <c r="Y226" t="s">
        <v>87</v>
      </c>
      <c r="Z226" t="str">
        <f t="shared" si="6"/>
        <v>Mayor que 40 - hasta 50</v>
      </c>
      <c r="AA226">
        <f t="shared" si="7"/>
        <v>1</v>
      </c>
      <c r="AB226">
        <v>15236</v>
      </c>
      <c r="AC226" t="s">
        <v>432</v>
      </c>
      <c r="AD226" t="s">
        <v>405</v>
      </c>
      <c r="AE226">
        <v>2.70601</v>
      </c>
      <c r="AF226" t="s">
        <v>77</v>
      </c>
      <c r="AG226">
        <v>86.834733</v>
      </c>
      <c r="AH226" t="s">
        <v>330</v>
      </c>
      <c r="AI226" t="s">
        <v>332</v>
      </c>
      <c r="AJ226">
        <v>4.6582730000000003</v>
      </c>
      <c r="AK226" t="s">
        <v>85</v>
      </c>
      <c r="AL226">
        <v>162.95281399999999</v>
      </c>
      <c r="AM226" s="4" t="s">
        <v>65</v>
      </c>
      <c r="AN226" s="5">
        <v>4953.7895647174209</v>
      </c>
      <c r="AO226" s="4" t="s">
        <v>65</v>
      </c>
      <c r="AP226" s="6">
        <v>1099</v>
      </c>
      <c r="AQ226">
        <v>4</v>
      </c>
      <c r="AR226">
        <v>5910.1269110000003</v>
      </c>
      <c r="AS226" t="s">
        <v>66</v>
      </c>
      <c r="AT226" t="s">
        <v>53</v>
      </c>
    </row>
    <row r="227" spans="1:46">
      <c r="A227">
        <v>678</v>
      </c>
      <c r="B227" t="s">
        <v>46</v>
      </c>
      <c r="C227">
        <v>15</v>
      </c>
      <c r="D227">
        <v>238</v>
      </c>
      <c r="E227" t="s">
        <v>421</v>
      </c>
      <c r="F227" t="s">
        <v>408</v>
      </c>
      <c r="G227">
        <v>15238</v>
      </c>
      <c r="H227">
        <v>15238</v>
      </c>
      <c r="I227" t="s">
        <v>49</v>
      </c>
      <c r="J227">
        <v>1512</v>
      </c>
      <c r="K227" t="s">
        <v>420</v>
      </c>
      <c r="L227" t="s">
        <v>51</v>
      </c>
      <c r="M227" t="s">
        <v>53</v>
      </c>
      <c r="N227">
        <v>131591</v>
      </c>
      <c r="O227" t="s">
        <v>53</v>
      </c>
      <c r="P227" t="s">
        <v>54</v>
      </c>
      <c r="Q227" t="s">
        <v>125</v>
      </c>
      <c r="R227" t="s">
        <v>72</v>
      </c>
      <c r="S227" t="s">
        <v>57</v>
      </c>
      <c r="T227" t="s">
        <v>58</v>
      </c>
      <c r="U227" t="s">
        <v>81</v>
      </c>
      <c r="V227">
        <v>0.56298400000000004</v>
      </c>
      <c r="W227" t="s">
        <v>53</v>
      </c>
      <c r="X227" t="s">
        <v>53</v>
      </c>
      <c r="Y227" t="s">
        <v>120</v>
      </c>
      <c r="Z227" t="str">
        <f t="shared" si="6"/>
        <v>Mayor que 200 - hasta 250</v>
      </c>
      <c r="AA227">
        <f t="shared" si="7"/>
        <v>1</v>
      </c>
      <c r="AB227">
        <v>15238</v>
      </c>
      <c r="AC227" t="s">
        <v>234</v>
      </c>
      <c r="AD227" t="s">
        <v>421</v>
      </c>
      <c r="AE227">
        <v>0</v>
      </c>
      <c r="AF227" t="s">
        <v>63</v>
      </c>
      <c r="AG227">
        <v>0</v>
      </c>
      <c r="AH227" t="s">
        <v>234</v>
      </c>
      <c r="AI227" t="s">
        <v>407</v>
      </c>
      <c r="AJ227">
        <v>1.332827</v>
      </c>
      <c r="AK227" t="s">
        <v>76</v>
      </c>
      <c r="AL227">
        <v>56.399704</v>
      </c>
      <c r="AM227" s="4" t="s">
        <v>65</v>
      </c>
      <c r="AN227" s="5">
        <v>6987.8965085907639</v>
      </c>
      <c r="AO227" s="4" t="s">
        <v>65</v>
      </c>
      <c r="AP227" s="6">
        <v>6732</v>
      </c>
      <c r="AQ227">
        <v>4</v>
      </c>
      <c r="AR227">
        <v>2668.880341</v>
      </c>
      <c r="AS227" t="s">
        <v>66</v>
      </c>
      <c r="AT227" t="s">
        <v>53</v>
      </c>
    </row>
    <row r="228" spans="1:46">
      <c r="A228">
        <v>679</v>
      </c>
      <c r="B228" t="s">
        <v>46</v>
      </c>
      <c r="C228">
        <v>15</v>
      </c>
      <c r="D228">
        <v>244</v>
      </c>
      <c r="E228" t="s">
        <v>458</v>
      </c>
      <c r="F228" t="s">
        <v>408</v>
      </c>
      <c r="G228">
        <v>15244</v>
      </c>
      <c r="H228">
        <v>15244</v>
      </c>
      <c r="I228" t="s">
        <v>49</v>
      </c>
      <c r="J228">
        <v>1502</v>
      </c>
      <c r="K228" t="s">
        <v>439</v>
      </c>
      <c r="L228" t="s">
        <v>69</v>
      </c>
      <c r="M228" t="s">
        <v>53</v>
      </c>
      <c r="N228">
        <v>4377</v>
      </c>
      <c r="O228" t="s">
        <v>53</v>
      </c>
      <c r="P228" t="s">
        <v>70</v>
      </c>
      <c r="Q228" t="s">
        <v>71</v>
      </c>
      <c r="R228" t="s">
        <v>72</v>
      </c>
      <c r="S228" t="s">
        <v>57</v>
      </c>
      <c r="T228" t="s">
        <v>58</v>
      </c>
      <c r="U228" t="s">
        <v>81</v>
      </c>
      <c r="V228">
        <v>0.69153399999999998</v>
      </c>
      <c r="W228" t="s">
        <v>53</v>
      </c>
      <c r="X228" t="s">
        <v>53</v>
      </c>
      <c r="Y228" t="s">
        <v>82</v>
      </c>
      <c r="Z228" t="str">
        <f t="shared" si="6"/>
        <v>Mayor que 15 - hasta 20</v>
      </c>
      <c r="AA228">
        <f t="shared" si="7"/>
        <v>1</v>
      </c>
      <c r="AB228">
        <v>15244</v>
      </c>
      <c r="AC228" t="s">
        <v>234</v>
      </c>
      <c r="AD228" t="s">
        <v>421</v>
      </c>
      <c r="AE228">
        <v>5.7854239999999999</v>
      </c>
      <c r="AF228" t="s">
        <v>211</v>
      </c>
      <c r="AG228">
        <v>133.69474</v>
      </c>
      <c r="AH228" t="s">
        <v>234</v>
      </c>
      <c r="AI228" t="s">
        <v>407</v>
      </c>
      <c r="AJ228">
        <v>6.9793839999999996</v>
      </c>
      <c r="AK228" t="s">
        <v>354</v>
      </c>
      <c r="AL228">
        <v>188.904495</v>
      </c>
      <c r="AM228" s="4" t="s">
        <v>65</v>
      </c>
      <c r="AN228" s="5">
        <v>147.76766215656727</v>
      </c>
      <c r="AO228" s="4" t="s">
        <v>65</v>
      </c>
      <c r="AP228" s="6">
        <v>63</v>
      </c>
      <c r="AQ228">
        <v>5</v>
      </c>
      <c r="AR228">
        <v>163.38179299999999</v>
      </c>
      <c r="AS228" t="s">
        <v>66</v>
      </c>
      <c r="AT228" t="s">
        <v>53</v>
      </c>
    </row>
    <row r="229" spans="1:46">
      <c r="A229">
        <v>680</v>
      </c>
      <c r="B229" t="s">
        <v>46</v>
      </c>
      <c r="C229">
        <v>15</v>
      </c>
      <c r="D229">
        <v>248</v>
      </c>
      <c r="E229" t="s">
        <v>459</v>
      </c>
      <c r="F229" t="s">
        <v>408</v>
      </c>
      <c r="G229">
        <v>15248</v>
      </c>
      <c r="H229">
        <v>15248</v>
      </c>
      <c r="I229" t="s">
        <v>49</v>
      </c>
      <c r="J229">
        <v>1502</v>
      </c>
      <c r="K229" t="s">
        <v>439</v>
      </c>
      <c r="L229" t="s">
        <v>91</v>
      </c>
      <c r="M229" t="s">
        <v>53</v>
      </c>
      <c r="N229">
        <v>3217</v>
      </c>
      <c r="O229" t="s">
        <v>53</v>
      </c>
      <c r="P229" t="s">
        <v>70</v>
      </c>
      <c r="Q229" t="s">
        <v>71</v>
      </c>
      <c r="R229" t="s">
        <v>72</v>
      </c>
      <c r="S229" t="s">
        <v>57</v>
      </c>
      <c r="T229" t="s">
        <v>58</v>
      </c>
      <c r="U229" t="s">
        <v>81</v>
      </c>
      <c r="V229">
        <v>0.66571000000000002</v>
      </c>
      <c r="W229" t="s">
        <v>53</v>
      </c>
      <c r="X229" t="s">
        <v>53</v>
      </c>
      <c r="Y229" t="s">
        <v>102</v>
      </c>
      <c r="Z229" t="str">
        <f t="shared" si="6"/>
        <v>Mayor que 20 - hasta 30</v>
      </c>
      <c r="AA229">
        <f t="shared" si="7"/>
        <v>1</v>
      </c>
      <c r="AB229">
        <v>15248</v>
      </c>
      <c r="AC229" t="s">
        <v>234</v>
      </c>
      <c r="AD229" t="s">
        <v>421</v>
      </c>
      <c r="AE229">
        <v>5.0326659999999999</v>
      </c>
      <c r="AF229" t="s">
        <v>211</v>
      </c>
      <c r="AG229">
        <v>130.721948</v>
      </c>
      <c r="AH229" t="s">
        <v>234</v>
      </c>
      <c r="AI229" t="s">
        <v>407</v>
      </c>
      <c r="AJ229">
        <v>6.2266260000000004</v>
      </c>
      <c r="AK229" t="s">
        <v>354</v>
      </c>
      <c r="AL229">
        <v>185.931703</v>
      </c>
      <c r="AM229" s="4" t="s">
        <v>65</v>
      </c>
      <c r="AN229" s="5">
        <v>2705.6334341316165</v>
      </c>
      <c r="AO229" s="4" t="s">
        <v>65</v>
      </c>
      <c r="AP229" s="6">
        <v>1532</v>
      </c>
      <c r="AQ229">
        <v>5</v>
      </c>
      <c r="AR229">
        <v>1644.046918</v>
      </c>
      <c r="AS229" t="s">
        <v>66</v>
      </c>
      <c r="AT229" t="s">
        <v>53</v>
      </c>
    </row>
    <row r="230" spans="1:46">
      <c r="A230">
        <v>681</v>
      </c>
      <c r="B230" t="s">
        <v>46</v>
      </c>
      <c r="C230">
        <v>15</v>
      </c>
      <c r="D230">
        <v>272</v>
      </c>
      <c r="E230" t="s">
        <v>460</v>
      </c>
      <c r="F230" t="s">
        <v>408</v>
      </c>
      <c r="G230">
        <v>15272</v>
      </c>
      <c r="H230">
        <v>15272</v>
      </c>
      <c r="I230" t="s">
        <v>49</v>
      </c>
      <c r="J230">
        <v>1511</v>
      </c>
      <c r="K230" t="s">
        <v>413</v>
      </c>
      <c r="L230" t="s">
        <v>91</v>
      </c>
      <c r="M230" t="s">
        <v>53</v>
      </c>
      <c r="N230">
        <v>7109</v>
      </c>
      <c r="O230" t="s">
        <v>53</v>
      </c>
      <c r="P230" t="s">
        <v>70</v>
      </c>
      <c r="Q230" t="s">
        <v>71</v>
      </c>
      <c r="R230" t="s">
        <v>56</v>
      </c>
      <c r="S230" t="s">
        <v>57</v>
      </c>
      <c r="T230" t="s">
        <v>58</v>
      </c>
      <c r="U230" t="s">
        <v>81</v>
      </c>
      <c r="V230">
        <v>0.570689</v>
      </c>
      <c r="W230" t="s">
        <v>53</v>
      </c>
      <c r="X230" t="s">
        <v>53</v>
      </c>
      <c r="Y230" t="s">
        <v>437</v>
      </c>
      <c r="Z230" t="str">
        <f t="shared" si="6"/>
        <v>Mayor que 160 - hasta 180</v>
      </c>
      <c r="AA230">
        <f t="shared" si="7"/>
        <v>1</v>
      </c>
      <c r="AB230">
        <v>15272</v>
      </c>
      <c r="AC230" t="s">
        <v>234</v>
      </c>
      <c r="AD230" t="s">
        <v>416</v>
      </c>
      <c r="AE230">
        <v>0.34875699999999998</v>
      </c>
      <c r="AF230" t="s">
        <v>63</v>
      </c>
      <c r="AG230">
        <v>12.026702999999999</v>
      </c>
      <c r="AH230" t="s">
        <v>234</v>
      </c>
      <c r="AI230" t="s">
        <v>407</v>
      </c>
      <c r="AJ230">
        <v>1.8876809999999999</v>
      </c>
      <c r="AK230" t="s">
        <v>76</v>
      </c>
      <c r="AL230">
        <v>81.873210999999998</v>
      </c>
      <c r="AM230" s="4" t="s">
        <v>65</v>
      </c>
      <c r="AN230" s="5">
        <v>8751.7196111279627</v>
      </c>
      <c r="AO230" s="4" t="s">
        <v>65</v>
      </c>
      <c r="AP230" s="6">
        <v>7573</v>
      </c>
      <c r="AQ230">
        <v>4</v>
      </c>
      <c r="AR230">
        <v>6066.3955329999999</v>
      </c>
      <c r="AS230" t="s">
        <v>66</v>
      </c>
      <c r="AT230" t="s">
        <v>53</v>
      </c>
    </row>
    <row r="231" spans="1:46">
      <c r="A231">
        <v>682</v>
      </c>
      <c r="B231" t="s">
        <v>46</v>
      </c>
      <c r="C231">
        <v>15</v>
      </c>
      <c r="D231">
        <v>276</v>
      </c>
      <c r="E231" t="s">
        <v>461</v>
      </c>
      <c r="F231" t="s">
        <v>408</v>
      </c>
      <c r="G231">
        <v>15276</v>
      </c>
      <c r="H231">
        <v>15276</v>
      </c>
      <c r="I231" t="s">
        <v>49</v>
      </c>
      <c r="J231">
        <v>1512</v>
      </c>
      <c r="K231" t="s">
        <v>420</v>
      </c>
      <c r="L231" t="s">
        <v>69</v>
      </c>
      <c r="M231" t="s">
        <v>53</v>
      </c>
      <c r="N231">
        <v>3422</v>
      </c>
      <c r="O231" t="s">
        <v>53</v>
      </c>
      <c r="P231" t="s">
        <v>70</v>
      </c>
      <c r="Q231" t="s">
        <v>71</v>
      </c>
      <c r="R231" t="s">
        <v>72</v>
      </c>
      <c r="S231" t="s">
        <v>57</v>
      </c>
      <c r="T231" t="s">
        <v>58</v>
      </c>
      <c r="U231" t="s">
        <v>81</v>
      </c>
      <c r="V231">
        <v>0.77843399999999996</v>
      </c>
      <c r="W231" t="s">
        <v>53</v>
      </c>
      <c r="X231" t="s">
        <v>53</v>
      </c>
      <c r="Y231" t="s">
        <v>127</v>
      </c>
      <c r="Z231" t="str">
        <f t="shared" si="6"/>
        <v>Mayor que 70 - hasta 80</v>
      </c>
      <c r="AA231">
        <f t="shared" si="7"/>
        <v>1</v>
      </c>
      <c r="AB231">
        <v>15276</v>
      </c>
      <c r="AC231" t="s">
        <v>234</v>
      </c>
      <c r="AD231" t="s">
        <v>421</v>
      </c>
      <c r="AE231">
        <v>0.64837199999999995</v>
      </c>
      <c r="AF231" t="s">
        <v>63</v>
      </c>
      <c r="AG231">
        <v>18.675231</v>
      </c>
      <c r="AH231" t="s">
        <v>234</v>
      </c>
      <c r="AI231" t="s">
        <v>407</v>
      </c>
      <c r="AJ231">
        <v>1.842333</v>
      </c>
      <c r="AK231" t="s">
        <v>76</v>
      </c>
      <c r="AL231">
        <v>73.884985999999998</v>
      </c>
      <c r="AM231" s="4" t="s">
        <v>65</v>
      </c>
      <c r="AN231" s="5">
        <v>6979.7697421271423</v>
      </c>
      <c r="AO231" s="4" t="s">
        <v>65</v>
      </c>
      <c r="AP231" s="6">
        <v>3736</v>
      </c>
      <c r="AQ231">
        <v>4</v>
      </c>
      <c r="AR231">
        <v>4185.8779549999999</v>
      </c>
      <c r="AS231" t="s">
        <v>66</v>
      </c>
      <c r="AT231" t="s">
        <v>53</v>
      </c>
    </row>
    <row r="232" spans="1:46">
      <c r="A232">
        <v>683</v>
      </c>
      <c r="B232" t="s">
        <v>46</v>
      </c>
      <c r="C232">
        <v>15</v>
      </c>
      <c r="D232">
        <v>293</v>
      </c>
      <c r="E232" t="s">
        <v>462</v>
      </c>
      <c r="F232" t="s">
        <v>408</v>
      </c>
      <c r="G232">
        <v>15293</v>
      </c>
      <c r="H232">
        <v>15293</v>
      </c>
      <c r="I232" t="s">
        <v>49</v>
      </c>
      <c r="J232">
        <v>1510</v>
      </c>
      <c r="K232" t="s">
        <v>418</v>
      </c>
      <c r="L232" t="s">
        <v>80</v>
      </c>
      <c r="M232" t="s">
        <v>53</v>
      </c>
      <c r="N232">
        <v>2939</v>
      </c>
      <c r="O232" t="s">
        <v>53</v>
      </c>
      <c r="P232" t="s">
        <v>70</v>
      </c>
      <c r="Q232" t="s">
        <v>71</v>
      </c>
      <c r="R232" t="s">
        <v>93</v>
      </c>
      <c r="S232" t="s">
        <v>57</v>
      </c>
      <c r="T232" t="s">
        <v>58</v>
      </c>
      <c r="U232" t="s">
        <v>81</v>
      </c>
      <c r="V232">
        <v>0.66577699999999995</v>
      </c>
      <c r="W232" t="s">
        <v>53</v>
      </c>
      <c r="X232" t="s">
        <v>53</v>
      </c>
      <c r="Y232" t="s">
        <v>87</v>
      </c>
      <c r="Z232" t="str">
        <f t="shared" si="6"/>
        <v>Mayor que 40 - hasta 50</v>
      </c>
      <c r="AA232">
        <f t="shared" si="7"/>
        <v>1</v>
      </c>
      <c r="AB232">
        <v>15293</v>
      </c>
      <c r="AC232" t="s">
        <v>282</v>
      </c>
      <c r="AD232" t="s">
        <v>88</v>
      </c>
      <c r="AE232">
        <v>0.93033399999999999</v>
      </c>
      <c r="AF232" t="s">
        <v>63</v>
      </c>
      <c r="AG232">
        <v>28.704877</v>
      </c>
      <c r="AH232" t="s">
        <v>234</v>
      </c>
      <c r="AI232" t="s">
        <v>407</v>
      </c>
      <c r="AJ232">
        <v>1.676922</v>
      </c>
      <c r="AK232" t="s">
        <v>76</v>
      </c>
      <c r="AL232">
        <v>49.887214999999998</v>
      </c>
      <c r="AM232" s="4" t="s">
        <v>65</v>
      </c>
      <c r="AN232" s="5">
        <v>5785.5293792275916</v>
      </c>
      <c r="AO232" s="4" t="s">
        <v>65</v>
      </c>
      <c r="AP232" s="6">
        <v>2210</v>
      </c>
      <c r="AQ232">
        <v>3</v>
      </c>
      <c r="AR232">
        <v>4369.55681</v>
      </c>
      <c r="AS232" t="s">
        <v>66</v>
      </c>
      <c r="AT232" t="s">
        <v>53</v>
      </c>
    </row>
    <row r="233" spans="1:46">
      <c r="A233">
        <v>684</v>
      </c>
      <c r="B233" t="s">
        <v>46</v>
      </c>
      <c r="C233">
        <v>15</v>
      </c>
      <c r="D233">
        <v>296</v>
      </c>
      <c r="E233" t="s">
        <v>463</v>
      </c>
      <c r="F233" t="s">
        <v>408</v>
      </c>
      <c r="G233">
        <v>15296</v>
      </c>
      <c r="H233">
        <v>15296</v>
      </c>
      <c r="I233" t="s">
        <v>49</v>
      </c>
      <c r="J233">
        <v>1511</v>
      </c>
      <c r="K233" t="s">
        <v>413</v>
      </c>
      <c r="L233" t="s">
        <v>69</v>
      </c>
      <c r="M233" t="s">
        <v>53</v>
      </c>
      <c r="N233">
        <v>5112</v>
      </c>
      <c r="O233" t="s">
        <v>53</v>
      </c>
      <c r="P233" t="s">
        <v>70</v>
      </c>
      <c r="Q233" t="s">
        <v>71</v>
      </c>
      <c r="R233" t="s">
        <v>122</v>
      </c>
      <c r="S233" t="s">
        <v>57</v>
      </c>
      <c r="T233" t="s">
        <v>58</v>
      </c>
      <c r="U233" t="s">
        <v>81</v>
      </c>
      <c r="V233">
        <v>0.85091799999999995</v>
      </c>
      <c r="W233" t="s">
        <v>53</v>
      </c>
      <c r="X233" t="s">
        <v>53</v>
      </c>
      <c r="Y233" t="s">
        <v>127</v>
      </c>
      <c r="Z233" t="str">
        <f t="shared" si="6"/>
        <v>Mayor que 70 - hasta 80</v>
      </c>
      <c r="AA233">
        <f t="shared" si="7"/>
        <v>1</v>
      </c>
      <c r="AB233">
        <v>15296</v>
      </c>
      <c r="AC233" t="s">
        <v>234</v>
      </c>
      <c r="AD233" t="s">
        <v>416</v>
      </c>
      <c r="AE233">
        <v>0.74688699999999997</v>
      </c>
      <c r="AF233" t="s">
        <v>63</v>
      </c>
      <c r="AG233">
        <v>18.548023000000001</v>
      </c>
      <c r="AH233" t="s">
        <v>234</v>
      </c>
      <c r="AI233" t="s">
        <v>407</v>
      </c>
      <c r="AJ233">
        <v>2.1769530000000001</v>
      </c>
      <c r="AK233" t="s">
        <v>77</v>
      </c>
      <c r="AL233">
        <v>87.063159999999996</v>
      </c>
      <c r="AM233" s="4" t="s">
        <v>65</v>
      </c>
      <c r="AN233" s="5">
        <v>2856.4273397147786</v>
      </c>
      <c r="AO233" s="4" t="s">
        <v>65</v>
      </c>
      <c r="AP233" s="6">
        <v>3676</v>
      </c>
      <c r="AQ233">
        <v>4</v>
      </c>
      <c r="AR233">
        <v>1365.0197909999999</v>
      </c>
      <c r="AS233" t="s">
        <v>66</v>
      </c>
      <c r="AT233" t="s">
        <v>53</v>
      </c>
    </row>
    <row r="234" spans="1:46">
      <c r="A234">
        <v>685</v>
      </c>
      <c r="B234" t="s">
        <v>46</v>
      </c>
      <c r="C234">
        <v>15</v>
      </c>
      <c r="D234">
        <v>299</v>
      </c>
      <c r="E234" t="s">
        <v>464</v>
      </c>
      <c r="F234" t="s">
        <v>408</v>
      </c>
      <c r="G234">
        <v>15299</v>
      </c>
      <c r="H234">
        <v>15299</v>
      </c>
      <c r="I234" t="s">
        <v>49</v>
      </c>
      <c r="J234">
        <v>1506</v>
      </c>
      <c r="K234" t="s">
        <v>435</v>
      </c>
      <c r="L234" t="s">
        <v>91</v>
      </c>
      <c r="M234" t="s">
        <v>53</v>
      </c>
      <c r="N234">
        <v>19208</v>
      </c>
      <c r="O234" t="s">
        <v>53</v>
      </c>
      <c r="P234" t="s">
        <v>70</v>
      </c>
      <c r="Q234" t="s">
        <v>71</v>
      </c>
      <c r="R234" t="s">
        <v>122</v>
      </c>
      <c r="S234" t="s">
        <v>57</v>
      </c>
      <c r="T234" t="s">
        <v>58</v>
      </c>
      <c r="U234" t="s">
        <v>81</v>
      </c>
      <c r="V234">
        <v>0.41762899999999997</v>
      </c>
      <c r="W234">
        <v>2015</v>
      </c>
      <c r="X234" t="s">
        <v>217</v>
      </c>
      <c r="Y234" t="s">
        <v>187</v>
      </c>
      <c r="Z234" t="str">
        <f t="shared" si="6"/>
        <v>Mayor que 80 - hasta 100</v>
      </c>
      <c r="AA234">
        <f t="shared" si="7"/>
        <v>1</v>
      </c>
      <c r="AB234">
        <v>15299</v>
      </c>
      <c r="AC234" t="s">
        <v>330</v>
      </c>
      <c r="AD234" t="s">
        <v>411</v>
      </c>
      <c r="AE234">
        <v>2.568505</v>
      </c>
      <c r="AF234" t="s">
        <v>77</v>
      </c>
      <c r="AG234">
        <v>78.792091999999997</v>
      </c>
      <c r="AH234" t="s">
        <v>234</v>
      </c>
      <c r="AI234" t="s">
        <v>407</v>
      </c>
      <c r="AJ234">
        <v>2.9045640000000001</v>
      </c>
      <c r="AK234" t="s">
        <v>77</v>
      </c>
      <c r="AL234">
        <v>65.672495999999995</v>
      </c>
      <c r="AM234" t="s">
        <v>65</v>
      </c>
      <c r="AN234" s="7">
        <v>3984.9871194157531</v>
      </c>
      <c r="AO234" t="s">
        <v>65</v>
      </c>
      <c r="AP234" s="3">
        <v>4301</v>
      </c>
      <c r="AQ234">
        <v>4</v>
      </c>
      <c r="AR234">
        <v>3068.2929239999999</v>
      </c>
      <c r="AS234" t="s">
        <v>66</v>
      </c>
      <c r="AT234" t="s">
        <v>137</v>
      </c>
    </row>
    <row r="235" spans="1:46">
      <c r="A235">
        <v>686</v>
      </c>
      <c r="B235" t="s">
        <v>46</v>
      </c>
      <c r="C235">
        <v>15</v>
      </c>
      <c r="D235">
        <v>317</v>
      </c>
      <c r="E235" t="s">
        <v>465</v>
      </c>
      <c r="F235" t="s">
        <v>408</v>
      </c>
      <c r="G235">
        <v>15317</v>
      </c>
      <c r="H235">
        <v>15317</v>
      </c>
      <c r="I235" t="s">
        <v>49</v>
      </c>
      <c r="J235">
        <v>1502</v>
      </c>
      <c r="K235" t="s">
        <v>439</v>
      </c>
      <c r="L235" t="s">
        <v>80</v>
      </c>
      <c r="M235" t="s">
        <v>53</v>
      </c>
      <c r="N235">
        <v>1952</v>
      </c>
      <c r="O235" t="s">
        <v>53</v>
      </c>
      <c r="P235" t="s">
        <v>70</v>
      </c>
      <c r="Q235" t="s">
        <v>71</v>
      </c>
      <c r="R235" t="s">
        <v>72</v>
      </c>
      <c r="S235" t="s">
        <v>57</v>
      </c>
      <c r="T235" t="s">
        <v>58</v>
      </c>
      <c r="U235" t="s">
        <v>81</v>
      </c>
      <c r="V235">
        <v>0.77038899999999999</v>
      </c>
      <c r="W235" t="s">
        <v>53</v>
      </c>
      <c r="X235" t="s">
        <v>53</v>
      </c>
      <c r="Y235" t="s">
        <v>102</v>
      </c>
      <c r="Z235" t="str">
        <f t="shared" si="6"/>
        <v>Mayor que 20 - hasta 30</v>
      </c>
      <c r="AA235">
        <f t="shared" si="7"/>
        <v>1</v>
      </c>
      <c r="AB235">
        <v>15317</v>
      </c>
      <c r="AC235" t="s">
        <v>234</v>
      </c>
      <c r="AD235" t="s">
        <v>421</v>
      </c>
      <c r="AE235">
        <v>5.2062689999999998</v>
      </c>
      <c r="AF235" t="s">
        <v>211</v>
      </c>
      <c r="AG235">
        <v>131.65331900000001</v>
      </c>
      <c r="AH235" t="s">
        <v>234</v>
      </c>
      <c r="AI235" t="s">
        <v>407</v>
      </c>
      <c r="AJ235">
        <v>6.4002309999999998</v>
      </c>
      <c r="AK235" t="s">
        <v>354</v>
      </c>
      <c r="AL235">
        <v>186.86307300000001</v>
      </c>
      <c r="AM235" s="4" t="s">
        <v>65</v>
      </c>
      <c r="AN235" s="5">
        <v>3428.6836872662448</v>
      </c>
      <c r="AO235" s="4" t="s">
        <v>65</v>
      </c>
      <c r="AP235" s="6">
        <v>2244</v>
      </c>
      <c r="AQ235">
        <v>5</v>
      </c>
      <c r="AR235">
        <v>1669.36382</v>
      </c>
      <c r="AS235" t="s">
        <v>66</v>
      </c>
      <c r="AT235" t="s">
        <v>53</v>
      </c>
    </row>
    <row r="236" spans="1:46">
      <c r="A236">
        <v>687</v>
      </c>
      <c r="B236" t="s">
        <v>46</v>
      </c>
      <c r="C236">
        <v>15</v>
      </c>
      <c r="D236">
        <v>322</v>
      </c>
      <c r="E236" t="s">
        <v>466</v>
      </c>
      <c r="F236" t="s">
        <v>408</v>
      </c>
      <c r="G236">
        <v>15322</v>
      </c>
      <c r="H236">
        <v>15322</v>
      </c>
      <c r="I236" t="s">
        <v>49</v>
      </c>
      <c r="J236">
        <v>1509</v>
      </c>
      <c r="K236" t="s">
        <v>68</v>
      </c>
      <c r="L236" t="s">
        <v>91</v>
      </c>
      <c r="M236" t="s">
        <v>53</v>
      </c>
      <c r="N236">
        <v>11400</v>
      </c>
      <c r="O236" t="s">
        <v>53</v>
      </c>
      <c r="P236" t="s">
        <v>70</v>
      </c>
      <c r="Q236" t="s">
        <v>71</v>
      </c>
      <c r="R236" t="s">
        <v>56</v>
      </c>
      <c r="S236" t="s">
        <v>57</v>
      </c>
      <c r="T236" t="s">
        <v>58</v>
      </c>
      <c r="U236" t="s">
        <v>81</v>
      </c>
      <c r="V236">
        <v>0.66442299999999999</v>
      </c>
      <c r="W236" t="s">
        <v>53</v>
      </c>
      <c r="X236" t="s">
        <v>53</v>
      </c>
      <c r="Y236" t="s">
        <v>87</v>
      </c>
      <c r="Z236" t="str">
        <f t="shared" si="6"/>
        <v>Mayor que 40 - hasta 50</v>
      </c>
      <c r="AA236">
        <f t="shared" si="7"/>
        <v>1</v>
      </c>
      <c r="AB236">
        <v>15322</v>
      </c>
      <c r="AC236" t="s">
        <v>330</v>
      </c>
      <c r="AD236" t="s">
        <v>411</v>
      </c>
      <c r="AE236">
        <v>1.7365900000000001</v>
      </c>
      <c r="AF236" t="s">
        <v>76</v>
      </c>
      <c r="AG236">
        <v>68.983766000000003</v>
      </c>
      <c r="AH236" t="s">
        <v>330</v>
      </c>
      <c r="AI236" t="s">
        <v>332</v>
      </c>
      <c r="AJ236">
        <v>2.6835650000000002</v>
      </c>
      <c r="AK236" t="s">
        <v>77</v>
      </c>
      <c r="AL236">
        <v>118.404076</v>
      </c>
      <c r="AM236" s="4" t="s">
        <v>65</v>
      </c>
      <c r="AN236" s="5">
        <v>3096.0440943279405</v>
      </c>
      <c r="AO236" s="4" t="s">
        <v>65</v>
      </c>
      <c r="AP236" s="6">
        <v>4584</v>
      </c>
      <c r="AQ236">
        <v>4</v>
      </c>
      <c r="AR236">
        <v>1551.8819060000001</v>
      </c>
      <c r="AS236" t="s">
        <v>66</v>
      </c>
      <c r="AT236" t="s">
        <v>53</v>
      </c>
    </row>
    <row r="237" spans="1:46">
      <c r="A237">
        <v>688</v>
      </c>
      <c r="B237" t="s">
        <v>46</v>
      </c>
      <c r="C237">
        <v>15</v>
      </c>
      <c r="D237">
        <v>325</v>
      </c>
      <c r="E237" t="s">
        <v>467</v>
      </c>
      <c r="F237" t="s">
        <v>408</v>
      </c>
      <c r="G237">
        <v>15325</v>
      </c>
      <c r="H237">
        <v>15325</v>
      </c>
      <c r="I237" t="s">
        <v>49</v>
      </c>
      <c r="J237">
        <v>1509</v>
      </c>
      <c r="K237" t="s">
        <v>68</v>
      </c>
      <c r="L237" t="s">
        <v>69</v>
      </c>
      <c r="M237" t="s">
        <v>53</v>
      </c>
      <c r="N237">
        <v>3501</v>
      </c>
      <c r="O237" t="s">
        <v>53</v>
      </c>
      <c r="P237" t="s">
        <v>70</v>
      </c>
      <c r="Q237" t="s">
        <v>71</v>
      </c>
      <c r="R237" t="s">
        <v>93</v>
      </c>
      <c r="S237" t="s">
        <v>57</v>
      </c>
      <c r="T237" t="s">
        <v>58</v>
      </c>
      <c r="U237" t="s">
        <v>81</v>
      </c>
      <c r="V237">
        <v>0.72067599999999998</v>
      </c>
      <c r="W237" t="s">
        <v>53</v>
      </c>
      <c r="X237" t="s">
        <v>53</v>
      </c>
      <c r="Y237" t="s">
        <v>116</v>
      </c>
      <c r="Z237" t="str">
        <f t="shared" si="6"/>
        <v>Mayor que 30 - hasta 40</v>
      </c>
      <c r="AA237">
        <f t="shared" si="7"/>
        <v>1</v>
      </c>
      <c r="AB237">
        <v>15325</v>
      </c>
      <c r="AC237" t="s">
        <v>330</v>
      </c>
      <c r="AD237" t="s">
        <v>411</v>
      </c>
      <c r="AE237">
        <v>2.2611460000000001</v>
      </c>
      <c r="AF237" t="s">
        <v>77</v>
      </c>
      <c r="AG237">
        <v>71.339400999999995</v>
      </c>
      <c r="AH237" t="s">
        <v>330</v>
      </c>
      <c r="AI237" t="s">
        <v>332</v>
      </c>
      <c r="AJ237">
        <v>3.2081219999999999</v>
      </c>
      <c r="AK237" t="s">
        <v>84</v>
      </c>
      <c r="AL237">
        <v>120.759711</v>
      </c>
      <c r="AM237" s="4" t="s">
        <v>65</v>
      </c>
      <c r="AN237" s="5">
        <v>8404.6831341869784</v>
      </c>
      <c r="AO237" s="4" t="s">
        <v>65</v>
      </c>
      <c r="AP237" s="6">
        <v>6346</v>
      </c>
      <c r="AQ237">
        <v>3</v>
      </c>
      <c r="AR237">
        <v>5501.6398669999999</v>
      </c>
      <c r="AS237" t="s">
        <v>66</v>
      </c>
      <c r="AT237" t="s">
        <v>53</v>
      </c>
    </row>
    <row r="238" spans="1:46">
      <c r="A238">
        <v>755</v>
      </c>
      <c r="B238" t="s">
        <v>46</v>
      </c>
      <c r="C238">
        <v>15</v>
      </c>
      <c r="D238">
        <v>332</v>
      </c>
      <c r="E238" t="s">
        <v>468</v>
      </c>
      <c r="F238" t="s">
        <v>408</v>
      </c>
      <c r="G238">
        <v>15332</v>
      </c>
      <c r="H238">
        <v>15332</v>
      </c>
      <c r="I238" t="s">
        <v>49</v>
      </c>
      <c r="J238">
        <v>1502</v>
      </c>
      <c r="K238" t="s">
        <v>439</v>
      </c>
      <c r="L238" t="s">
        <v>80</v>
      </c>
      <c r="M238" t="s">
        <v>53</v>
      </c>
      <c r="N238">
        <v>4492</v>
      </c>
      <c r="O238" t="s">
        <v>53</v>
      </c>
      <c r="P238" t="s">
        <v>70</v>
      </c>
      <c r="Q238" t="s">
        <v>71</v>
      </c>
      <c r="R238" t="s">
        <v>93</v>
      </c>
      <c r="S238" t="s">
        <v>57</v>
      </c>
      <c r="T238" t="s">
        <v>58</v>
      </c>
      <c r="U238" t="s">
        <v>81</v>
      </c>
      <c r="V238">
        <v>0.64326700000000003</v>
      </c>
      <c r="W238" t="s">
        <v>53</v>
      </c>
      <c r="X238" t="s">
        <v>53</v>
      </c>
      <c r="Y238" t="s">
        <v>82</v>
      </c>
      <c r="Z238" t="str">
        <f t="shared" si="6"/>
        <v>Mayor que 15 - hasta 20</v>
      </c>
      <c r="AA238">
        <f t="shared" si="7"/>
        <v>1</v>
      </c>
      <c r="AB238">
        <v>15332</v>
      </c>
      <c r="AC238" t="s">
        <v>234</v>
      </c>
      <c r="AD238" t="s">
        <v>421</v>
      </c>
      <c r="AE238">
        <v>5.8805079999999998</v>
      </c>
      <c r="AF238" t="s">
        <v>211</v>
      </c>
      <c r="AG238">
        <v>140.40601000000001</v>
      </c>
      <c r="AH238" t="s">
        <v>234</v>
      </c>
      <c r="AI238" t="s">
        <v>407</v>
      </c>
      <c r="AJ238">
        <v>7.0744689999999997</v>
      </c>
      <c r="AK238" t="s">
        <v>221</v>
      </c>
      <c r="AL238">
        <v>195.61576500000001</v>
      </c>
      <c r="AM238" s="4" t="s">
        <v>65</v>
      </c>
      <c r="AN238" s="5">
        <v>269.20984081802374</v>
      </c>
      <c r="AO238" s="4" t="s">
        <v>65</v>
      </c>
      <c r="AP238" s="6">
        <v>166</v>
      </c>
      <c r="AQ238">
        <v>5</v>
      </c>
      <c r="AR238">
        <v>170.660653</v>
      </c>
      <c r="AS238" t="s">
        <v>66</v>
      </c>
      <c r="AT238" t="s">
        <v>53</v>
      </c>
    </row>
    <row r="239" spans="1:46">
      <c r="A239">
        <v>689</v>
      </c>
      <c r="B239" t="s">
        <v>46</v>
      </c>
      <c r="C239">
        <v>15</v>
      </c>
      <c r="D239">
        <v>362</v>
      </c>
      <c r="E239" t="s">
        <v>469</v>
      </c>
      <c r="F239" t="s">
        <v>408</v>
      </c>
      <c r="G239">
        <v>15362</v>
      </c>
      <c r="H239">
        <v>15362</v>
      </c>
      <c r="I239" t="s">
        <v>49</v>
      </c>
      <c r="J239">
        <v>1511</v>
      </c>
      <c r="K239" t="s">
        <v>413</v>
      </c>
      <c r="L239" t="s">
        <v>91</v>
      </c>
      <c r="M239" t="s">
        <v>53</v>
      </c>
      <c r="N239">
        <v>2078</v>
      </c>
      <c r="O239" t="s">
        <v>53</v>
      </c>
      <c r="P239" t="s">
        <v>70</v>
      </c>
      <c r="Q239" t="s">
        <v>71</v>
      </c>
      <c r="R239" t="s">
        <v>122</v>
      </c>
      <c r="S239" t="s">
        <v>57</v>
      </c>
      <c r="T239" t="s">
        <v>58</v>
      </c>
      <c r="U239" t="s">
        <v>81</v>
      </c>
      <c r="V239">
        <v>0.604603</v>
      </c>
      <c r="W239" t="s">
        <v>53</v>
      </c>
      <c r="X239" t="s">
        <v>53</v>
      </c>
      <c r="Y239" t="s">
        <v>437</v>
      </c>
      <c r="Z239" t="str">
        <f t="shared" si="6"/>
        <v>Mayor que 160 - hasta 180</v>
      </c>
      <c r="AA239">
        <f t="shared" si="7"/>
        <v>1</v>
      </c>
      <c r="AB239">
        <v>15362</v>
      </c>
      <c r="AC239" t="s">
        <v>234</v>
      </c>
      <c r="AD239" t="s">
        <v>416</v>
      </c>
      <c r="AE239">
        <v>0.50252799999999997</v>
      </c>
      <c r="AF239" t="s">
        <v>63</v>
      </c>
      <c r="AG239">
        <v>16.979393999999999</v>
      </c>
      <c r="AH239" t="s">
        <v>234</v>
      </c>
      <c r="AI239" t="s">
        <v>407</v>
      </c>
      <c r="AJ239">
        <v>2.041452</v>
      </c>
      <c r="AK239" t="s">
        <v>77</v>
      </c>
      <c r="AL239">
        <v>86.825901999999999</v>
      </c>
      <c r="AM239" s="4" t="s">
        <v>65</v>
      </c>
      <c r="AN239" s="5">
        <v>2643.4953051403891</v>
      </c>
      <c r="AO239" s="4" t="s">
        <v>65</v>
      </c>
      <c r="AP239" s="6">
        <v>1704</v>
      </c>
      <c r="AQ239">
        <v>2</v>
      </c>
      <c r="AR239">
        <v>583.15405999999996</v>
      </c>
      <c r="AS239" t="s">
        <v>66</v>
      </c>
      <c r="AT239" t="s">
        <v>53</v>
      </c>
    </row>
    <row r="240" spans="1:46">
      <c r="A240">
        <v>690</v>
      </c>
      <c r="B240" t="s">
        <v>46</v>
      </c>
      <c r="C240">
        <v>15</v>
      </c>
      <c r="D240">
        <v>367</v>
      </c>
      <c r="E240" t="s">
        <v>470</v>
      </c>
      <c r="F240" t="s">
        <v>408</v>
      </c>
      <c r="G240">
        <v>15367</v>
      </c>
      <c r="H240">
        <v>15367</v>
      </c>
      <c r="I240" t="s">
        <v>49</v>
      </c>
      <c r="J240">
        <v>1505</v>
      </c>
      <c r="K240" t="s">
        <v>427</v>
      </c>
      <c r="L240" t="s">
        <v>91</v>
      </c>
      <c r="M240" t="s">
        <v>53</v>
      </c>
      <c r="N240">
        <v>7666</v>
      </c>
      <c r="O240" t="s">
        <v>53</v>
      </c>
      <c r="P240" t="s">
        <v>70</v>
      </c>
      <c r="Q240" t="s">
        <v>71</v>
      </c>
      <c r="R240" t="s">
        <v>56</v>
      </c>
      <c r="S240" t="s">
        <v>57</v>
      </c>
      <c r="T240" t="s">
        <v>58</v>
      </c>
      <c r="U240" t="s">
        <v>81</v>
      </c>
      <c r="V240">
        <v>0.739093</v>
      </c>
      <c r="W240" t="s">
        <v>53</v>
      </c>
      <c r="X240" t="s">
        <v>53</v>
      </c>
      <c r="Y240" t="s">
        <v>74</v>
      </c>
      <c r="Z240" t="str">
        <f t="shared" si="6"/>
        <v>Mayor que 140 - hasta 160</v>
      </c>
      <c r="AA240">
        <f t="shared" si="7"/>
        <v>1</v>
      </c>
      <c r="AB240">
        <v>15367</v>
      </c>
      <c r="AC240" t="s">
        <v>234</v>
      </c>
      <c r="AD240" t="s">
        <v>407</v>
      </c>
      <c r="AE240">
        <v>0.80785200000000001</v>
      </c>
      <c r="AF240" t="s">
        <v>63</v>
      </c>
      <c r="AG240">
        <v>23.459292999999999</v>
      </c>
      <c r="AH240" t="s">
        <v>234</v>
      </c>
      <c r="AI240" t="s">
        <v>407</v>
      </c>
      <c r="AJ240">
        <v>0.81499100000000002</v>
      </c>
      <c r="AK240" t="s">
        <v>63</v>
      </c>
      <c r="AL240">
        <v>23.800713999999999</v>
      </c>
      <c r="AM240" s="4" t="s">
        <v>65</v>
      </c>
      <c r="AN240" s="5">
        <v>5703.4593187806568</v>
      </c>
      <c r="AO240" s="4" t="s">
        <v>65</v>
      </c>
      <c r="AP240" s="6">
        <v>6573</v>
      </c>
      <c r="AQ240">
        <v>3</v>
      </c>
      <c r="AR240">
        <v>4016.6608740000001</v>
      </c>
      <c r="AS240" t="s">
        <v>66</v>
      </c>
      <c r="AT240" t="s">
        <v>53</v>
      </c>
    </row>
    <row r="241" spans="1:46">
      <c r="A241">
        <v>691</v>
      </c>
      <c r="B241" t="s">
        <v>46</v>
      </c>
      <c r="C241">
        <v>15</v>
      </c>
      <c r="D241">
        <v>368</v>
      </c>
      <c r="E241" t="s">
        <v>209</v>
      </c>
      <c r="F241" t="s">
        <v>408</v>
      </c>
      <c r="G241">
        <v>15368</v>
      </c>
      <c r="H241">
        <v>15368</v>
      </c>
      <c r="I241" t="s">
        <v>49</v>
      </c>
      <c r="J241">
        <v>1513</v>
      </c>
      <c r="K241" t="s">
        <v>425</v>
      </c>
      <c r="L241" t="s">
        <v>80</v>
      </c>
      <c r="M241" t="s">
        <v>53</v>
      </c>
      <c r="N241">
        <v>4133</v>
      </c>
      <c r="O241" t="s">
        <v>53</v>
      </c>
      <c r="P241" t="s">
        <v>70</v>
      </c>
      <c r="Q241" t="s">
        <v>71</v>
      </c>
      <c r="R241" t="s">
        <v>56</v>
      </c>
      <c r="S241" t="s">
        <v>57</v>
      </c>
      <c r="T241" t="s">
        <v>58</v>
      </c>
      <c r="U241" t="s">
        <v>81</v>
      </c>
      <c r="V241">
        <v>0.647115</v>
      </c>
      <c r="W241" t="s">
        <v>53</v>
      </c>
      <c r="X241" t="s">
        <v>53</v>
      </c>
      <c r="Y241" t="s">
        <v>82</v>
      </c>
      <c r="Z241" t="str">
        <f t="shared" si="6"/>
        <v>Mayor que 15 - hasta 20</v>
      </c>
      <c r="AA241">
        <f t="shared" si="7"/>
        <v>1</v>
      </c>
      <c r="AB241">
        <v>15368</v>
      </c>
      <c r="AC241" t="s">
        <v>234</v>
      </c>
      <c r="AD241" t="s">
        <v>421</v>
      </c>
      <c r="AE241">
        <v>3.7958630000000002</v>
      </c>
      <c r="AF241" t="s">
        <v>84</v>
      </c>
      <c r="AG241">
        <v>95.243059000000002</v>
      </c>
      <c r="AH241" t="s">
        <v>234</v>
      </c>
      <c r="AI241" t="s">
        <v>407</v>
      </c>
      <c r="AJ241">
        <v>4.9898239999999996</v>
      </c>
      <c r="AK241" t="s">
        <v>85</v>
      </c>
      <c r="AL241">
        <v>150.45281399999999</v>
      </c>
      <c r="AM241" s="4" t="s">
        <v>65</v>
      </c>
      <c r="AN241" s="5">
        <v>4656.6491804689749</v>
      </c>
      <c r="AO241" s="4" t="s">
        <v>65</v>
      </c>
      <c r="AP241" s="6">
        <v>3708</v>
      </c>
      <c r="AQ241">
        <v>5</v>
      </c>
      <c r="AR241">
        <v>5132.3990789999998</v>
      </c>
      <c r="AS241" t="s">
        <v>66</v>
      </c>
      <c r="AT241" t="s">
        <v>53</v>
      </c>
    </row>
    <row r="242" spans="1:46">
      <c r="A242">
        <v>657</v>
      </c>
      <c r="B242" t="s">
        <v>46</v>
      </c>
      <c r="C242">
        <v>15</v>
      </c>
      <c r="D242">
        <v>377</v>
      </c>
      <c r="E242" t="s">
        <v>471</v>
      </c>
      <c r="F242" t="s">
        <v>408</v>
      </c>
      <c r="G242">
        <v>15377</v>
      </c>
      <c r="H242">
        <v>15377</v>
      </c>
      <c r="I242" t="s">
        <v>49</v>
      </c>
      <c r="J242">
        <v>1503</v>
      </c>
      <c r="K242" t="s">
        <v>472</v>
      </c>
      <c r="L242" t="s">
        <v>80</v>
      </c>
      <c r="M242" t="s">
        <v>53</v>
      </c>
      <c r="N242">
        <v>3685</v>
      </c>
      <c r="O242" t="s">
        <v>53</v>
      </c>
      <c r="P242" t="s">
        <v>70</v>
      </c>
      <c r="Q242" t="s">
        <v>71</v>
      </c>
      <c r="R242" t="s">
        <v>93</v>
      </c>
      <c r="S242" t="s">
        <v>57</v>
      </c>
      <c r="T242" t="s">
        <v>73</v>
      </c>
      <c r="U242" t="s">
        <v>59</v>
      </c>
      <c r="V242">
        <v>0.851549</v>
      </c>
      <c r="W242" t="s">
        <v>53</v>
      </c>
      <c r="X242" t="s">
        <v>53</v>
      </c>
      <c r="Y242" t="s">
        <v>87</v>
      </c>
      <c r="Z242" t="str">
        <f t="shared" si="6"/>
        <v>Mayor que 40 - hasta 50</v>
      </c>
      <c r="AA242">
        <f t="shared" si="7"/>
        <v>1</v>
      </c>
      <c r="AB242">
        <v>15377</v>
      </c>
      <c r="AC242" t="s">
        <v>432</v>
      </c>
      <c r="AD242" t="s">
        <v>473</v>
      </c>
      <c r="AE242">
        <v>1.7780990000000001</v>
      </c>
      <c r="AF242" t="s">
        <v>76</v>
      </c>
      <c r="AG242">
        <v>38.251680999999998</v>
      </c>
      <c r="AH242" t="s">
        <v>432</v>
      </c>
      <c r="AI242" t="s">
        <v>473</v>
      </c>
      <c r="AJ242">
        <v>1.761433</v>
      </c>
      <c r="AK242" t="s">
        <v>76</v>
      </c>
      <c r="AL242">
        <v>38.151681000000004</v>
      </c>
      <c r="AM242" s="4" t="s">
        <v>64</v>
      </c>
      <c r="AN242" s="5">
        <v>28207.527662604611</v>
      </c>
      <c r="AO242" s="4" t="s">
        <v>65</v>
      </c>
      <c r="AP242" s="6">
        <v>2238</v>
      </c>
      <c r="AQ242">
        <v>4</v>
      </c>
      <c r="AR242">
        <v>37760.910984000002</v>
      </c>
      <c r="AS242" t="s">
        <v>66</v>
      </c>
      <c r="AT242" t="s">
        <v>53</v>
      </c>
    </row>
    <row r="243" spans="1:46">
      <c r="A243">
        <v>658</v>
      </c>
      <c r="B243" t="s">
        <v>46</v>
      </c>
      <c r="C243">
        <v>15</v>
      </c>
      <c r="D243">
        <v>380</v>
      </c>
      <c r="E243" t="s">
        <v>474</v>
      </c>
      <c r="F243" t="s">
        <v>408</v>
      </c>
      <c r="G243">
        <v>15380</v>
      </c>
      <c r="H243">
        <v>15380</v>
      </c>
      <c r="I243" t="s">
        <v>49</v>
      </c>
      <c r="J243">
        <v>1509</v>
      </c>
      <c r="K243" t="s">
        <v>68</v>
      </c>
      <c r="L243" t="s">
        <v>69</v>
      </c>
      <c r="M243" t="s">
        <v>53</v>
      </c>
      <c r="N243">
        <v>2821</v>
      </c>
      <c r="O243" t="s">
        <v>53</v>
      </c>
      <c r="P243" t="s">
        <v>70</v>
      </c>
      <c r="Q243" t="s">
        <v>71</v>
      </c>
      <c r="R243" t="s">
        <v>56</v>
      </c>
      <c r="S243" t="s">
        <v>57</v>
      </c>
      <c r="T243" t="s">
        <v>58</v>
      </c>
      <c r="U243" t="s">
        <v>81</v>
      </c>
      <c r="V243">
        <v>0.73845099999999997</v>
      </c>
      <c r="W243">
        <v>2015</v>
      </c>
      <c r="X243" t="s">
        <v>109</v>
      </c>
      <c r="Y243" t="s">
        <v>167</v>
      </c>
      <c r="Z243" t="str">
        <f t="shared" si="6"/>
        <v>Mayor que 50 - hasta 60</v>
      </c>
      <c r="AA243">
        <f t="shared" si="7"/>
        <v>1</v>
      </c>
      <c r="AB243">
        <v>15380</v>
      </c>
      <c r="AC243" t="s">
        <v>330</v>
      </c>
      <c r="AD243" t="s">
        <v>411</v>
      </c>
      <c r="AE243">
        <v>2.1208670000000001</v>
      </c>
      <c r="AF243" t="s">
        <v>77</v>
      </c>
      <c r="AG243">
        <v>67.735237999999995</v>
      </c>
      <c r="AH243" t="s">
        <v>234</v>
      </c>
      <c r="AI243" t="s">
        <v>407</v>
      </c>
      <c r="AJ243">
        <v>2.9280849999999998</v>
      </c>
      <c r="AK243" t="s">
        <v>77</v>
      </c>
      <c r="AL243">
        <v>67.769553000000002</v>
      </c>
      <c r="AM243" t="s">
        <v>65</v>
      </c>
      <c r="AN243" s="7">
        <v>124.2520531268584</v>
      </c>
      <c r="AO243" t="s">
        <v>65</v>
      </c>
      <c r="AP243" s="3">
        <v>297</v>
      </c>
      <c r="AQ243">
        <v>4</v>
      </c>
      <c r="AR243">
        <v>133.197461</v>
      </c>
      <c r="AS243" t="s">
        <v>66</v>
      </c>
      <c r="AT243" t="s">
        <v>137</v>
      </c>
    </row>
    <row r="244" spans="1:46">
      <c r="A244">
        <v>659</v>
      </c>
      <c r="B244" t="s">
        <v>46</v>
      </c>
      <c r="C244">
        <v>15</v>
      </c>
      <c r="D244">
        <v>401</v>
      </c>
      <c r="E244" t="s">
        <v>475</v>
      </c>
      <c r="F244" t="s">
        <v>408</v>
      </c>
      <c r="G244">
        <v>15401</v>
      </c>
      <c r="H244">
        <v>15401</v>
      </c>
      <c r="I244" t="s">
        <v>49</v>
      </c>
      <c r="J244">
        <v>1508</v>
      </c>
      <c r="K244" t="s">
        <v>79</v>
      </c>
      <c r="L244" t="s">
        <v>69</v>
      </c>
      <c r="M244" t="s">
        <v>53</v>
      </c>
      <c r="N244">
        <v>1177</v>
      </c>
      <c r="O244" t="s">
        <v>53</v>
      </c>
      <c r="P244" t="s">
        <v>70</v>
      </c>
      <c r="Q244" t="s">
        <v>71</v>
      </c>
      <c r="R244" t="s">
        <v>72</v>
      </c>
      <c r="S244" t="s">
        <v>57</v>
      </c>
      <c r="T244" t="s">
        <v>58</v>
      </c>
      <c r="U244" t="s">
        <v>81</v>
      </c>
      <c r="V244">
        <v>0.86294400000000004</v>
      </c>
      <c r="W244" t="s">
        <v>53</v>
      </c>
      <c r="X244" t="s">
        <v>53</v>
      </c>
      <c r="Y244" t="s">
        <v>102</v>
      </c>
      <c r="Z244" t="str">
        <f t="shared" si="6"/>
        <v>Mayor que 20 - hasta 30</v>
      </c>
      <c r="AA244">
        <f t="shared" si="7"/>
        <v>1</v>
      </c>
      <c r="AB244">
        <v>15401</v>
      </c>
      <c r="AC244" t="s">
        <v>234</v>
      </c>
      <c r="AD244" t="s">
        <v>235</v>
      </c>
      <c r="AE244">
        <v>3.6931970000000001</v>
      </c>
      <c r="AF244" t="s">
        <v>84</v>
      </c>
      <c r="AG244">
        <v>111.09280699999999</v>
      </c>
      <c r="AH244" t="s">
        <v>234</v>
      </c>
      <c r="AI244" t="s">
        <v>407</v>
      </c>
      <c r="AJ244">
        <v>5.7733169999999996</v>
      </c>
      <c r="AK244" t="s">
        <v>181</v>
      </c>
      <c r="AL244">
        <v>160.92093800000001</v>
      </c>
      <c r="AM244" s="4" t="e">
        <v>#N/A</v>
      </c>
      <c r="AN244" s="5" t="e">
        <v>#N/A</v>
      </c>
      <c r="AO244" s="4" t="e">
        <v>#N/A</v>
      </c>
      <c r="AP244" s="6" t="e">
        <v>#N/A</v>
      </c>
      <c r="AQ244">
        <v>4</v>
      </c>
      <c r="AR244">
        <v>2729.9448649999999</v>
      </c>
      <c r="AS244" t="s">
        <v>66</v>
      </c>
      <c r="AT244" t="s">
        <v>53</v>
      </c>
    </row>
    <row r="245" spans="1:46">
      <c r="A245">
        <v>660</v>
      </c>
      <c r="B245" t="s">
        <v>46</v>
      </c>
      <c r="C245">
        <v>15</v>
      </c>
      <c r="D245">
        <v>403</v>
      </c>
      <c r="E245" t="s">
        <v>476</v>
      </c>
      <c r="F245" t="s">
        <v>408</v>
      </c>
      <c r="G245">
        <v>15403</v>
      </c>
      <c r="H245">
        <v>15403</v>
      </c>
      <c r="I245" t="s">
        <v>49</v>
      </c>
      <c r="J245">
        <v>1507</v>
      </c>
      <c r="K245" t="s">
        <v>112</v>
      </c>
      <c r="L245" t="s">
        <v>69</v>
      </c>
      <c r="M245" t="s">
        <v>53</v>
      </c>
      <c r="N245">
        <v>3184</v>
      </c>
      <c r="O245" t="s">
        <v>53</v>
      </c>
      <c r="P245" t="s">
        <v>70</v>
      </c>
      <c r="Q245" t="s">
        <v>71</v>
      </c>
      <c r="R245" t="s">
        <v>72</v>
      </c>
      <c r="S245" t="s">
        <v>57</v>
      </c>
      <c r="T245" t="s">
        <v>58</v>
      </c>
      <c r="U245" t="s">
        <v>81</v>
      </c>
      <c r="V245">
        <v>0.71228899999999995</v>
      </c>
      <c r="W245" t="s">
        <v>53</v>
      </c>
      <c r="X245" t="s">
        <v>53</v>
      </c>
      <c r="Y245" t="s">
        <v>87</v>
      </c>
      <c r="Z245" t="str">
        <f t="shared" si="6"/>
        <v>Mayor que 40 - hasta 50</v>
      </c>
      <c r="AA245">
        <f t="shared" si="7"/>
        <v>1</v>
      </c>
      <c r="AB245">
        <v>15403</v>
      </c>
      <c r="AC245" t="s">
        <v>234</v>
      </c>
      <c r="AD245" t="s">
        <v>421</v>
      </c>
      <c r="AE245">
        <v>3.5639660000000002</v>
      </c>
      <c r="AF245" t="s">
        <v>84</v>
      </c>
      <c r="AG245">
        <v>106.048441</v>
      </c>
      <c r="AH245" t="s">
        <v>234</v>
      </c>
      <c r="AI245" t="s">
        <v>407</v>
      </c>
      <c r="AJ245">
        <v>4.7579269999999996</v>
      </c>
      <c r="AK245" t="s">
        <v>85</v>
      </c>
      <c r="AL245">
        <v>161.258196</v>
      </c>
      <c r="AM245" s="4" t="s">
        <v>65</v>
      </c>
      <c r="AN245" s="5">
        <v>5735.4053242194777</v>
      </c>
      <c r="AO245" s="4" t="s">
        <v>65</v>
      </c>
      <c r="AP245" s="6">
        <v>2616</v>
      </c>
      <c r="AQ245">
        <v>4</v>
      </c>
      <c r="AR245">
        <v>5415.929161</v>
      </c>
      <c r="AS245" t="s">
        <v>66</v>
      </c>
      <c r="AT245" t="s">
        <v>53</v>
      </c>
    </row>
    <row r="246" spans="1:46">
      <c r="A246">
        <v>692</v>
      </c>
      <c r="B246" t="s">
        <v>46</v>
      </c>
      <c r="C246">
        <v>15</v>
      </c>
      <c r="D246">
        <v>407</v>
      </c>
      <c r="E246" t="s">
        <v>477</v>
      </c>
      <c r="F246" t="s">
        <v>408</v>
      </c>
      <c r="G246">
        <v>15407</v>
      </c>
      <c r="H246">
        <v>15407</v>
      </c>
      <c r="I246" t="s">
        <v>49</v>
      </c>
      <c r="J246">
        <v>1510</v>
      </c>
      <c r="K246" t="s">
        <v>418</v>
      </c>
      <c r="L246" t="s">
        <v>91</v>
      </c>
      <c r="M246" t="s">
        <v>53</v>
      </c>
      <c r="N246">
        <v>17466</v>
      </c>
      <c r="O246" t="s">
        <v>53</v>
      </c>
      <c r="P246" t="s">
        <v>70</v>
      </c>
      <c r="Q246" t="s">
        <v>71</v>
      </c>
      <c r="R246" t="s">
        <v>56</v>
      </c>
      <c r="S246" t="s">
        <v>57</v>
      </c>
      <c r="T246" t="s">
        <v>58</v>
      </c>
      <c r="U246" t="s">
        <v>81</v>
      </c>
      <c r="V246">
        <v>0.45795400000000003</v>
      </c>
      <c r="W246" t="s">
        <v>53</v>
      </c>
      <c r="X246" t="s">
        <v>53</v>
      </c>
      <c r="Y246" t="s">
        <v>139</v>
      </c>
      <c r="Z246" t="str">
        <f t="shared" si="6"/>
        <v>Mayor que 300 - hasta 400</v>
      </c>
      <c r="AA246">
        <f t="shared" si="7"/>
        <v>1</v>
      </c>
      <c r="AB246">
        <v>15407</v>
      </c>
      <c r="AC246" t="s">
        <v>234</v>
      </c>
      <c r="AD246" t="s">
        <v>428</v>
      </c>
      <c r="AE246">
        <v>1.0707930000000001</v>
      </c>
      <c r="AF246" t="s">
        <v>76</v>
      </c>
      <c r="AG246">
        <v>44.107315999999997</v>
      </c>
      <c r="AH246" t="s">
        <v>234</v>
      </c>
      <c r="AI246" t="s">
        <v>407</v>
      </c>
      <c r="AJ246">
        <v>1.262073</v>
      </c>
      <c r="AK246" t="s">
        <v>76</v>
      </c>
      <c r="AL246">
        <v>33.711984000000001</v>
      </c>
      <c r="AM246" s="4" t="s">
        <v>65</v>
      </c>
      <c r="AN246" s="5">
        <v>4653.0431740262566</v>
      </c>
      <c r="AO246" s="4" t="s">
        <v>65</v>
      </c>
      <c r="AP246" s="6">
        <v>2679</v>
      </c>
      <c r="AQ246">
        <v>3</v>
      </c>
      <c r="AR246">
        <v>1980.976594</v>
      </c>
      <c r="AS246" t="s">
        <v>66</v>
      </c>
      <c r="AT246" t="s">
        <v>53</v>
      </c>
    </row>
    <row r="247" spans="1:46">
      <c r="A247">
        <v>693</v>
      </c>
      <c r="B247" t="s">
        <v>46</v>
      </c>
      <c r="C247">
        <v>15</v>
      </c>
      <c r="D247">
        <v>425</v>
      </c>
      <c r="E247" t="s">
        <v>478</v>
      </c>
      <c r="F247" t="s">
        <v>408</v>
      </c>
      <c r="G247">
        <v>15425</v>
      </c>
      <c r="H247">
        <v>15425</v>
      </c>
      <c r="I247" t="s">
        <v>49</v>
      </c>
      <c r="J247">
        <v>1506</v>
      </c>
      <c r="K247" t="s">
        <v>435</v>
      </c>
      <c r="L247" t="s">
        <v>80</v>
      </c>
      <c r="M247" t="s">
        <v>53</v>
      </c>
      <c r="N247">
        <v>5295</v>
      </c>
      <c r="O247" t="s">
        <v>53</v>
      </c>
      <c r="P247" t="s">
        <v>70</v>
      </c>
      <c r="Q247" t="s">
        <v>71</v>
      </c>
      <c r="R247" t="s">
        <v>122</v>
      </c>
      <c r="S247" t="s">
        <v>57</v>
      </c>
      <c r="T247" t="s">
        <v>58</v>
      </c>
      <c r="U247" t="s">
        <v>81</v>
      </c>
      <c r="V247">
        <v>0.49574000000000001</v>
      </c>
      <c r="W247" t="s">
        <v>53</v>
      </c>
      <c r="X247" t="s">
        <v>53</v>
      </c>
      <c r="Y247" t="s">
        <v>116</v>
      </c>
      <c r="Z247" t="str">
        <f t="shared" si="6"/>
        <v>Mayor que 30 - hasta 40</v>
      </c>
      <c r="AA247">
        <f t="shared" si="7"/>
        <v>1</v>
      </c>
      <c r="AB247">
        <v>15425</v>
      </c>
      <c r="AC247" t="s">
        <v>432</v>
      </c>
      <c r="AD247" t="s">
        <v>405</v>
      </c>
      <c r="AE247">
        <v>2.4384519999999998</v>
      </c>
      <c r="AF247" t="s">
        <v>77</v>
      </c>
      <c r="AG247">
        <v>85.961940999999996</v>
      </c>
      <c r="AH247" t="s">
        <v>330</v>
      </c>
      <c r="AI247" t="s">
        <v>332</v>
      </c>
      <c r="AJ247">
        <v>3.8086500000000001</v>
      </c>
      <c r="AK247" t="s">
        <v>84</v>
      </c>
      <c r="AL247">
        <v>140.54204899999999</v>
      </c>
      <c r="AM247" s="4" t="s">
        <v>65</v>
      </c>
      <c r="AN247" s="5">
        <v>14472.128916076737</v>
      </c>
      <c r="AO247" s="4" t="s">
        <v>65</v>
      </c>
      <c r="AP247" s="6">
        <v>4495</v>
      </c>
      <c r="AQ247">
        <v>4</v>
      </c>
      <c r="AR247">
        <v>12062.707344</v>
      </c>
      <c r="AS247" t="s">
        <v>66</v>
      </c>
      <c r="AT247" t="s">
        <v>53</v>
      </c>
    </row>
    <row r="248" spans="1:46">
      <c r="A248">
        <v>694</v>
      </c>
      <c r="B248" t="s">
        <v>46</v>
      </c>
      <c r="C248">
        <v>15</v>
      </c>
      <c r="D248">
        <v>442</v>
      </c>
      <c r="E248" t="s">
        <v>479</v>
      </c>
      <c r="F248" t="s">
        <v>408</v>
      </c>
      <c r="G248">
        <v>15442</v>
      </c>
      <c r="H248">
        <v>15442</v>
      </c>
      <c r="I248" t="s">
        <v>49</v>
      </c>
      <c r="J248">
        <v>1508</v>
      </c>
      <c r="K248" t="s">
        <v>79</v>
      </c>
      <c r="L248" t="s">
        <v>69</v>
      </c>
      <c r="M248" t="s">
        <v>53</v>
      </c>
      <c r="N248">
        <v>6016</v>
      </c>
      <c r="O248" t="s">
        <v>53</v>
      </c>
      <c r="P248" t="s">
        <v>70</v>
      </c>
      <c r="Q248" t="s">
        <v>71</v>
      </c>
      <c r="R248" t="s">
        <v>72</v>
      </c>
      <c r="S248" t="s">
        <v>57</v>
      </c>
      <c r="T248" t="s">
        <v>58</v>
      </c>
      <c r="U248" t="s">
        <v>81</v>
      </c>
      <c r="V248">
        <v>0.77914099999999997</v>
      </c>
      <c r="W248" t="s">
        <v>53</v>
      </c>
      <c r="X248" t="s">
        <v>53</v>
      </c>
      <c r="Y248" t="s">
        <v>102</v>
      </c>
      <c r="Z248" t="str">
        <f t="shared" si="6"/>
        <v>Mayor que 20 - hasta 30</v>
      </c>
      <c r="AA248">
        <f t="shared" si="7"/>
        <v>1</v>
      </c>
      <c r="AB248">
        <v>15442</v>
      </c>
      <c r="AC248" t="s">
        <v>234</v>
      </c>
      <c r="AD248" t="s">
        <v>428</v>
      </c>
      <c r="AE248">
        <v>1.6826509999999999</v>
      </c>
      <c r="AF248" t="s">
        <v>76</v>
      </c>
      <c r="AG248">
        <v>32.681832999999997</v>
      </c>
      <c r="AH248" t="s">
        <v>234</v>
      </c>
      <c r="AI248" t="s">
        <v>407</v>
      </c>
      <c r="AJ248">
        <v>3.690299</v>
      </c>
      <c r="AK248" t="s">
        <v>84</v>
      </c>
      <c r="AL248">
        <v>104.60407600000001</v>
      </c>
      <c r="AM248" s="4" t="s">
        <v>65</v>
      </c>
      <c r="AN248" s="5">
        <v>11365.860724581078</v>
      </c>
      <c r="AO248" s="4" t="s">
        <v>65</v>
      </c>
      <c r="AP248" s="6">
        <v>2640</v>
      </c>
      <c r="AQ248">
        <v>4</v>
      </c>
      <c r="AR248">
        <v>11514.336678</v>
      </c>
      <c r="AS248" t="s">
        <v>66</v>
      </c>
      <c r="AT248" t="s">
        <v>53</v>
      </c>
    </row>
    <row r="249" spans="1:46">
      <c r="A249">
        <v>695</v>
      </c>
      <c r="B249" t="s">
        <v>46</v>
      </c>
      <c r="C249">
        <v>15</v>
      </c>
      <c r="D249">
        <v>455</v>
      </c>
      <c r="E249" t="s">
        <v>480</v>
      </c>
      <c r="F249" t="s">
        <v>408</v>
      </c>
      <c r="G249">
        <v>15455</v>
      </c>
      <c r="H249">
        <v>15455</v>
      </c>
      <c r="I249" t="s">
        <v>49</v>
      </c>
      <c r="J249">
        <v>1504</v>
      </c>
      <c r="K249" t="s">
        <v>423</v>
      </c>
      <c r="L249" t="s">
        <v>69</v>
      </c>
      <c r="M249" t="s">
        <v>53</v>
      </c>
      <c r="N249">
        <v>9400</v>
      </c>
      <c r="O249" t="s">
        <v>53</v>
      </c>
      <c r="P249" t="s">
        <v>70</v>
      </c>
      <c r="Q249" t="s">
        <v>71</v>
      </c>
      <c r="R249" t="s">
        <v>105</v>
      </c>
      <c r="S249" t="s">
        <v>57</v>
      </c>
      <c r="T249" t="s">
        <v>58</v>
      </c>
      <c r="U249" t="s">
        <v>81</v>
      </c>
      <c r="V249">
        <v>0.40219500000000002</v>
      </c>
      <c r="W249" t="s">
        <v>53</v>
      </c>
      <c r="X249" t="s">
        <v>53</v>
      </c>
      <c r="Y249" t="s">
        <v>87</v>
      </c>
      <c r="Z249" t="str">
        <f t="shared" si="6"/>
        <v>Mayor que 40 - hasta 50</v>
      </c>
      <c r="AA249">
        <f t="shared" si="7"/>
        <v>1</v>
      </c>
      <c r="AB249">
        <v>15455</v>
      </c>
      <c r="AC249" t="s">
        <v>234</v>
      </c>
      <c r="AD249" t="s">
        <v>407</v>
      </c>
      <c r="AE249">
        <v>2.6703779999999999</v>
      </c>
      <c r="AF249" t="s">
        <v>77</v>
      </c>
      <c r="AG249">
        <v>70.322243999999998</v>
      </c>
      <c r="AH249" t="s">
        <v>234</v>
      </c>
      <c r="AI249" t="s">
        <v>407</v>
      </c>
      <c r="AJ249">
        <v>2.6775169999999999</v>
      </c>
      <c r="AK249" t="s">
        <v>77</v>
      </c>
      <c r="AL249">
        <v>70.663664999999995</v>
      </c>
      <c r="AM249" s="4" t="s">
        <v>65</v>
      </c>
      <c r="AN249" s="5">
        <v>14192.473286516346</v>
      </c>
      <c r="AO249" s="4" t="s">
        <v>65</v>
      </c>
      <c r="AP249" s="6">
        <v>3780</v>
      </c>
      <c r="AQ249">
        <v>4</v>
      </c>
      <c r="AR249">
        <v>20350.031369</v>
      </c>
      <c r="AS249" t="s">
        <v>66</v>
      </c>
      <c r="AT249" t="s">
        <v>53</v>
      </c>
    </row>
    <row r="250" spans="1:46">
      <c r="A250">
        <v>696</v>
      </c>
      <c r="B250" t="s">
        <v>46</v>
      </c>
      <c r="C250">
        <v>15</v>
      </c>
      <c r="D250">
        <v>464</v>
      </c>
      <c r="E250" t="s">
        <v>481</v>
      </c>
      <c r="F250" t="s">
        <v>408</v>
      </c>
      <c r="G250">
        <v>15464</v>
      </c>
      <c r="H250">
        <v>15464</v>
      </c>
      <c r="I250" t="s">
        <v>49</v>
      </c>
      <c r="J250">
        <v>1511</v>
      </c>
      <c r="K250" t="s">
        <v>413</v>
      </c>
      <c r="L250" t="s">
        <v>69</v>
      </c>
      <c r="M250" t="s">
        <v>53</v>
      </c>
      <c r="N250">
        <v>4886</v>
      </c>
      <c r="O250" t="s">
        <v>53</v>
      </c>
      <c r="P250" t="s">
        <v>70</v>
      </c>
      <c r="Q250" t="s">
        <v>71</v>
      </c>
      <c r="R250" t="s">
        <v>105</v>
      </c>
      <c r="S250" t="s">
        <v>57</v>
      </c>
      <c r="T250" t="s">
        <v>58</v>
      </c>
      <c r="U250" t="s">
        <v>81</v>
      </c>
      <c r="V250">
        <v>0.86732699999999996</v>
      </c>
      <c r="W250" t="s">
        <v>53</v>
      </c>
      <c r="X250" t="s">
        <v>53</v>
      </c>
      <c r="Y250" t="s">
        <v>187</v>
      </c>
      <c r="Z250" t="str">
        <f t="shared" si="6"/>
        <v>Mayor que 80 - hasta 100</v>
      </c>
      <c r="AA250">
        <f t="shared" si="7"/>
        <v>1</v>
      </c>
      <c r="AB250">
        <v>15464</v>
      </c>
      <c r="AC250" t="s">
        <v>234</v>
      </c>
      <c r="AD250" t="s">
        <v>416</v>
      </c>
      <c r="AE250">
        <v>0.91042900000000004</v>
      </c>
      <c r="AF250" t="s">
        <v>63</v>
      </c>
      <c r="AG250">
        <v>23.603657999999999</v>
      </c>
      <c r="AH250" t="s">
        <v>234</v>
      </c>
      <c r="AI250" t="s">
        <v>407</v>
      </c>
      <c r="AJ250">
        <v>2.3404940000000001</v>
      </c>
      <c r="AK250" t="s">
        <v>77</v>
      </c>
      <c r="AL250">
        <v>92.118795000000006</v>
      </c>
      <c r="AM250" s="4" t="s">
        <v>64</v>
      </c>
      <c r="AN250" s="5">
        <v>5691.9026575229391</v>
      </c>
      <c r="AO250" s="4" t="s">
        <v>65</v>
      </c>
      <c r="AP250" s="6">
        <v>3630</v>
      </c>
      <c r="AQ250">
        <v>4</v>
      </c>
      <c r="AR250">
        <v>10426.610086999999</v>
      </c>
      <c r="AS250" t="s">
        <v>66</v>
      </c>
      <c r="AT250" t="s">
        <v>53</v>
      </c>
    </row>
    <row r="251" spans="1:46">
      <c r="A251">
        <v>697</v>
      </c>
      <c r="B251" t="s">
        <v>46</v>
      </c>
      <c r="C251">
        <v>15</v>
      </c>
      <c r="D251">
        <v>466</v>
      </c>
      <c r="E251" t="s">
        <v>482</v>
      </c>
      <c r="F251" t="s">
        <v>408</v>
      </c>
      <c r="G251">
        <v>15466</v>
      </c>
      <c r="H251">
        <v>15466</v>
      </c>
      <c r="I251" t="s">
        <v>49</v>
      </c>
      <c r="J251">
        <v>1511</v>
      </c>
      <c r="K251" t="s">
        <v>413</v>
      </c>
      <c r="L251" t="s">
        <v>91</v>
      </c>
      <c r="M251" t="s">
        <v>53</v>
      </c>
      <c r="N251">
        <v>4453</v>
      </c>
      <c r="O251" t="s">
        <v>53</v>
      </c>
      <c r="P251" t="s">
        <v>70</v>
      </c>
      <c r="Q251" t="s">
        <v>71</v>
      </c>
      <c r="R251" t="s">
        <v>56</v>
      </c>
      <c r="S251" t="s">
        <v>57</v>
      </c>
      <c r="T251" t="s">
        <v>58</v>
      </c>
      <c r="U251" t="s">
        <v>81</v>
      </c>
      <c r="V251">
        <v>0.89118299999999995</v>
      </c>
      <c r="W251" t="s">
        <v>53</v>
      </c>
      <c r="X251" t="s">
        <v>53</v>
      </c>
      <c r="Y251" t="s">
        <v>187</v>
      </c>
      <c r="Z251" t="str">
        <f t="shared" si="6"/>
        <v>Mayor que 80 - hasta 100</v>
      </c>
      <c r="AA251">
        <f t="shared" si="7"/>
        <v>1</v>
      </c>
      <c r="AB251">
        <v>15466</v>
      </c>
      <c r="AC251" t="s">
        <v>234</v>
      </c>
      <c r="AD251" t="s">
        <v>416</v>
      </c>
      <c r="AE251">
        <v>0.67097300000000004</v>
      </c>
      <c r="AF251" t="s">
        <v>63</v>
      </c>
      <c r="AG251">
        <v>15.702439</v>
      </c>
      <c r="AH251" t="s">
        <v>234</v>
      </c>
      <c r="AI251" t="s">
        <v>407</v>
      </c>
      <c r="AJ251">
        <v>2.1010390000000001</v>
      </c>
      <c r="AK251" t="s">
        <v>77</v>
      </c>
      <c r="AL251">
        <v>84.217575999999994</v>
      </c>
      <c r="AM251" s="4" t="s">
        <v>65</v>
      </c>
      <c r="AN251" s="5">
        <v>2052.4520584181932</v>
      </c>
      <c r="AO251" s="4" t="s">
        <v>65</v>
      </c>
      <c r="AP251" s="6">
        <v>3575</v>
      </c>
      <c r="AQ251">
        <v>3</v>
      </c>
      <c r="AR251">
        <v>1168.829205</v>
      </c>
      <c r="AS251" t="s">
        <v>66</v>
      </c>
      <c r="AT251" t="s">
        <v>53</v>
      </c>
    </row>
    <row r="252" spans="1:46">
      <c r="A252">
        <v>698</v>
      </c>
      <c r="B252" t="s">
        <v>46</v>
      </c>
      <c r="C252">
        <v>15</v>
      </c>
      <c r="D252">
        <v>469</v>
      </c>
      <c r="E252" t="s">
        <v>483</v>
      </c>
      <c r="F252" t="s">
        <v>408</v>
      </c>
      <c r="G252">
        <v>15469</v>
      </c>
      <c r="H252">
        <v>15469</v>
      </c>
      <c r="I252" t="s">
        <v>49</v>
      </c>
      <c r="J252">
        <v>1510</v>
      </c>
      <c r="K252" t="s">
        <v>418</v>
      </c>
      <c r="L252" t="s">
        <v>91</v>
      </c>
      <c r="M252" t="s">
        <v>53</v>
      </c>
      <c r="N252">
        <v>24083</v>
      </c>
      <c r="O252" t="s">
        <v>53</v>
      </c>
      <c r="P252" t="s">
        <v>70</v>
      </c>
      <c r="Q252" t="s">
        <v>71</v>
      </c>
      <c r="R252" t="s">
        <v>56</v>
      </c>
      <c r="S252" t="s">
        <v>57</v>
      </c>
      <c r="T252" t="s">
        <v>58</v>
      </c>
      <c r="U252" t="s">
        <v>81</v>
      </c>
      <c r="V252">
        <v>0.49694700000000003</v>
      </c>
      <c r="W252" t="s">
        <v>53</v>
      </c>
      <c r="X252" t="s">
        <v>53</v>
      </c>
      <c r="Y252" t="s">
        <v>74</v>
      </c>
      <c r="Z252" t="str">
        <f t="shared" si="6"/>
        <v>Mayor que 140 - hasta 160</v>
      </c>
      <c r="AA252">
        <f t="shared" si="7"/>
        <v>1</v>
      </c>
      <c r="AB252">
        <v>15469</v>
      </c>
      <c r="AC252" t="s">
        <v>282</v>
      </c>
      <c r="AD252" t="s">
        <v>88</v>
      </c>
      <c r="AE252">
        <v>0.25551499999999999</v>
      </c>
      <c r="AF252" t="s">
        <v>63</v>
      </c>
      <c r="AG252">
        <v>9.6982759999999999</v>
      </c>
      <c r="AH252" t="s">
        <v>234</v>
      </c>
      <c r="AI252" t="s">
        <v>407</v>
      </c>
      <c r="AJ252">
        <v>2.3752949999999999</v>
      </c>
      <c r="AK252" t="s">
        <v>77</v>
      </c>
      <c r="AL252">
        <v>58.671277000000003</v>
      </c>
      <c r="AM252" s="4" t="s">
        <v>65</v>
      </c>
      <c r="AN252" s="5">
        <v>14847.402881082744</v>
      </c>
      <c r="AO252" s="4" t="s">
        <v>65</v>
      </c>
      <c r="AP252" s="6">
        <v>7665</v>
      </c>
      <c r="AQ252">
        <v>3</v>
      </c>
      <c r="AR252">
        <v>12083.578186000001</v>
      </c>
      <c r="AS252" t="s">
        <v>66</v>
      </c>
      <c r="AT252" t="s">
        <v>53</v>
      </c>
    </row>
    <row r="253" spans="1:46">
      <c r="A253">
        <v>699</v>
      </c>
      <c r="B253" t="s">
        <v>46</v>
      </c>
      <c r="C253">
        <v>15</v>
      </c>
      <c r="D253">
        <v>476</v>
      </c>
      <c r="E253" t="s">
        <v>484</v>
      </c>
      <c r="F253" t="s">
        <v>408</v>
      </c>
      <c r="G253">
        <v>15476</v>
      </c>
      <c r="H253">
        <v>15476</v>
      </c>
      <c r="I253" t="s">
        <v>49</v>
      </c>
      <c r="J253">
        <v>1501</v>
      </c>
      <c r="K253" t="s">
        <v>409</v>
      </c>
      <c r="L253" t="s">
        <v>91</v>
      </c>
      <c r="M253" t="s">
        <v>53</v>
      </c>
      <c r="N253">
        <v>5946</v>
      </c>
      <c r="O253" t="s">
        <v>53</v>
      </c>
      <c r="P253" t="s">
        <v>70</v>
      </c>
      <c r="Q253" t="s">
        <v>71</v>
      </c>
      <c r="R253" t="s">
        <v>72</v>
      </c>
      <c r="S253" t="s">
        <v>57</v>
      </c>
      <c r="T253" t="s">
        <v>58</v>
      </c>
      <c r="U253" t="s">
        <v>81</v>
      </c>
      <c r="V253">
        <v>0.239596</v>
      </c>
      <c r="W253" t="s">
        <v>53</v>
      </c>
      <c r="X253" t="s">
        <v>53</v>
      </c>
      <c r="Y253" t="s">
        <v>183</v>
      </c>
      <c r="Z253" t="str">
        <f t="shared" si="6"/>
        <v>Mayor que 120 - hasta 140</v>
      </c>
      <c r="AA253">
        <f t="shared" si="7"/>
        <v>1</v>
      </c>
      <c r="AB253">
        <v>15476</v>
      </c>
      <c r="AC253" t="s">
        <v>234</v>
      </c>
      <c r="AD253" t="s">
        <v>407</v>
      </c>
      <c r="AE253">
        <v>0.22722400000000001</v>
      </c>
      <c r="AF253" t="s">
        <v>63</v>
      </c>
      <c r="AG253">
        <v>5.0213200000000002</v>
      </c>
      <c r="AH253" t="s">
        <v>234</v>
      </c>
      <c r="AI253" t="s">
        <v>407</v>
      </c>
      <c r="AJ253">
        <v>0.20949300000000001</v>
      </c>
      <c r="AK253" t="s">
        <v>63</v>
      </c>
      <c r="AL253">
        <v>4.6213199999999999</v>
      </c>
      <c r="AM253" s="4" t="s">
        <v>65</v>
      </c>
      <c r="AN253" s="5">
        <v>4951.3176386563373</v>
      </c>
      <c r="AO253" s="4" t="s">
        <v>65</v>
      </c>
      <c r="AP253" s="6">
        <v>2794</v>
      </c>
      <c r="AQ253">
        <v>3</v>
      </c>
      <c r="AR253">
        <v>3402.4274620000001</v>
      </c>
      <c r="AS253" t="s">
        <v>66</v>
      </c>
      <c r="AT253" t="s">
        <v>53</v>
      </c>
    </row>
    <row r="254" spans="1:46">
      <c r="A254">
        <v>700</v>
      </c>
      <c r="B254" t="s">
        <v>46</v>
      </c>
      <c r="C254">
        <v>15</v>
      </c>
      <c r="D254">
        <v>480</v>
      </c>
      <c r="E254" t="s">
        <v>485</v>
      </c>
      <c r="F254" t="s">
        <v>408</v>
      </c>
      <c r="G254">
        <v>15480</v>
      </c>
      <c r="H254">
        <v>15480</v>
      </c>
      <c r="I254" t="s">
        <v>49</v>
      </c>
      <c r="J254">
        <v>1508</v>
      </c>
      <c r="K254" t="s">
        <v>79</v>
      </c>
      <c r="L254" t="s">
        <v>91</v>
      </c>
      <c r="M254" t="s">
        <v>53</v>
      </c>
      <c r="N254">
        <v>9016</v>
      </c>
      <c r="O254" t="s">
        <v>53</v>
      </c>
      <c r="P254" t="s">
        <v>70</v>
      </c>
      <c r="Q254" t="s">
        <v>71</v>
      </c>
      <c r="R254" t="s">
        <v>122</v>
      </c>
      <c r="S254" t="s">
        <v>57</v>
      </c>
      <c r="T254" t="s">
        <v>58</v>
      </c>
      <c r="U254" t="s">
        <v>81</v>
      </c>
      <c r="V254">
        <v>0.80766700000000002</v>
      </c>
      <c r="W254" t="s">
        <v>53</v>
      </c>
      <c r="X254" t="s">
        <v>53</v>
      </c>
      <c r="Y254" t="s">
        <v>87</v>
      </c>
      <c r="Z254" t="str">
        <f t="shared" si="6"/>
        <v>Mayor que 40 - hasta 50</v>
      </c>
      <c r="AA254">
        <f t="shared" si="7"/>
        <v>1</v>
      </c>
      <c r="AB254">
        <v>15480</v>
      </c>
      <c r="AC254" t="s">
        <v>234</v>
      </c>
      <c r="AD254" t="s">
        <v>428</v>
      </c>
      <c r="AE254">
        <v>2.4898380000000002</v>
      </c>
      <c r="AF254" t="s">
        <v>77</v>
      </c>
      <c r="AG254">
        <v>47.884270999999998</v>
      </c>
      <c r="AH254" t="s">
        <v>234</v>
      </c>
      <c r="AI254" t="s">
        <v>407</v>
      </c>
      <c r="AJ254">
        <v>4.4974869999999996</v>
      </c>
      <c r="AK254" t="s">
        <v>85</v>
      </c>
      <c r="AL254">
        <v>119.806515</v>
      </c>
      <c r="AM254" s="4" t="e">
        <v>#N/A</v>
      </c>
      <c r="AN254" s="5" t="e">
        <v>#N/A</v>
      </c>
      <c r="AO254" s="4" t="e">
        <v>#N/A</v>
      </c>
      <c r="AP254" s="6" t="e">
        <v>#N/A</v>
      </c>
      <c r="AQ254">
        <v>4</v>
      </c>
      <c r="AR254">
        <v>9752.8430900000003</v>
      </c>
      <c r="AS254" t="s">
        <v>66</v>
      </c>
      <c r="AT254" t="s">
        <v>53</v>
      </c>
    </row>
    <row r="255" spans="1:46">
      <c r="A255">
        <v>701</v>
      </c>
      <c r="B255" t="s">
        <v>46</v>
      </c>
      <c r="C255">
        <v>15</v>
      </c>
      <c r="D255">
        <v>491</v>
      </c>
      <c r="E255" t="s">
        <v>486</v>
      </c>
      <c r="F255" t="s">
        <v>408</v>
      </c>
      <c r="G255">
        <v>15491</v>
      </c>
      <c r="H255">
        <v>15491</v>
      </c>
      <c r="I255" t="s">
        <v>49</v>
      </c>
      <c r="J255">
        <v>1511</v>
      </c>
      <c r="K255" t="s">
        <v>413</v>
      </c>
      <c r="L255" t="s">
        <v>91</v>
      </c>
      <c r="M255" t="s">
        <v>53</v>
      </c>
      <c r="N255">
        <v>17167</v>
      </c>
      <c r="O255" t="s">
        <v>53</v>
      </c>
      <c r="P255" t="s">
        <v>70</v>
      </c>
      <c r="Q255" t="s">
        <v>118</v>
      </c>
      <c r="R255" t="s">
        <v>56</v>
      </c>
      <c r="S255" t="s">
        <v>57</v>
      </c>
      <c r="T255" t="s">
        <v>58</v>
      </c>
      <c r="U255" t="s">
        <v>81</v>
      </c>
      <c r="V255">
        <v>0.57532799999999995</v>
      </c>
      <c r="W255" t="s">
        <v>53</v>
      </c>
      <c r="X255" t="s">
        <v>53</v>
      </c>
      <c r="Y255" t="s">
        <v>74</v>
      </c>
      <c r="Z255" t="str">
        <f t="shared" si="6"/>
        <v>Mayor que 140 - hasta 160</v>
      </c>
      <c r="AA255">
        <f t="shared" si="7"/>
        <v>1</v>
      </c>
      <c r="AB255">
        <v>15491</v>
      </c>
      <c r="AC255" t="s">
        <v>234</v>
      </c>
      <c r="AD255" t="s">
        <v>416</v>
      </c>
      <c r="AE255">
        <v>0.22940099999999999</v>
      </c>
      <c r="AF255" t="s">
        <v>63</v>
      </c>
      <c r="AG255">
        <v>6.1597980000000003</v>
      </c>
      <c r="AH255" t="s">
        <v>234</v>
      </c>
      <c r="AI255" t="s">
        <v>407</v>
      </c>
      <c r="AJ255">
        <v>1.5630170000000001</v>
      </c>
      <c r="AK255" t="s">
        <v>76</v>
      </c>
      <c r="AL255">
        <v>70.587929000000003</v>
      </c>
      <c r="AM255" s="4" t="s">
        <v>65</v>
      </c>
      <c r="AN255" s="5">
        <v>1675.4423253247469</v>
      </c>
      <c r="AO255" s="4" t="s">
        <v>65</v>
      </c>
      <c r="AP255" s="6">
        <v>2325</v>
      </c>
      <c r="AQ255">
        <v>5</v>
      </c>
      <c r="AR255">
        <v>2869.10194</v>
      </c>
      <c r="AS255" t="s">
        <v>66</v>
      </c>
      <c r="AT255" t="s">
        <v>53</v>
      </c>
    </row>
    <row r="256" spans="1:46">
      <c r="A256">
        <v>702</v>
      </c>
      <c r="B256" t="s">
        <v>46</v>
      </c>
      <c r="C256">
        <v>15</v>
      </c>
      <c r="D256">
        <v>494</v>
      </c>
      <c r="E256" t="s">
        <v>487</v>
      </c>
      <c r="F256" t="s">
        <v>408</v>
      </c>
      <c r="G256">
        <v>15494</v>
      </c>
      <c r="H256">
        <v>15494</v>
      </c>
      <c r="I256" t="s">
        <v>49</v>
      </c>
      <c r="J256">
        <v>1505</v>
      </c>
      <c r="K256" t="s">
        <v>427</v>
      </c>
      <c r="L256" t="s">
        <v>91</v>
      </c>
      <c r="M256" t="s">
        <v>53</v>
      </c>
      <c r="N256">
        <v>5431</v>
      </c>
      <c r="O256" t="s">
        <v>53</v>
      </c>
      <c r="P256" t="s">
        <v>70</v>
      </c>
      <c r="Q256" t="s">
        <v>71</v>
      </c>
      <c r="R256" t="s">
        <v>93</v>
      </c>
      <c r="S256" t="s">
        <v>57</v>
      </c>
      <c r="T256" t="s">
        <v>58</v>
      </c>
      <c r="U256" t="s">
        <v>81</v>
      </c>
      <c r="V256">
        <v>0.65987600000000002</v>
      </c>
      <c r="W256" t="s">
        <v>53</v>
      </c>
      <c r="X256" t="s">
        <v>53</v>
      </c>
      <c r="Y256" t="s">
        <v>183</v>
      </c>
      <c r="Z256" t="str">
        <f t="shared" si="6"/>
        <v>Mayor que 120 - hasta 140</v>
      </c>
      <c r="AA256">
        <f t="shared" si="7"/>
        <v>1</v>
      </c>
      <c r="AB256">
        <v>15494</v>
      </c>
      <c r="AC256" t="s">
        <v>234</v>
      </c>
      <c r="AD256" t="s">
        <v>407</v>
      </c>
      <c r="AE256">
        <v>1.1223110000000001</v>
      </c>
      <c r="AF256" t="s">
        <v>76</v>
      </c>
      <c r="AG256">
        <v>31.733304</v>
      </c>
      <c r="AH256" t="s">
        <v>234</v>
      </c>
      <c r="AI256" t="s">
        <v>407</v>
      </c>
      <c r="AJ256">
        <v>1.1294489999999999</v>
      </c>
      <c r="AK256" t="s">
        <v>76</v>
      </c>
      <c r="AL256">
        <v>32.074725999999998</v>
      </c>
      <c r="AM256" s="4" t="s">
        <v>65</v>
      </c>
      <c r="AN256" s="5">
        <v>4871.2783541961899</v>
      </c>
      <c r="AO256" s="4" t="s">
        <v>65</v>
      </c>
      <c r="AP256" s="6">
        <v>4347</v>
      </c>
      <c r="AQ256">
        <v>4</v>
      </c>
      <c r="AR256">
        <v>2340.5463629999999</v>
      </c>
      <c r="AS256" t="s">
        <v>66</v>
      </c>
      <c r="AT256" t="s">
        <v>53</v>
      </c>
    </row>
    <row r="257" spans="1:46">
      <c r="A257">
        <v>703</v>
      </c>
      <c r="B257" t="s">
        <v>46</v>
      </c>
      <c r="C257">
        <v>15</v>
      </c>
      <c r="D257">
        <v>500</v>
      </c>
      <c r="E257" t="s">
        <v>488</v>
      </c>
      <c r="F257" t="s">
        <v>408</v>
      </c>
      <c r="G257">
        <v>15500</v>
      </c>
      <c r="H257">
        <v>15500</v>
      </c>
      <c r="I257" t="s">
        <v>49</v>
      </c>
      <c r="J257">
        <v>1501</v>
      </c>
      <c r="K257" t="s">
        <v>409</v>
      </c>
      <c r="L257" t="s">
        <v>80</v>
      </c>
      <c r="M257" t="s">
        <v>53</v>
      </c>
      <c r="N257">
        <v>3007</v>
      </c>
      <c r="O257" t="s">
        <v>53</v>
      </c>
      <c r="P257" t="s">
        <v>70</v>
      </c>
      <c r="Q257" t="s">
        <v>71</v>
      </c>
      <c r="R257" t="s">
        <v>93</v>
      </c>
      <c r="S257" t="s">
        <v>57</v>
      </c>
      <c r="T257" t="s">
        <v>58</v>
      </c>
      <c r="U257" t="s">
        <v>81</v>
      </c>
      <c r="V257">
        <v>0.18141599999999999</v>
      </c>
      <c r="W257" t="s">
        <v>53</v>
      </c>
      <c r="X257" t="s">
        <v>53</v>
      </c>
      <c r="Y257" t="s">
        <v>183</v>
      </c>
      <c r="Z257" t="str">
        <f t="shared" si="6"/>
        <v>Mayor que 120 - hasta 140</v>
      </c>
      <c r="AA257">
        <f t="shared" si="7"/>
        <v>1</v>
      </c>
      <c r="AB257">
        <v>15500</v>
      </c>
      <c r="AC257" t="s">
        <v>234</v>
      </c>
      <c r="AD257" t="s">
        <v>407</v>
      </c>
      <c r="AE257">
        <v>0.26477800000000001</v>
      </c>
      <c r="AF257" t="s">
        <v>63</v>
      </c>
      <c r="AG257">
        <v>9.2396969999999996</v>
      </c>
      <c r="AH257" t="s">
        <v>234</v>
      </c>
      <c r="AI257" t="s">
        <v>407</v>
      </c>
      <c r="AJ257">
        <v>0.24704599999999999</v>
      </c>
      <c r="AK257" t="s">
        <v>63</v>
      </c>
      <c r="AL257">
        <v>8.8396969999999992</v>
      </c>
      <c r="AM257" s="4" t="s">
        <v>65</v>
      </c>
      <c r="AN257" s="5">
        <v>4431.6305691242396</v>
      </c>
      <c r="AO257" s="4" t="s">
        <v>65</v>
      </c>
      <c r="AP257" s="6">
        <v>2352</v>
      </c>
      <c r="AQ257">
        <v>3</v>
      </c>
      <c r="AR257">
        <v>4867.7059550000004</v>
      </c>
      <c r="AS257" t="s">
        <v>66</v>
      </c>
      <c r="AT257" t="s">
        <v>53</v>
      </c>
    </row>
    <row r="258" spans="1:46">
      <c r="A258">
        <v>704</v>
      </c>
      <c r="B258" t="s">
        <v>46</v>
      </c>
      <c r="C258">
        <v>15</v>
      </c>
      <c r="D258">
        <v>507</v>
      </c>
      <c r="E258" t="s">
        <v>489</v>
      </c>
      <c r="F258" t="s">
        <v>408</v>
      </c>
      <c r="G258">
        <v>15507</v>
      </c>
      <c r="H258">
        <v>15507</v>
      </c>
      <c r="I258" t="s">
        <v>49</v>
      </c>
      <c r="J258">
        <v>1508</v>
      </c>
      <c r="K258" t="s">
        <v>79</v>
      </c>
      <c r="L258" t="s">
        <v>69</v>
      </c>
      <c r="M258" t="s">
        <v>53</v>
      </c>
      <c r="N258">
        <v>8541</v>
      </c>
      <c r="O258" t="s">
        <v>53</v>
      </c>
      <c r="P258" t="s">
        <v>70</v>
      </c>
      <c r="Q258" t="s">
        <v>71</v>
      </c>
      <c r="R258" t="s">
        <v>93</v>
      </c>
      <c r="S258" t="s">
        <v>57</v>
      </c>
      <c r="T258" t="s">
        <v>58</v>
      </c>
      <c r="U258" t="s">
        <v>59</v>
      </c>
      <c r="V258">
        <v>0.72204500000000005</v>
      </c>
      <c r="W258" t="s">
        <v>53</v>
      </c>
      <c r="X258" t="s">
        <v>53</v>
      </c>
      <c r="Y258" t="s">
        <v>116</v>
      </c>
      <c r="Z258" t="str">
        <f t="shared" si="6"/>
        <v>Mayor que 30 - hasta 40</v>
      </c>
      <c r="AA258">
        <f t="shared" si="7"/>
        <v>1</v>
      </c>
      <c r="AB258">
        <v>15507</v>
      </c>
      <c r="AC258" t="s">
        <v>234</v>
      </c>
      <c r="AD258" t="s">
        <v>235</v>
      </c>
      <c r="AE258">
        <v>2.4756079999999998</v>
      </c>
      <c r="AF258" t="s">
        <v>77</v>
      </c>
      <c r="AG258">
        <v>88.430570000000003</v>
      </c>
      <c r="AH258" t="s">
        <v>234</v>
      </c>
      <c r="AI258" t="s">
        <v>407</v>
      </c>
      <c r="AJ258">
        <v>4.5682229999999997</v>
      </c>
      <c r="AK258" t="s">
        <v>85</v>
      </c>
      <c r="AL258">
        <v>138.96580800000001</v>
      </c>
      <c r="AM258" s="4" t="s">
        <v>64</v>
      </c>
      <c r="AN258" s="5">
        <v>16891.718264195333</v>
      </c>
      <c r="AO258" s="4" t="s">
        <v>65</v>
      </c>
      <c r="AP258" s="6">
        <v>1033</v>
      </c>
      <c r="AQ258">
        <v>4</v>
      </c>
      <c r="AR258">
        <v>25657.336291</v>
      </c>
      <c r="AS258" t="s">
        <v>66</v>
      </c>
      <c r="AT258" t="s">
        <v>53</v>
      </c>
    </row>
    <row r="259" spans="1:46">
      <c r="A259">
        <v>705</v>
      </c>
      <c r="B259" t="s">
        <v>46</v>
      </c>
      <c r="C259">
        <v>15</v>
      </c>
      <c r="D259">
        <v>511</v>
      </c>
      <c r="E259" t="s">
        <v>490</v>
      </c>
      <c r="F259" t="s">
        <v>408</v>
      </c>
      <c r="G259">
        <v>15511</v>
      </c>
      <c r="H259">
        <v>15511</v>
      </c>
      <c r="I259" t="s">
        <v>49</v>
      </c>
      <c r="J259">
        <v>1506</v>
      </c>
      <c r="K259" t="s">
        <v>435</v>
      </c>
      <c r="L259" t="s">
        <v>80</v>
      </c>
      <c r="M259" t="s">
        <v>53</v>
      </c>
      <c r="N259">
        <v>2573</v>
      </c>
      <c r="O259" t="s">
        <v>53</v>
      </c>
      <c r="P259" t="s">
        <v>70</v>
      </c>
      <c r="Q259" t="s">
        <v>71</v>
      </c>
      <c r="R259" t="s">
        <v>56</v>
      </c>
      <c r="S259" t="s">
        <v>57</v>
      </c>
      <c r="T259" t="s">
        <v>58</v>
      </c>
      <c r="U259" t="s">
        <v>81</v>
      </c>
      <c r="V259">
        <v>0.59005300000000005</v>
      </c>
      <c r="W259">
        <v>2015</v>
      </c>
      <c r="X259" t="s">
        <v>109</v>
      </c>
      <c r="Y259" t="s">
        <v>167</v>
      </c>
      <c r="Z259" t="str">
        <f t="shared" ref="Z259:Z322" si="8">IF(LEFT(Y259,10)="Irradiado_",
   RIGHT(Y259, LEN(Y259)-10),   Y259)</f>
        <v>Mayor que 50 - hasta 60</v>
      </c>
      <c r="AA259">
        <f t="shared" ref="AA259:AA322" si="9">IF(LEFT(Y259,10)="Irradiado_", 1, 0)</f>
        <v>1</v>
      </c>
      <c r="AB259">
        <v>15511</v>
      </c>
      <c r="AC259" t="s">
        <v>234</v>
      </c>
      <c r="AD259" t="s">
        <v>407</v>
      </c>
      <c r="AE259">
        <v>2.6928510000000001</v>
      </c>
      <c r="AF259" t="s">
        <v>77</v>
      </c>
      <c r="AG259">
        <v>56.812697999999997</v>
      </c>
      <c r="AH259" t="s">
        <v>234</v>
      </c>
      <c r="AI259" t="s">
        <v>407</v>
      </c>
      <c r="AJ259">
        <v>2.699989</v>
      </c>
      <c r="AK259" t="s">
        <v>77</v>
      </c>
      <c r="AL259">
        <v>57.154119999999999</v>
      </c>
      <c r="AM259" t="s">
        <v>65</v>
      </c>
      <c r="AN259" s="7">
        <v>950.09710355293782</v>
      </c>
      <c r="AO259" t="s">
        <v>65</v>
      </c>
      <c r="AP259" s="3">
        <v>1106</v>
      </c>
      <c r="AQ259">
        <v>4</v>
      </c>
      <c r="AR259">
        <v>806.97898199999997</v>
      </c>
      <c r="AS259" t="s">
        <v>66</v>
      </c>
      <c r="AT259" t="s">
        <v>137</v>
      </c>
    </row>
    <row r="260" spans="1:46">
      <c r="A260">
        <v>706</v>
      </c>
      <c r="B260" t="s">
        <v>46</v>
      </c>
      <c r="C260">
        <v>15</v>
      </c>
      <c r="D260">
        <v>514</v>
      </c>
      <c r="E260" t="s">
        <v>491</v>
      </c>
      <c r="F260" t="s">
        <v>408</v>
      </c>
      <c r="G260">
        <v>15514</v>
      </c>
      <c r="H260">
        <v>15514</v>
      </c>
      <c r="I260" t="s">
        <v>49</v>
      </c>
      <c r="J260">
        <v>1504</v>
      </c>
      <c r="K260" t="s">
        <v>423</v>
      </c>
      <c r="L260" t="s">
        <v>80</v>
      </c>
      <c r="M260" t="s">
        <v>53</v>
      </c>
      <c r="N260">
        <v>3433</v>
      </c>
      <c r="O260" t="s">
        <v>53</v>
      </c>
      <c r="P260" t="s">
        <v>70</v>
      </c>
      <c r="Q260" t="s">
        <v>71</v>
      </c>
      <c r="R260" t="s">
        <v>122</v>
      </c>
      <c r="S260" t="s">
        <v>57</v>
      </c>
      <c r="T260" t="s">
        <v>58</v>
      </c>
      <c r="U260" t="s">
        <v>81</v>
      </c>
      <c r="V260">
        <v>0.40223500000000001</v>
      </c>
      <c r="W260" t="s">
        <v>53</v>
      </c>
      <c r="X260" t="s">
        <v>53</v>
      </c>
      <c r="Y260" t="s">
        <v>102</v>
      </c>
      <c r="Z260" t="str">
        <f t="shared" si="8"/>
        <v>Mayor que 20 - hasta 30</v>
      </c>
      <c r="AA260">
        <f t="shared" si="9"/>
        <v>1</v>
      </c>
      <c r="AB260">
        <v>15514</v>
      </c>
      <c r="AC260" t="s">
        <v>432</v>
      </c>
      <c r="AD260" t="s">
        <v>405</v>
      </c>
      <c r="AE260">
        <v>2.5818810000000001</v>
      </c>
      <c r="AF260" t="s">
        <v>77</v>
      </c>
      <c r="AG260">
        <v>80.747726999999998</v>
      </c>
      <c r="AH260" t="s">
        <v>234</v>
      </c>
      <c r="AI260" t="s">
        <v>407</v>
      </c>
      <c r="AJ260">
        <v>3.413373</v>
      </c>
      <c r="AK260" t="s">
        <v>84</v>
      </c>
      <c r="AL260">
        <v>86.838896000000005</v>
      </c>
      <c r="AM260" s="4" t="s">
        <v>64</v>
      </c>
      <c r="AN260" s="5">
        <v>15554.529242021137</v>
      </c>
      <c r="AO260" s="4" t="s">
        <v>65</v>
      </c>
      <c r="AP260" s="6">
        <v>1568</v>
      </c>
      <c r="AQ260">
        <v>4</v>
      </c>
      <c r="AR260">
        <v>22970.787602</v>
      </c>
      <c r="AS260" t="s">
        <v>66</v>
      </c>
      <c r="AT260" t="s">
        <v>53</v>
      </c>
    </row>
    <row r="261" spans="1:46">
      <c r="A261">
        <v>707</v>
      </c>
      <c r="B261" t="s">
        <v>46</v>
      </c>
      <c r="C261">
        <v>15</v>
      </c>
      <c r="D261">
        <v>516</v>
      </c>
      <c r="E261" t="s">
        <v>492</v>
      </c>
      <c r="F261" t="s">
        <v>408</v>
      </c>
      <c r="G261">
        <v>15516</v>
      </c>
      <c r="H261">
        <v>15516</v>
      </c>
      <c r="I261" t="s">
        <v>49</v>
      </c>
      <c r="J261">
        <v>1512</v>
      </c>
      <c r="K261" t="s">
        <v>420</v>
      </c>
      <c r="L261" t="s">
        <v>91</v>
      </c>
      <c r="M261" t="s">
        <v>53</v>
      </c>
      <c r="N261">
        <v>36078</v>
      </c>
      <c r="O261" t="s">
        <v>53</v>
      </c>
      <c r="P261" t="s">
        <v>92</v>
      </c>
      <c r="Q261" t="s">
        <v>118</v>
      </c>
      <c r="R261" t="s">
        <v>122</v>
      </c>
      <c r="S261" t="s">
        <v>57</v>
      </c>
      <c r="T261" t="s">
        <v>58</v>
      </c>
      <c r="U261" t="s">
        <v>81</v>
      </c>
      <c r="V261">
        <v>0.57107600000000003</v>
      </c>
      <c r="W261" t="s">
        <v>53</v>
      </c>
      <c r="X261" t="s">
        <v>53</v>
      </c>
      <c r="Y261" t="s">
        <v>228</v>
      </c>
      <c r="Z261" t="str">
        <f t="shared" si="8"/>
        <v>Mayor que 180 - hasta 200</v>
      </c>
      <c r="AA261">
        <f t="shared" si="9"/>
        <v>1</v>
      </c>
      <c r="AB261">
        <v>15516</v>
      </c>
      <c r="AC261" t="s">
        <v>234</v>
      </c>
      <c r="AD261" t="s">
        <v>421</v>
      </c>
      <c r="AE261">
        <v>0.36448599999999998</v>
      </c>
      <c r="AF261" t="s">
        <v>63</v>
      </c>
      <c r="AG261">
        <v>13.963960999999999</v>
      </c>
      <c r="AH261" t="s">
        <v>234</v>
      </c>
      <c r="AI261" t="s">
        <v>407</v>
      </c>
      <c r="AJ261">
        <v>0.99048599999999998</v>
      </c>
      <c r="AK261" t="s">
        <v>63</v>
      </c>
      <c r="AL261">
        <v>42.187215000000002</v>
      </c>
      <c r="AM261" s="4" t="s">
        <v>65</v>
      </c>
      <c r="AN261" s="5">
        <v>20706.349457884076</v>
      </c>
      <c r="AO261" s="4" t="s">
        <v>65</v>
      </c>
      <c r="AP261" s="6">
        <v>12485</v>
      </c>
      <c r="AQ261">
        <v>4</v>
      </c>
      <c r="AR261">
        <v>12040.735793</v>
      </c>
      <c r="AS261" t="s">
        <v>66</v>
      </c>
      <c r="AT261" t="s">
        <v>53</v>
      </c>
    </row>
    <row r="262" spans="1:46">
      <c r="A262">
        <v>708</v>
      </c>
      <c r="B262" t="s">
        <v>46</v>
      </c>
      <c r="C262">
        <v>15</v>
      </c>
      <c r="D262">
        <v>518</v>
      </c>
      <c r="E262" t="s">
        <v>493</v>
      </c>
      <c r="F262" t="s">
        <v>408</v>
      </c>
      <c r="G262">
        <v>15518</v>
      </c>
      <c r="H262">
        <v>15518</v>
      </c>
      <c r="I262" t="s">
        <v>49</v>
      </c>
      <c r="J262">
        <v>1503</v>
      </c>
      <c r="K262" t="s">
        <v>472</v>
      </c>
      <c r="L262" t="s">
        <v>80</v>
      </c>
      <c r="M262" t="s">
        <v>53</v>
      </c>
      <c r="N262">
        <v>2527</v>
      </c>
      <c r="O262" t="s">
        <v>53</v>
      </c>
      <c r="P262" t="s">
        <v>70</v>
      </c>
      <c r="Q262" t="s">
        <v>71</v>
      </c>
      <c r="R262" t="s">
        <v>122</v>
      </c>
      <c r="S262" t="s">
        <v>57</v>
      </c>
      <c r="T262" t="s">
        <v>73</v>
      </c>
      <c r="U262" t="s">
        <v>101</v>
      </c>
      <c r="V262">
        <v>0.57142899999999996</v>
      </c>
      <c r="W262" t="s">
        <v>53</v>
      </c>
      <c r="X262" t="s">
        <v>53</v>
      </c>
      <c r="Y262" t="s">
        <v>87</v>
      </c>
      <c r="Z262" t="str">
        <f t="shared" si="8"/>
        <v>Mayor que 40 - hasta 50</v>
      </c>
      <c r="AA262">
        <f t="shared" si="9"/>
        <v>1</v>
      </c>
      <c r="AB262">
        <v>15518</v>
      </c>
      <c r="AC262" t="s">
        <v>432</v>
      </c>
      <c r="AD262" t="s">
        <v>494</v>
      </c>
      <c r="AE262">
        <v>0.76317400000000002</v>
      </c>
      <c r="AF262" t="s">
        <v>63</v>
      </c>
      <c r="AG262">
        <v>31.28772</v>
      </c>
      <c r="AH262" t="s">
        <v>432</v>
      </c>
      <c r="AI262" t="s">
        <v>473</v>
      </c>
      <c r="AJ262">
        <v>1.346757</v>
      </c>
      <c r="AK262" t="s">
        <v>76</v>
      </c>
      <c r="AL262">
        <v>54.923968000000002</v>
      </c>
      <c r="AM262" s="4" t="s">
        <v>64</v>
      </c>
      <c r="AN262" s="5">
        <v>13269.8331551544</v>
      </c>
      <c r="AO262" s="4" t="s">
        <v>65</v>
      </c>
      <c r="AP262" s="6">
        <v>597</v>
      </c>
      <c r="AQ262">
        <v>4</v>
      </c>
      <c r="AR262">
        <v>14368.691235</v>
      </c>
      <c r="AS262" t="s">
        <v>66</v>
      </c>
      <c r="AT262" t="s">
        <v>53</v>
      </c>
    </row>
    <row r="263" spans="1:46">
      <c r="A263">
        <v>709</v>
      </c>
      <c r="B263" t="s">
        <v>46</v>
      </c>
      <c r="C263">
        <v>15</v>
      </c>
      <c r="D263">
        <v>522</v>
      </c>
      <c r="E263" t="s">
        <v>495</v>
      </c>
      <c r="F263" t="s">
        <v>408</v>
      </c>
      <c r="G263">
        <v>15522</v>
      </c>
      <c r="H263">
        <v>15522</v>
      </c>
      <c r="I263" t="s">
        <v>49</v>
      </c>
      <c r="J263">
        <v>1502</v>
      </c>
      <c r="K263" t="s">
        <v>439</v>
      </c>
      <c r="L263" t="s">
        <v>69</v>
      </c>
      <c r="M263" t="s">
        <v>53</v>
      </c>
      <c r="N263">
        <v>1794</v>
      </c>
      <c r="O263" t="s">
        <v>53</v>
      </c>
      <c r="P263" t="s">
        <v>70</v>
      </c>
      <c r="Q263" t="s">
        <v>71</v>
      </c>
      <c r="R263" t="s">
        <v>72</v>
      </c>
      <c r="S263" t="s">
        <v>57</v>
      </c>
      <c r="T263" t="s">
        <v>58</v>
      </c>
      <c r="U263" t="s">
        <v>81</v>
      </c>
      <c r="V263">
        <v>0.68230100000000005</v>
      </c>
      <c r="W263" t="s">
        <v>53</v>
      </c>
      <c r="X263" t="s">
        <v>53</v>
      </c>
      <c r="Y263" t="s">
        <v>102</v>
      </c>
      <c r="Z263" t="str">
        <f t="shared" si="8"/>
        <v>Mayor que 20 - hasta 30</v>
      </c>
      <c r="AA263">
        <f t="shared" si="9"/>
        <v>1</v>
      </c>
      <c r="AB263">
        <v>15522</v>
      </c>
      <c r="AC263" t="s">
        <v>234</v>
      </c>
      <c r="AD263" t="s">
        <v>421</v>
      </c>
      <c r="AE263">
        <v>5.4546479999999997</v>
      </c>
      <c r="AF263" t="s">
        <v>211</v>
      </c>
      <c r="AG263">
        <v>133.48763299999999</v>
      </c>
      <c r="AH263" t="s">
        <v>234</v>
      </c>
      <c r="AI263" t="s">
        <v>407</v>
      </c>
      <c r="AJ263">
        <v>6.6486080000000003</v>
      </c>
      <c r="AK263" t="s">
        <v>354</v>
      </c>
      <c r="AL263">
        <v>188.69738799999999</v>
      </c>
      <c r="AM263" s="4" t="s">
        <v>65</v>
      </c>
      <c r="AN263" s="5">
        <v>1294.667336048768</v>
      </c>
      <c r="AO263" s="4" t="s">
        <v>65</v>
      </c>
      <c r="AP263" s="6">
        <v>712</v>
      </c>
      <c r="AQ263">
        <v>5</v>
      </c>
      <c r="AR263">
        <v>1260.7633470000001</v>
      </c>
      <c r="AS263" t="s">
        <v>66</v>
      </c>
      <c r="AT263" t="s">
        <v>53</v>
      </c>
    </row>
    <row r="264" spans="1:46">
      <c r="A264">
        <v>710</v>
      </c>
      <c r="B264" t="s">
        <v>46</v>
      </c>
      <c r="C264">
        <v>15</v>
      </c>
      <c r="D264">
        <v>531</v>
      </c>
      <c r="E264" t="s">
        <v>496</v>
      </c>
      <c r="F264" t="s">
        <v>408</v>
      </c>
      <c r="G264">
        <v>15531</v>
      </c>
      <c r="H264">
        <v>15531</v>
      </c>
      <c r="I264" t="s">
        <v>49</v>
      </c>
      <c r="J264">
        <v>1508</v>
      </c>
      <c r="K264" t="s">
        <v>79</v>
      </c>
      <c r="L264" t="s">
        <v>80</v>
      </c>
      <c r="M264" t="s">
        <v>53</v>
      </c>
      <c r="N264">
        <v>7546</v>
      </c>
      <c r="O264" t="s">
        <v>53</v>
      </c>
      <c r="P264" t="s">
        <v>70</v>
      </c>
      <c r="Q264" t="s">
        <v>71</v>
      </c>
      <c r="R264" t="s">
        <v>122</v>
      </c>
      <c r="S264" t="s">
        <v>57</v>
      </c>
      <c r="T264" t="s">
        <v>58</v>
      </c>
      <c r="U264" t="s">
        <v>59</v>
      </c>
      <c r="V264">
        <v>0.78529199999999999</v>
      </c>
      <c r="W264" t="s">
        <v>53</v>
      </c>
      <c r="X264" t="s">
        <v>53</v>
      </c>
      <c r="Y264" t="s">
        <v>87</v>
      </c>
      <c r="Z264" t="str">
        <f t="shared" si="8"/>
        <v>Mayor que 40 - hasta 50</v>
      </c>
      <c r="AA264">
        <f t="shared" si="9"/>
        <v>1</v>
      </c>
      <c r="AB264">
        <v>15531</v>
      </c>
      <c r="AC264" t="s">
        <v>234</v>
      </c>
      <c r="AD264" t="s">
        <v>428</v>
      </c>
      <c r="AE264">
        <v>1.0530349999999999</v>
      </c>
      <c r="AF264" t="s">
        <v>76</v>
      </c>
      <c r="AG264">
        <v>30.326198000000002</v>
      </c>
      <c r="AH264" t="s">
        <v>234</v>
      </c>
      <c r="AI264" t="s">
        <v>407</v>
      </c>
      <c r="AJ264">
        <v>3.0606840000000002</v>
      </c>
      <c r="AK264" t="s">
        <v>84</v>
      </c>
      <c r="AL264">
        <v>102.248441</v>
      </c>
      <c r="AM264" s="4" t="s">
        <v>65</v>
      </c>
      <c r="AN264" s="5">
        <v>14386.952232808955</v>
      </c>
      <c r="AO264" s="4" t="s">
        <v>65</v>
      </c>
      <c r="AP264" s="6">
        <v>3573</v>
      </c>
      <c r="AQ264">
        <v>4</v>
      </c>
      <c r="AR264">
        <v>15470.244712</v>
      </c>
      <c r="AS264" t="s">
        <v>66</v>
      </c>
      <c r="AT264" t="s">
        <v>53</v>
      </c>
    </row>
    <row r="265" spans="1:46">
      <c r="A265">
        <v>711</v>
      </c>
      <c r="B265" t="s">
        <v>46</v>
      </c>
      <c r="C265">
        <v>15</v>
      </c>
      <c r="D265">
        <v>533</v>
      </c>
      <c r="E265" t="s">
        <v>497</v>
      </c>
      <c r="F265" t="s">
        <v>408</v>
      </c>
      <c r="G265">
        <v>15533</v>
      </c>
      <c r="H265">
        <v>15533</v>
      </c>
      <c r="I265" t="s">
        <v>49</v>
      </c>
      <c r="J265">
        <v>1503</v>
      </c>
      <c r="K265" t="s">
        <v>472</v>
      </c>
      <c r="L265" t="s">
        <v>80</v>
      </c>
      <c r="M265" t="s">
        <v>53</v>
      </c>
      <c r="N265">
        <v>2763</v>
      </c>
      <c r="O265" t="s">
        <v>53</v>
      </c>
      <c r="P265" t="s">
        <v>70</v>
      </c>
      <c r="Q265" t="s">
        <v>71</v>
      </c>
      <c r="R265" t="s">
        <v>72</v>
      </c>
      <c r="S265" t="s">
        <v>57</v>
      </c>
      <c r="T265" t="s">
        <v>73</v>
      </c>
      <c r="U265" t="s">
        <v>59</v>
      </c>
      <c r="V265">
        <v>0.79911699999999997</v>
      </c>
      <c r="W265" t="s">
        <v>53</v>
      </c>
      <c r="X265" t="s">
        <v>53</v>
      </c>
      <c r="Y265" t="s">
        <v>102</v>
      </c>
      <c r="Z265" t="str">
        <f t="shared" si="8"/>
        <v>Mayor que 20 - hasta 30</v>
      </c>
      <c r="AA265">
        <f t="shared" si="9"/>
        <v>1</v>
      </c>
      <c r="AB265">
        <v>15533</v>
      </c>
      <c r="AC265" t="s">
        <v>432</v>
      </c>
      <c r="AD265" t="s">
        <v>473</v>
      </c>
      <c r="AE265">
        <v>3.2100590000000002</v>
      </c>
      <c r="AF265" t="s">
        <v>84</v>
      </c>
      <c r="AG265">
        <v>63.686709999999998</v>
      </c>
      <c r="AH265" t="s">
        <v>432</v>
      </c>
      <c r="AI265" t="s">
        <v>473</v>
      </c>
      <c r="AJ265">
        <v>3.1933919999999998</v>
      </c>
      <c r="AK265" t="s">
        <v>84</v>
      </c>
      <c r="AL265">
        <v>63.586709999999997</v>
      </c>
      <c r="AM265" s="4" t="s">
        <v>64</v>
      </c>
      <c r="AN265" s="5">
        <v>20681.137863091888</v>
      </c>
      <c r="AO265" s="4" t="s">
        <v>65</v>
      </c>
      <c r="AP265" s="6">
        <v>468</v>
      </c>
      <c r="AQ265">
        <v>5</v>
      </c>
      <c r="AR265">
        <v>23760.664943</v>
      </c>
      <c r="AS265" t="s">
        <v>66</v>
      </c>
      <c r="AT265" t="s">
        <v>53</v>
      </c>
    </row>
    <row r="266" spans="1:46">
      <c r="A266">
        <v>712</v>
      </c>
      <c r="B266" t="s">
        <v>46</v>
      </c>
      <c r="C266">
        <v>15</v>
      </c>
      <c r="D266">
        <v>537</v>
      </c>
      <c r="E266" t="s">
        <v>498</v>
      </c>
      <c r="F266" t="s">
        <v>408</v>
      </c>
      <c r="G266">
        <v>15537</v>
      </c>
      <c r="H266">
        <v>15537</v>
      </c>
      <c r="I266" t="s">
        <v>49</v>
      </c>
      <c r="J266">
        <v>1513</v>
      </c>
      <c r="K266" t="s">
        <v>425</v>
      </c>
      <c r="L266" t="s">
        <v>69</v>
      </c>
      <c r="M266" t="s">
        <v>53</v>
      </c>
      <c r="N266">
        <v>4472</v>
      </c>
      <c r="O266" t="s">
        <v>53</v>
      </c>
      <c r="P266" t="s">
        <v>70</v>
      </c>
      <c r="Q266" t="s">
        <v>71</v>
      </c>
      <c r="R266" t="s">
        <v>93</v>
      </c>
      <c r="S266" t="s">
        <v>57</v>
      </c>
      <c r="T266" t="s">
        <v>58</v>
      </c>
      <c r="U266" t="s">
        <v>81</v>
      </c>
      <c r="V266">
        <v>0.77914600000000001</v>
      </c>
      <c r="W266" t="s">
        <v>53</v>
      </c>
      <c r="X266" t="s">
        <v>53</v>
      </c>
      <c r="Y266" t="s">
        <v>187</v>
      </c>
      <c r="Z266" t="str">
        <f t="shared" si="8"/>
        <v>Mayor que 80 - hasta 100</v>
      </c>
      <c r="AA266">
        <f t="shared" si="9"/>
        <v>1</v>
      </c>
      <c r="AB266">
        <v>15537</v>
      </c>
      <c r="AC266" t="s">
        <v>234</v>
      </c>
      <c r="AD266" t="s">
        <v>416</v>
      </c>
      <c r="AE266">
        <v>1.827194</v>
      </c>
      <c r="AF266" t="s">
        <v>76</v>
      </c>
      <c r="AG266">
        <v>46.370058</v>
      </c>
      <c r="AH266" t="s">
        <v>234</v>
      </c>
      <c r="AI266" t="s">
        <v>407</v>
      </c>
      <c r="AJ266">
        <v>3.1111800000000001</v>
      </c>
      <c r="AK266" t="s">
        <v>84</v>
      </c>
      <c r="AL266">
        <v>105.794026</v>
      </c>
      <c r="AM266" s="4" t="s">
        <v>65</v>
      </c>
      <c r="AN266" s="5">
        <v>5882.9497193256011</v>
      </c>
      <c r="AO266" s="4" t="s">
        <v>65</v>
      </c>
      <c r="AP266" s="6">
        <v>3050</v>
      </c>
      <c r="AQ266">
        <v>4</v>
      </c>
      <c r="AR266">
        <v>3163.9319089999999</v>
      </c>
      <c r="AS266" t="s">
        <v>66</v>
      </c>
      <c r="AT266" t="s">
        <v>53</v>
      </c>
    </row>
    <row r="267" spans="1:46">
      <c r="A267">
        <v>661</v>
      </c>
      <c r="B267" t="s">
        <v>46</v>
      </c>
      <c r="C267">
        <v>15</v>
      </c>
      <c r="D267">
        <v>542</v>
      </c>
      <c r="E267" t="s">
        <v>499</v>
      </c>
      <c r="F267" t="s">
        <v>408</v>
      </c>
      <c r="G267">
        <v>15542</v>
      </c>
      <c r="H267">
        <v>15542</v>
      </c>
      <c r="I267" t="s">
        <v>49</v>
      </c>
      <c r="J267">
        <v>1511</v>
      </c>
      <c r="K267" t="s">
        <v>413</v>
      </c>
      <c r="L267" t="s">
        <v>80</v>
      </c>
      <c r="M267" t="s">
        <v>53</v>
      </c>
      <c r="N267">
        <v>7116</v>
      </c>
      <c r="O267" t="s">
        <v>53</v>
      </c>
      <c r="P267" t="s">
        <v>70</v>
      </c>
      <c r="Q267" t="s">
        <v>71</v>
      </c>
      <c r="R267" t="s">
        <v>122</v>
      </c>
      <c r="S267" t="s">
        <v>57</v>
      </c>
      <c r="T267" t="s">
        <v>58</v>
      </c>
      <c r="U267" t="s">
        <v>81</v>
      </c>
      <c r="V267">
        <v>0.75301600000000002</v>
      </c>
      <c r="W267" t="s">
        <v>53</v>
      </c>
      <c r="X267" t="s">
        <v>53</v>
      </c>
      <c r="Y267" t="s">
        <v>136</v>
      </c>
      <c r="Z267" t="str">
        <f t="shared" si="8"/>
        <v>Mayor que 100 - hasta 120</v>
      </c>
      <c r="AA267">
        <f t="shared" si="9"/>
        <v>1</v>
      </c>
      <c r="AB267">
        <v>15542</v>
      </c>
      <c r="AC267" t="s">
        <v>234</v>
      </c>
      <c r="AD267" t="s">
        <v>416</v>
      </c>
      <c r="AE267">
        <v>1.0767070000000001</v>
      </c>
      <c r="AF267" t="s">
        <v>76</v>
      </c>
      <c r="AG267">
        <v>25.433304</v>
      </c>
      <c r="AH267" t="s">
        <v>234</v>
      </c>
      <c r="AI267" t="s">
        <v>407</v>
      </c>
      <c r="AJ267">
        <v>2.2750780000000002</v>
      </c>
      <c r="AK267" t="s">
        <v>77</v>
      </c>
      <c r="AL267">
        <v>47.045794000000001</v>
      </c>
      <c r="AM267" s="4" t="s">
        <v>65</v>
      </c>
      <c r="AN267" s="5">
        <v>11082.717933708449</v>
      </c>
      <c r="AO267" s="4" t="s">
        <v>65</v>
      </c>
      <c r="AP267" s="6">
        <v>6529</v>
      </c>
      <c r="AQ267">
        <v>4</v>
      </c>
      <c r="AR267">
        <v>9792.8883530000003</v>
      </c>
      <c r="AS267" t="s">
        <v>66</v>
      </c>
      <c r="AT267" t="s">
        <v>53</v>
      </c>
    </row>
    <row r="268" spans="1:46">
      <c r="A268">
        <v>662</v>
      </c>
      <c r="B268" t="s">
        <v>46</v>
      </c>
      <c r="C268">
        <v>15</v>
      </c>
      <c r="D268">
        <v>550</v>
      </c>
      <c r="E268" t="s">
        <v>500</v>
      </c>
      <c r="F268" t="s">
        <v>408</v>
      </c>
      <c r="G268">
        <v>15550</v>
      </c>
      <c r="H268">
        <v>15550</v>
      </c>
      <c r="I268" t="s">
        <v>49</v>
      </c>
      <c r="J268">
        <v>1503</v>
      </c>
      <c r="K268" t="s">
        <v>472</v>
      </c>
      <c r="L268" t="s">
        <v>80</v>
      </c>
      <c r="M268" t="s">
        <v>53</v>
      </c>
      <c r="N268">
        <v>1859</v>
      </c>
      <c r="O268" t="s">
        <v>53</v>
      </c>
      <c r="P268" t="s">
        <v>70</v>
      </c>
      <c r="Q268" t="s">
        <v>71</v>
      </c>
      <c r="R268" t="s">
        <v>56</v>
      </c>
      <c r="S268" t="s">
        <v>57</v>
      </c>
      <c r="T268" t="s">
        <v>73</v>
      </c>
      <c r="U268" t="s">
        <v>101</v>
      </c>
      <c r="V268">
        <v>0.76104300000000003</v>
      </c>
      <c r="W268" t="s">
        <v>53</v>
      </c>
      <c r="X268" t="s">
        <v>53</v>
      </c>
      <c r="Y268" t="s">
        <v>116</v>
      </c>
      <c r="Z268" t="str">
        <f t="shared" si="8"/>
        <v>Mayor que 30 - hasta 40</v>
      </c>
      <c r="AA268">
        <f t="shared" si="9"/>
        <v>1</v>
      </c>
      <c r="AB268">
        <v>15550</v>
      </c>
      <c r="AC268" t="s">
        <v>432</v>
      </c>
      <c r="AD268" t="s">
        <v>473</v>
      </c>
      <c r="AE268">
        <v>4.2896000000000001</v>
      </c>
      <c r="AF268" t="s">
        <v>85</v>
      </c>
      <c r="AG268">
        <v>63.800922999999997</v>
      </c>
      <c r="AH268" t="s">
        <v>432</v>
      </c>
      <c r="AI268" t="s">
        <v>473</v>
      </c>
      <c r="AJ268">
        <v>4.2729330000000001</v>
      </c>
      <c r="AK268" t="s">
        <v>85</v>
      </c>
      <c r="AL268">
        <v>63.700923000000003</v>
      </c>
      <c r="AM268" s="4" t="s">
        <v>97</v>
      </c>
      <c r="AN268" s="5">
        <v>26043.761382055611</v>
      </c>
      <c r="AO268" s="4" t="s">
        <v>65</v>
      </c>
      <c r="AP268" s="6">
        <v>993</v>
      </c>
      <c r="AQ268">
        <v>4</v>
      </c>
      <c r="AR268">
        <v>24826.077799999999</v>
      </c>
      <c r="AS268" t="s">
        <v>66</v>
      </c>
      <c r="AT268" t="s">
        <v>53</v>
      </c>
    </row>
    <row r="269" spans="1:46">
      <c r="A269">
        <v>663</v>
      </c>
      <c r="B269" t="s">
        <v>46</v>
      </c>
      <c r="C269">
        <v>15</v>
      </c>
      <c r="D269">
        <v>572</v>
      </c>
      <c r="E269" t="s">
        <v>501</v>
      </c>
      <c r="F269" t="s">
        <v>408</v>
      </c>
      <c r="G269">
        <v>15572</v>
      </c>
      <c r="H269">
        <v>15572</v>
      </c>
      <c r="I269" t="s">
        <v>49</v>
      </c>
      <c r="J269">
        <v>1508</v>
      </c>
      <c r="K269" t="s">
        <v>79</v>
      </c>
      <c r="L269" t="s">
        <v>91</v>
      </c>
      <c r="M269" t="s">
        <v>53</v>
      </c>
      <c r="N269">
        <v>50160</v>
      </c>
      <c r="O269" t="s">
        <v>53</v>
      </c>
      <c r="P269" t="s">
        <v>92</v>
      </c>
      <c r="Q269" t="s">
        <v>118</v>
      </c>
      <c r="R269" t="s">
        <v>122</v>
      </c>
      <c r="S269" t="s">
        <v>57</v>
      </c>
      <c r="T269" t="s">
        <v>58</v>
      </c>
      <c r="U269" t="s">
        <v>59</v>
      </c>
      <c r="V269">
        <v>0.44170199999999998</v>
      </c>
      <c r="W269">
        <v>2024</v>
      </c>
      <c r="X269" t="s">
        <v>109</v>
      </c>
      <c r="Y269" t="s">
        <v>165</v>
      </c>
      <c r="Z269" t="str">
        <f t="shared" si="8"/>
        <v>Mayor que 60 - hasta 70</v>
      </c>
      <c r="AA269">
        <f t="shared" si="9"/>
        <v>1</v>
      </c>
      <c r="AB269">
        <v>15572</v>
      </c>
      <c r="AC269" t="s">
        <v>234</v>
      </c>
      <c r="AD269" t="s">
        <v>235</v>
      </c>
      <c r="AE269">
        <v>0</v>
      </c>
      <c r="AF269" t="s">
        <v>63</v>
      </c>
      <c r="AG269">
        <v>0</v>
      </c>
      <c r="AH269" t="s">
        <v>61</v>
      </c>
      <c r="AI269" t="s">
        <v>62</v>
      </c>
      <c r="AJ269">
        <v>5.0002800000000001</v>
      </c>
      <c r="AK269" t="s">
        <v>181</v>
      </c>
      <c r="AL269">
        <v>205.85007899999999</v>
      </c>
      <c r="AM269" s="4" t="s">
        <v>64</v>
      </c>
      <c r="AN269" s="5">
        <v>64192.746693015855</v>
      </c>
      <c r="AO269" s="4" t="s">
        <v>65</v>
      </c>
      <c r="AP269" s="6">
        <v>1168</v>
      </c>
      <c r="AQ269">
        <v>3</v>
      </c>
      <c r="AR269">
        <v>83942.032743999996</v>
      </c>
      <c r="AS269" t="s">
        <v>66</v>
      </c>
      <c r="AT269" t="s">
        <v>53</v>
      </c>
    </row>
    <row r="270" spans="1:46">
      <c r="A270">
        <v>664</v>
      </c>
      <c r="B270" t="s">
        <v>46</v>
      </c>
      <c r="C270">
        <v>15</v>
      </c>
      <c r="D270">
        <v>580</v>
      </c>
      <c r="E270" t="s">
        <v>502</v>
      </c>
      <c r="F270" t="s">
        <v>408</v>
      </c>
      <c r="G270">
        <v>15580</v>
      </c>
      <c r="H270">
        <v>15580</v>
      </c>
      <c r="I270" t="s">
        <v>49</v>
      </c>
      <c r="J270">
        <v>1508</v>
      </c>
      <c r="K270" t="s">
        <v>79</v>
      </c>
      <c r="L270" t="s">
        <v>80</v>
      </c>
      <c r="M270" t="s">
        <v>53</v>
      </c>
      <c r="N270">
        <v>5209</v>
      </c>
      <c r="O270" t="s">
        <v>53</v>
      </c>
      <c r="P270" t="s">
        <v>70</v>
      </c>
      <c r="Q270" t="s">
        <v>71</v>
      </c>
      <c r="R270" t="s">
        <v>93</v>
      </c>
      <c r="S270" t="s">
        <v>57</v>
      </c>
      <c r="T270" t="s">
        <v>58</v>
      </c>
      <c r="U270" t="s">
        <v>81</v>
      </c>
      <c r="V270">
        <v>0.59163100000000002</v>
      </c>
      <c r="W270" t="s">
        <v>53</v>
      </c>
      <c r="X270" t="s">
        <v>53</v>
      </c>
      <c r="Y270" t="s">
        <v>102</v>
      </c>
      <c r="Z270" t="str">
        <f t="shared" si="8"/>
        <v>Mayor que 20 - hasta 30</v>
      </c>
      <c r="AA270">
        <f t="shared" si="9"/>
        <v>1</v>
      </c>
      <c r="AB270">
        <v>15580</v>
      </c>
      <c r="AC270" t="s">
        <v>234</v>
      </c>
      <c r="AD270" t="s">
        <v>428</v>
      </c>
      <c r="AE270">
        <v>3.453754</v>
      </c>
      <c r="AF270" t="s">
        <v>84</v>
      </c>
      <c r="AG270">
        <v>68.649451999999997</v>
      </c>
      <c r="AH270" t="s">
        <v>234</v>
      </c>
      <c r="AI270" t="s">
        <v>407</v>
      </c>
      <c r="AJ270">
        <v>5.4614029999999998</v>
      </c>
      <c r="AK270" t="s">
        <v>181</v>
      </c>
      <c r="AL270">
        <v>140.57169500000001</v>
      </c>
      <c r="AM270" s="4" t="s">
        <v>64</v>
      </c>
      <c r="AN270" s="5">
        <v>7424.4849537880946</v>
      </c>
      <c r="AO270" s="4" t="s">
        <v>65</v>
      </c>
      <c r="AP270" s="6">
        <v>631</v>
      </c>
      <c r="AQ270">
        <v>4</v>
      </c>
      <c r="AR270">
        <v>12576.204693</v>
      </c>
      <c r="AS270" t="s">
        <v>66</v>
      </c>
      <c r="AT270" t="s">
        <v>53</v>
      </c>
    </row>
    <row r="271" spans="1:46">
      <c r="A271">
        <v>713</v>
      </c>
      <c r="B271" t="s">
        <v>46</v>
      </c>
      <c r="C271">
        <v>15</v>
      </c>
      <c r="D271">
        <v>599</v>
      </c>
      <c r="E271" t="s">
        <v>503</v>
      </c>
      <c r="F271" t="s">
        <v>408</v>
      </c>
      <c r="G271">
        <v>15599</v>
      </c>
      <c r="H271">
        <v>15599</v>
      </c>
      <c r="I271" t="s">
        <v>49</v>
      </c>
      <c r="J271">
        <v>1505</v>
      </c>
      <c r="K271" t="s">
        <v>427</v>
      </c>
      <c r="L271" t="s">
        <v>91</v>
      </c>
      <c r="M271" t="s">
        <v>53</v>
      </c>
      <c r="N271">
        <v>10542</v>
      </c>
      <c r="O271" t="s">
        <v>53</v>
      </c>
      <c r="P271" t="s">
        <v>70</v>
      </c>
      <c r="Q271" t="s">
        <v>71</v>
      </c>
      <c r="R271" t="s">
        <v>105</v>
      </c>
      <c r="S271" t="s">
        <v>57</v>
      </c>
      <c r="T271" t="s">
        <v>58</v>
      </c>
      <c r="U271" t="s">
        <v>81</v>
      </c>
      <c r="V271">
        <v>0.798458</v>
      </c>
      <c r="W271" t="s">
        <v>53</v>
      </c>
      <c r="X271" t="s">
        <v>53</v>
      </c>
      <c r="Y271" t="s">
        <v>74</v>
      </c>
      <c r="Z271" t="str">
        <f t="shared" si="8"/>
        <v>Mayor que 140 - hasta 160</v>
      </c>
      <c r="AA271">
        <f t="shared" si="9"/>
        <v>1</v>
      </c>
      <c r="AB271">
        <v>15599</v>
      </c>
      <c r="AC271" t="s">
        <v>234</v>
      </c>
      <c r="AD271" t="s">
        <v>407</v>
      </c>
      <c r="AE271">
        <v>0.80120899999999995</v>
      </c>
      <c r="AF271" t="s">
        <v>63</v>
      </c>
      <c r="AG271">
        <v>22.386500999999999</v>
      </c>
      <c r="AH271" t="s">
        <v>234</v>
      </c>
      <c r="AI271" t="s">
        <v>407</v>
      </c>
      <c r="AJ271">
        <v>0.80834799999999996</v>
      </c>
      <c r="AK271" t="s">
        <v>63</v>
      </c>
      <c r="AL271">
        <v>22.727922</v>
      </c>
      <c r="AM271" s="4" t="s">
        <v>65</v>
      </c>
      <c r="AN271" s="5">
        <v>9324.945978645932</v>
      </c>
      <c r="AO271" s="4" t="s">
        <v>65</v>
      </c>
      <c r="AP271" s="6">
        <v>7850</v>
      </c>
      <c r="AQ271">
        <v>3</v>
      </c>
      <c r="AR271">
        <v>4394.9940310000002</v>
      </c>
      <c r="AS271" t="s">
        <v>66</v>
      </c>
      <c r="AT271" t="s">
        <v>53</v>
      </c>
    </row>
    <row r="272" spans="1:46">
      <c r="A272">
        <v>714</v>
      </c>
      <c r="B272" t="s">
        <v>46</v>
      </c>
      <c r="C272">
        <v>15</v>
      </c>
      <c r="D272">
        <v>600</v>
      </c>
      <c r="E272" t="s">
        <v>504</v>
      </c>
      <c r="F272" t="s">
        <v>408</v>
      </c>
      <c r="G272">
        <v>15600</v>
      </c>
      <c r="H272">
        <v>15600</v>
      </c>
      <c r="I272" t="s">
        <v>49</v>
      </c>
      <c r="J272">
        <v>1510</v>
      </c>
      <c r="K272" t="s">
        <v>418</v>
      </c>
      <c r="L272" t="s">
        <v>69</v>
      </c>
      <c r="M272" t="s">
        <v>53</v>
      </c>
      <c r="N272">
        <v>8441</v>
      </c>
      <c r="O272" t="s">
        <v>53</v>
      </c>
      <c r="P272" t="s">
        <v>70</v>
      </c>
      <c r="Q272" t="s">
        <v>71</v>
      </c>
      <c r="R272" t="s">
        <v>56</v>
      </c>
      <c r="S272" t="s">
        <v>57</v>
      </c>
      <c r="T272" t="s">
        <v>58</v>
      </c>
      <c r="U272" t="s">
        <v>81</v>
      </c>
      <c r="V272">
        <v>0.75377000000000005</v>
      </c>
      <c r="W272" t="s">
        <v>53</v>
      </c>
      <c r="X272" t="s">
        <v>53</v>
      </c>
      <c r="Y272" t="s">
        <v>127</v>
      </c>
      <c r="Z272" t="str">
        <f t="shared" si="8"/>
        <v>Mayor que 70 - hasta 80</v>
      </c>
      <c r="AA272">
        <f t="shared" si="9"/>
        <v>1</v>
      </c>
      <c r="AB272">
        <v>15600</v>
      </c>
      <c r="AC272" t="s">
        <v>234</v>
      </c>
      <c r="AD272" t="s">
        <v>428</v>
      </c>
      <c r="AE272">
        <v>0.75718099999999999</v>
      </c>
      <c r="AF272" t="s">
        <v>63</v>
      </c>
      <c r="AG272">
        <v>29.263456000000001</v>
      </c>
      <c r="AH272" t="s">
        <v>234</v>
      </c>
      <c r="AI272" t="s">
        <v>407</v>
      </c>
      <c r="AJ272">
        <v>1.5813189999999999</v>
      </c>
      <c r="AK272" t="s">
        <v>76</v>
      </c>
      <c r="AL272">
        <v>51.998485000000002</v>
      </c>
      <c r="AM272" s="4" t="s">
        <v>65</v>
      </c>
      <c r="AN272" s="5">
        <v>16094.689394616547</v>
      </c>
      <c r="AO272" s="4" t="s">
        <v>65</v>
      </c>
      <c r="AP272" s="6">
        <v>5061</v>
      </c>
      <c r="AQ272">
        <v>4</v>
      </c>
      <c r="AR272">
        <v>11719.696545000001</v>
      </c>
      <c r="AS272" t="s">
        <v>66</v>
      </c>
      <c r="AT272" t="s">
        <v>53</v>
      </c>
    </row>
    <row r="273" spans="1:46">
      <c r="A273">
        <v>715</v>
      </c>
      <c r="B273" t="s">
        <v>46</v>
      </c>
      <c r="C273">
        <v>15</v>
      </c>
      <c r="D273">
        <v>621</v>
      </c>
      <c r="E273" t="s">
        <v>505</v>
      </c>
      <c r="F273" t="s">
        <v>408</v>
      </c>
      <c r="G273">
        <v>15621</v>
      </c>
      <c r="H273">
        <v>15621</v>
      </c>
      <c r="I273" t="s">
        <v>49</v>
      </c>
      <c r="J273">
        <v>1505</v>
      </c>
      <c r="K273" t="s">
        <v>427</v>
      </c>
      <c r="L273" t="s">
        <v>80</v>
      </c>
      <c r="M273" t="s">
        <v>53</v>
      </c>
      <c r="N273">
        <v>2513</v>
      </c>
      <c r="O273" t="s">
        <v>53</v>
      </c>
      <c r="P273" t="s">
        <v>70</v>
      </c>
      <c r="Q273" t="s">
        <v>71</v>
      </c>
      <c r="R273" t="s">
        <v>122</v>
      </c>
      <c r="S273" t="s">
        <v>57</v>
      </c>
      <c r="T273" t="s">
        <v>58</v>
      </c>
      <c r="U273" t="s">
        <v>81</v>
      </c>
      <c r="V273">
        <v>0.78061199999999997</v>
      </c>
      <c r="W273" t="s">
        <v>53</v>
      </c>
      <c r="X273" t="s">
        <v>53</v>
      </c>
      <c r="Y273" t="s">
        <v>82</v>
      </c>
      <c r="Z273" t="str">
        <f t="shared" si="8"/>
        <v>Mayor que 15 - hasta 20</v>
      </c>
      <c r="AA273">
        <f t="shared" si="9"/>
        <v>1</v>
      </c>
      <c r="AB273">
        <v>15621</v>
      </c>
      <c r="AC273" t="s">
        <v>234</v>
      </c>
      <c r="AD273" t="s">
        <v>407</v>
      </c>
      <c r="AE273">
        <v>2.027809</v>
      </c>
      <c r="AF273" t="s">
        <v>77</v>
      </c>
      <c r="AG273">
        <v>44.297265000000003</v>
      </c>
      <c r="AH273" t="s">
        <v>234</v>
      </c>
      <c r="AI273" t="s">
        <v>407</v>
      </c>
      <c r="AJ273">
        <v>2.034948</v>
      </c>
      <c r="AK273" t="s">
        <v>77</v>
      </c>
      <c r="AL273">
        <v>44.638686999999997</v>
      </c>
      <c r="AM273" s="4" t="s">
        <v>65</v>
      </c>
      <c r="AN273" s="5">
        <v>9654.9962199788115</v>
      </c>
      <c r="AO273" s="4" t="s">
        <v>65</v>
      </c>
      <c r="AP273" s="6">
        <v>3374</v>
      </c>
      <c r="AQ273">
        <v>4</v>
      </c>
      <c r="AR273">
        <v>11639.130526999999</v>
      </c>
      <c r="AS273" t="s">
        <v>66</v>
      </c>
      <c r="AT273" t="s">
        <v>53</v>
      </c>
    </row>
    <row r="274" spans="1:46">
      <c r="A274">
        <v>716</v>
      </c>
      <c r="B274" t="s">
        <v>46</v>
      </c>
      <c r="C274">
        <v>15</v>
      </c>
      <c r="D274">
        <v>632</v>
      </c>
      <c r="E274" t="s">
        <v>506</v>
      </c>
      <c r="F274" t="s">
        <v>408</v>
      </c>
      <c r="G274">
        <v>15632</v>
      </c>
      <c r="H274">
        <v>15632</v>
      </c>
      <c r="I274" t="s">
        <v>49</v>
      </c>
      <c r="J274">
        <v>1508</v>
      </c>
      <c r="K274" t="s">
        <v>79</v>
      </c>
      <c r="L274" t="s">
        <v>80</v>
      </c>
      <c r="M274" t="s">
        <v>53</v>
      </c>
      <c r="N274">
        <v>14471</v>
      </c>
      <c r="O274" t="s">
        <v>53</v>
      </c>
      <c r="P274" t="s">
        <v>70</v>
      </c>
      <c r="Q274" t="s">
        <v>71</v>
      </c>
      <c r="R274" t="s">
        <v>56</v>
      </c>
      <c r="S274" t="s">
        <v>57</v>
      </c>
      <c r="T274" t="s">
        <v>58</v>
      </c>
      <c r="U274" t="s">
        <v>81</v>
      </c>
      <c r="V274">
        <v>0.60579799999999995</v>
      </c>
      <c r="W274" t="s">
        <v>53</v>
      </c>
      <c r="X274" t="s">
        <v>53</v>
      </c>
      <c r="Y274" t="s">
        <v>127</v>
      </c>
      <c r="Z274" t="str">
        <f t="shared" si="8"/>
        <v>Mayor que 70 - hasta 80</v>
      </c>
      <c r="AA274">
        <f t="shared" si="9"/>
        <v>1</v>
      </c>
      <c r="AB274">
        <v>15632</v>
      </c>
      <c r="AC274" t="s">
        <v>234</v>
      </c>
      <c r="AD274" t="s">
        <v>428</v>
      </c>
      <c r="AE274">
        <v>0.32233899999999999</v>
      </c>
      <c r="AF274" t="s">
        <v>63</v>
      </c>
      <c r="AG274">
        <v>12.750966999999999</v>
      </c>
      <c r="AH274" t="s">
        <v>234</v>
      </c>
      <c r="AI274" t="s">
        <v>407</v>
      </c>
      <c r="AJ274">
        <v>2.140279</v>
      </c>
      <c r="AK274" t="s">
        <v>77</v>
      </c>
      <c r="AL274">
        <v>74.484986000000006</v>
      </c>
      <c r="AM274" s="4" t="s">
        <v>65</v>
      </c>
      <c r="AN274" s="5">
        <v>21126.349147979952</v>
      </c>
      <c r="AO274" s="4" t="s">
        <v>65</v>
      </c>
      <c r="AP274" s="6">
        <v>10623</v>
      </c>
      <c r="AQ274">
        <v>3</v>
      </c>
      <c r="AR274">
        <v>15120.043452</v>
      </c>
      <c r="AS274" t="s">
        <v>66</v>
      </c>
      <c r="AT274" t="s">
        <v>53</v>
      </c>
    </row>
    <row r="275" spans="1:46">
      <c r="A275">
        <v>717</v>
      </c>
      <c r="B275" t="s">
        <v>46</v>
      </c>
      <c r="C275">
        <v>15</v>
      </c>
      <c r="D275">
        <v>638</v>
      </c>
      <c r="E275" t="s">
        <v>507</v>
      </c>
      <c r="F275" t="s">
        <v>408</v>
      </c>
      <c r="G275">
        <v>15638</v>
      </c>
      <c r="H275">
        <v>15638</v>
      </c>
      <c r="I275" t="s">
        <v>49</v>
      </c>
      <c r="J275">
        <v>1510</v>
      </c>
      <c r="K275" t="s">
        <v>418</v>
      </c>
      <c r="L275" t="s">
        <v>91</v>
      </c>
      <c r="M275" t="s">
        <v>53</v>
      </c>
      <c r="N275">
        <v>5868</v>
      </c>
      <c r="O275" t="s">
        <v>53</v>
      </c>
      <c r="P275" t="s">
        <v>70</v>
      </c>
      <c r="Q275" t="s">
        <v>71</v>
      </c>
      <c r="R275" t="s">
        <v>56</v>
      </c>
      <c r="S275" t="s">
        <v>57</v>
      </c>
      <c r="T275" t="s">
        <v>58</v>
      </c>
      <c r="U275" t="s">
        <v>81</v>
      </c>
      <c r="V275">
        <v>0.57387100000000002</v>
      </c>
      <c r="W275" t="s">
        <v>53</v>
      </c>
      <c r="X275" t="s">
        <v>53</v>
      </c>
      <c r="Y275" t="s">
        <v>167</v>
      </c>
      <c r="Z275" t="str">
        <f t="shared" si="8"/>
        <v>Mayor que 50 - hasta 60</v>
      </c>
      <c r="AA275">
        <f t="shared" si="9"/>
        <v>1</v>
      </c>
      <c r="AB275">
        <v>15638</v>
      </c>
      <c r="AC275" t="s">
        <v>234</v>
      </c>
      <c r="AD275" t="s">
        <v>428</v>
      </c>
      <c r="AE275">
        <v>0.99779700000000005</v>
      </c>
      <c r="AF275" t="s">
        <v>63</v>
      </c>
      <c r="AG275">
        <v>43.697265000000002</v>
      </c>
      <c r="AH275" t="s">
        <v>234</v>
      </c>
      <c r="AI275" t="s">
        <v>407</v>
      </c>
      <c r="AJ275">
        <v>1.1205529999999999</v>
      </c>
      <c r="AK275" t="s">
        <v>76</v>
      </c>
      <c r="AL275">
        <v>29.049242</v>
      </c>
      <c r="AM275" s="4" t="s">
        <v>65</v>
      </c>
      <c r="AN275" s="5">
        <v>784.71570764052967</v>
      </c>
      <c r="AO275" s="4" t="s">
        <v>65</v>
      </c>
      <c r="AP275" s="6">
        <v>322</v>
      </c>
      <c r="AQ275">
        <v>1</v>
      </c>
      <c r="AR275">
        <v>629.939573</v>
      </c>
      <c r="AS275" t="s">
        <v>66</v>
      </c>
      <c r="AT275" t="s">
        <v>53</v>
      </c>
    </row>
    <row r="276" spans="1:46">
      <c r="A276">
        <v>718</v>
      </c>
      <c r="B276" t="s">
        <v>46</v>
      </c>
      <c r="C276">
        <v>15</v>
      </c>
      <c r="D276">
        <v>646</v>
      </c>
      <c r="E276" t="s">
        <v>508</v>
      </c>
      <c r="F276" t="s">
        <v>408</v>
      </c>
      <c r="G276">
        <v>15646</v>
      </c>
      <c r="H276">
        <v>15646</v>
      </c>
      <c r="I276" t="s">
        <v>49</v>
      </c>
      <c r="J276">
        <v>1501</v>
      </c>
      <c r="K276" t="s">
        <v>409</v>
      </c>
      <c r="L276" t="s">
        <v>91</v>
      </c>
      <c r="M276" t="s">
        <v>53</v>
      </c>
      <c r="N276">
        <v>19645</v>
      </c>
      <c r="O276" t="s">
        <v>53</v>
      </c>
      <c r="P276" t="s">
        <v>70</v>
      </c>
      <c r="Q276" t="s">
        <v>71</v>
      </c>
      <c r="R276" t="s">
        <v>72</v>
      </c>
      <c r="S276" t="s">
        <v>57</v>
      </c>
      <c r="T276" t="s">
        <v>58</v>
      </c>
      <c r="U276" t="s">
        <v>81</v>
      </c>
      <c r="V276">
        <v>0.39130999999999999</v>
      </c>
      <c r="W276" t="s">
        <v>53</v>
      </c>
      <c r="X276" t="s">
        <v>53</v>
      </c>
      <c r="Y276" t="s">
        <v>136</v>
      </c>
      <c r="Z276" t="str">
        <f t="shared" si="8"/>
        <v>Mayor que 100 - hasta 120</v>
      </c>
      <c r="AA276">
        <f t="shared" si="9"/>
        <v>1</v>
      </c>
      <c r="AB276">
        <v>15646</v>
      </c>
      <c r="AC276" t="s">
        <v>234</v>
      </c>
      <c r="AD276" t="s">
        <v>407</v>
      </c>
      <c r="AE276">
        <v>0.80142100000000005</v>
      </c>
      <c r="AF276" t="s">
        <v>63</v>
      </c>
      <c r="AG276">
        <v>22.320815</v>
      </c>
      <c r="AH276" t="s">
        <v>234</v>
      </c>
      <c r="AI276" t="s">
        <v>407</v>
      </c>
      <c r="AJ276">
        <v>0.78369</v>
      </c>
      <c r="AK276" t="s">
        <v>63</v>
      </c>
      <c r="AL276">
        <v>21.920815000000001</v>
      </c>
      <c r="AM276" s="4" t="s">
        <v>65</v>
      </c>
      <c r="AN276" s="5">
        <v>7872.7948682082042</v>
      </c>
      <c r="AO276" s="4" t="s">
        <v>65</v>
      </c>
      <c r="AP276" s="6">
        <v>5332</v>
      </c>
      <c r="AQ276">
        <v>3</v>
      </c>
      <c r="AR276">
        <v>2975.4589649999998</v>
      </c>
      <c r="AS276" t="s">
        <v>66</v>
      </c>
      <c r="AT276" t="s">
        <v>53</v>
      </c>
    </row>
    <row r="277" spans="1:46">
      <c r="A277">
        <v>719</v>
      </c>
      <c r="B277" t="s">
        <v>46</v>
      </c>
      <c r="C277">
        <v>15</v>
      </c>
      <c r="D277">
        <v>660</v>
      </c>
      <c r="E277" t="s">
        <v>509</v>
      </c>
      <c r="F277" t="s">
        <v>408</v>
      </c>
      <c r="G277">
        <v>15660</v>
      </c>
      <c r="H277">
        <v>15660</v>
      </c>
      <c r="I277" t="s">
        <v>49</v>
      </c>
      <c r="J277">
        <v>1504</v>
      </c>
      <c r="K277" t="s">
        <v>423</v>
      </c>
      <c r="L277" t="s">
        <v>69</v>
      </c>
      <c r="M277" t="s">
        <v>53</v>
      </c>
      <c r="N277">
        <v>1755</v>
      </c>
      <c r="O277" t="s">
        <v>53</v>
      </c>
      <c r="P277" t="s">
        <v>70</v>
      </c>
      <c r="Q277" t="s">
        <v>71</v>
      </c>
      <c r="R277" t="s">
        <v>122</v>
      </c>
      <c r="S277" t="s">
        <v>57</v>
      </c>
      <c r="T277" t="s">
        <v>58</v>
      </c>
      <c r="U277" t="s">
        <v>59</v>
      </c>
      <c r="V277">
        <v>0.54105700000000001</v>
      </c>
      <c r="W277" t="s">
        <v>53</v>
      </c>
      <c r="X277" t="s">
        <v>53</v>
      </c>
      <c r="Y277" t="s">
        <v>116</v>
      </c>
      <c r="Z277" t="str">
        <f t="shared" si="8"/>
        <v>Mayor que 30 - hasta 40</v>
      </c>
      <c r="AA277">
        <f t="shared" si="9"/>
        <v>1</v>
      </c>
      <c r="AB277">
        <v>15660</v>
      </c>
      <c r="AC277" t="s">
        <v>234</v>
      </c>
      <c r="AD277" t="s">
        <v>407</v>
      </c>
      <c r="AE277">
        <v>2.9586350000000001</v>
      </c>
      <c r="AF277" t="s">
        <v>77</v>
      </c>
      <c r="AG277">
        <v>72.529351000000005</v>
      </c>
      <c r="AH277" t="s">
        <v>234</v>
      </c>
      <c r="AI277" t="s">
        <v>407</v>
      </c>
      <c r="AJ277">
        <v>2.9657740000000001</v>
      </c>
      <c r="AK277" t="s">
        <v>77</v>
      </c>
      <c r="AL277">
        <v>72.870772000000002</v>
      </c>
      <c r="AM277" s="4" t="s">
        <v>65</v>
      </c>
      <c r="AN277" s="5">
        <v>6533.0197208452755</v>
      </c>
      <c r="AO277" s="4" t="s">
        <v>65</v>
      </c>
      <c r="AP277" s="6">
        <v>1464</v>
      </c>
      <c r="AQ277">
        <v>4</v>
      </c>
      <c r="AR277">
        <v>6316.4824639999997</v>
      </c>
      <c r="AS277" t="s">
        <v>66</v>
      </c>
      <c r="AT277" t="s">
        <v>53</v>
      </c>
    </row>
    <row r="278" spans="1:46">
      <c r="A278">
        <v>720</v>
      </c>
      <c r="B278" t="s">
        <v>46</v>
      </c>
      <c r="C278">
        <v>15</v>
      </c>
      <c r="D278">
        <v>664</v>
      </c>
      <c r="E278" t="s">
        <v>510</v>
      </c>
      <c r="F278" t="s">
        <v>408</v>
      </c>
      <c r="G278">
        <v>15664</v>
      </c>
      <c r="H278">
        <v>15664</v>
      </c>
      <c r="I278" t="s">
        <v>49</v>
      </c>
      <c r="J278">
        <v>1510</v>
      </c>
      <c r="K278" t="s">
        <v>418</v>
      </c>
      <c r="L278" t="s">
        <v>69</v>
      </c>
      <c r="M278" t="s">
        <v>53</v>
      </c>
      <c r="N278">
        <v>5274</v>
      </c>
      <c r="O278" t="s">
        <v>53</v>
      </c>
      <c r="P278" t="s">
        <v>70</v>
      </c>
      <c r="Q278" t="s">
        <v>71</v>
      </c>
      <c r="R278" t="s">
        <v>56</v>
      </c>
      <c r="S278" t="s">
        <v>57</v>
      </c>
      <c r="T278" t="s">
        <v>58</v>
      </c>
      <c r="U278" t="s">
        <v>81</v>
      </c>
      <c r="V278">
        <v>0.57806100000000005</v>
      </c>
      <c r="W278" t="s">
        <v>53</v>
      </c>
      <c r="X278" t="s">
        <v>53</v>
      </c>
      <c r="Y278" t="s">
        <v>187</v>
      </c>
      <c r="Z278" t="str">
        <f t="shared" si="8"/>
        <v>Mayor que 80 - hasta 100</v>
      </c>
      <c r="AA278">
        <f t="shared" si="9"/>
        <v>1</v>
      </c>
      <c r="AB278">
        <v>15664</v>
      </c>
      <c r="AC278" t="s">
        <v>282</v>
      </c>
      <c r="AD278" t="s">
        <v>88</v>
      </c>
      <c r="AE278">
        <v>0.37912299999999999</v>
      </c>
      <c r="AF278" t="s">
        <v>63</v>
      </c>
      <c r="AG278">
        <v>16.850967000000001</v>
      </c>
      <c r="AH278" t="s">
        <v>234</v>
      </c>
      <c r="AI278" t="s">
        <v>407</v>
      </c>
      <c r="AJ278">
        <v>2.9577149999999999</v>
      </c>
      <c r="AK278" t="s">
        <v>77</v>
      </c>
      <c r="AL278">
        <v>84.020518999999993</v>
      </c>
      <c r="AM278" s="4" t="s">
        <v>65</v>
      </c>
      <c r="AN278" s="5">
        <v>6087.160148153006</v>
      </c>
      <c r="AO278" s="4" t="s">
        <v>65</v>
      </c>
      <c r="AP278" s="6">
        <v>2487</v>
      </c>
      <c r="AQ278">
        <v>2</v>
      </c>
      <c r="AR278">
        <v>3863.4602719999998</v>
      </c>
      <c r="AS278" t="s">
        <v>66</v>
      </c>
      <c r="AT278" t="s">
        <v>53</v>
      </c>
    </row>
    <row r="279" spans="1:46">
      <c r="A279">
        <v>721</v>
      </c>
      <c r="B279" t="s">
        <v>46</v>
      </c>
      <c r="C279">
        <v>15</v>
      </c>
      <c r="D279">
        <v>667</v>
      </c>
      <c r="E279" t="s">
        <v>511</v>
      </c>
      <c r="F279" t="s">
        <v>408</v>
      </c>
      <c r="G279">
        <v>15667</v>
      </c>
      <c r="H279">
        <v>15667</v>
      </c>
      <c r="I279" t="s">
        <v>49</v>
      </c>
      <c r="J279">
        <v>1506</v>
      </c>
      <c r="K279" t="s">
        <v>435</v>
      </c>
      <c r="L279" t="s">
        <v>69</v>
      </c>
      <c r="M279" t="s">
        <v>53</v>
      </c>
      <c r="N279">
        <v>5810</v>
      </c>
      <c r="O279" t="s">
        <v>53</v>
      </c>
      <c r="P279" t="s">
        <v>70</v>
      </c>
      <c r="Q279" t="s">
        <v>71</v>
      </c>
      <c r="R279" t="s">
        <v>93</v>
      </c>
      <c r="S279" t="s">
        <v>57</v>
      </c>
      <c r="T279" t="s">
        <v>58</v>
      </c>
      <c r="U279" t="s">
        <v>81</v>
      </c>
      <c r="V279">
        <v>0.407167</v>
      </c>
      <c r="W279" t="s">
        <v>53</v>
      </c>
      <c r="X279" t="s">
        <v>53</v>
      </c>
      <c r="Y279" t="s">
        <v>102</v>
      </c>
      <c r="Z279" t="str">
        <f t="shared" si="8"/>
        <v>Mayor que 20 - hasta 30</v>
      </c>
      <c r="AA279">
        <f t="shared" si="9"/>
        <v>1</v>
      </c>
      <c r="AB279">
        <v>15667</v>
      </c>
      <c r="AC279" t="s">
        <v>432</v>
      </c>
      <c r="AD279" t="s">
        <v>405</v>
      </c>
      <c r="AE279">
        <v>1.195657</v>
      </c>
      <c r="AF279" t="s">
        <v>76</v>
      </c>
      <c r="AG279">
        <v>50.387214999999998</v>
      </c>
      <c r="AH279" t="s">
        <v>512</v>
      </c>
      <c r="AI279" t="s">
        <v>513</v>
      </c>
      <c r="AJ279">
        <v>3.459606</v>
      </c>
      <c r="AK279" t="s">
        <v>84</v>
      </c>
      <c r="AL279">
        <v>169.50672399999999</v>
      </c>
      <c r="AM279" s="4" t="s">
        <v>64</v>
      </c>
      <c r="AN279" s="5">
        <v>27857.127117451812</v>
      </c>
      <c r="AO279" s="4" t="s">
        <v>65</v>
      </c>
      <c r="AP279" s="6">
        <v>2054</v>
      </c>
      <c r="AQ279">
        <v>3</v>
      </c>
      <c r="AR279">
        <v>23813.507860999998</v>
      </c>
      <c r="AS279" t="s">
        <v>66</v>
      </c>
      <c r="AT279" t="s">
        <v>53</v>
      </c>
    </row>
    <row r="280" spans="1:46">
      <c r="A280">
        <v>722</v>
      </c>
      <c r="B280" t="s">
        <v>46</v>
      </c>
      <c r="C280">
        <v>15</v>
      </c>
      <c r="D280">
        <v>673</v>
      </c>
      <c r="E280" t="s">
        <v>514</v>
      </c>
      <c r="F280" t="s">
        <v>408</v>
      </c>
      <c r="G280">
        <v>15673</v>
      </c>
      <c r="H280">
        <v>15673</v>
      </c>
      <c r="I280" t="s">
        <v>49</v>
      </c>
      <c r="J280">
        <v>1507</v>
      </c>
      <c r="K280" t="s">
        <v>112</v>
      </c>
      <c r="L280" t="s">
        <v>69</v>
      </c>
      <c r="M280" t="s">
        <v>53</v>
      </c>
      <c r="N280">
        <v>3526</v>
      </c>
      <c r="O280" t="s">
        <v>53</v>
      </c>
      <c r="P280" t="s">
        <v>70</v>
      </c>
      <c r="Q280" t="s">
        <v>71</v>
      </c>
      <c r="R280" t="s">
        <v>249</v>
      </c>
      <c r="S280" t="s">
        <v>57</v>
      </c>
      <c r="T280" t="s">
        <v>58</v>
      </c>
      <c r="U280" t="s">
        <v>81</v>
      </c>
      <c r="V280">
        <v>0.79130800000000001</v>
      </c>
      <c r="W280" t="s">
        <v>53</v>
      </c>
      <c r="X280" t="s">
        <v>53</v>
      </c>
      <c r="Y280" t="s">
        <v>102</v>
      </c>
      <c r="Z280" t="str">
        <f t="shared" si="8"/>
        <v>Mayor que 20 - hasta 30</v>
      </c>
      <c r="AA280">
        <f t="shared" si="9"/>
        <v>1</v>
      </c>
      <c r="AB280">
        <v>15673</v>
      </c>
      <c r="AC280" t="s">
        <v>234</v>
      </c>
      <c r="AD280" t="s">
        <v>421</v>
      </c>
      <c r="AE280">
        <v>4.3453359999999996</v>
      </c>
      <c r="AF280" t="s">
        <v>85</v>
      </c>
      <c r="AG280">
        <v>116.456768</v>
      </c>
      <c r="AH280" t="s">
        <v>234</v>
      </c>
      <c r="AI280" t="s">
        <v>407</v>
      </c>
      <c r="AJ280">
        <v>5.5392970000000004</v>
      </c>
      <c r="AK280" t="s">
        <v>181</v>
      </c>
      <c r="AL280">
        <v>171.66652199999999</v>
      </c>
      <c r="AM280" s="4" t="s">
        <v>65</v>
      </c>
      <c r="AN280" s="5">
        <v>7551.3908581468813</v>
      </c>
      <c r="AO280" s="4" t="s">
        <v>65</v>
      </c>
      <c r="AP280" s="6">
        <v>3766</v>
      </c>
      <c r="AQ280">
        <v>4</v>
      </c>
      <c r="AR280">
        <v>4396.0739519999997</v>
      </c>
      <c r="AS280" t="s">
        <v>66</v>
      </c>
      <c r="AT280" t="s">
        <v>53</v>
      </c>
    </row>
    <row r="281" spans="1:46">
      <c r="A281">
        <v>723</v>
      </c>
      <c r="B281" t="s">
        <v>46</v>
      </c>
      <c r="C281">
        <v>15</v>
      </c>
      <c r="D281">
        <v>676</v>
      </c>
      <c r="E281" t="s">
        <v>515</v>
      </c>
      <c r="F281" t="s">
        <v>408</v>
      </c>
      <c r="G281">
        <v>15676</v>
      </c>
      <c r="H281">
        <v>15676</v>
      </c>
      <c r="I281" t="s">
        <v>49</v>
      </c>
      <c r="J281">
        <v>1508</v>
      </c>
      <c r="K281" t="s">
        <v>79</v>
      </c>
      <c r="L281" t="s">
        <v>69</v>
      </c>
      <c r="M281" t="s">
        <v>53</v>
      </c>
      <c r="N281">
        <v>3167</v>
      </c>
      <c r="O281" t="s">
        <v>53</v>
      </c>
      <c r="P281" t="s">
        <v>70</v>
      </c>
      <c r="Q281" t="s">
        <v>71</v>
      </c>
      <c r="R281" t="s">
        <v>105</v>
      </c>
      <c r="S281" t="s">
        <v>57</v>
      </c>
      <c r="T281" t="s">
        <v>58</v>
      </c>
      <c r="U281" t="s">
        <v>81</v>
      </c>
      <c r="V281">
        <v>0.63566400000000001</v>
      </c>
      <c r="W281" t="s">
        <v>53</v>
      </c>
      <c r="X281" t="s">
        <v>53</v>
      </c>
      <c r="Y281" t="s">
        <v>183</v>
      </c>
      <c r="Z281" t="str">
        <f t="shared" si="8"/>
        <v>Mayor que 120 - hasta 140</v>
      </c>
      <c r="AA281">
        <f t="shared" si="9"/>
        <v>1</v>
      </c>
      <c r="AB281">
        <v>15676</v>
      </c>
      <c r="AC281" t="s">
        <v>234</v>
      </c>
      <c r="AD281" t="s">
        <v>428</v>
      </c>
      <c r="AE281">
        <v>0.78507199999999999</v>
      </c>
      <c r="AF281" t="s">
        <v>63</v>
      </c>
      <c r="AG281">
        <v>24.635028999999999</v>
      </c>
      <c r="AH281" t="s">
        <v>234</v>
      </c>
      <c r="AI281" t="s">
        <v>407</v>
      </c>
      <c r="AJ281">
        <v>1.896163</v>
      </c>
      <c r="AK281" t="s">
        <v>76</v>
      </c>
      <c r="AL281">
        <v>60.182547</v>
      </c>
      <c r="AM281" s="4" t="s">
        <v>65</v>
      </c>
      <c r="AN281" s="5">
        <v>7573.6443548188681</v>
      </c>
      <c r="AO281" s="4" t="s">
        <v>65</v>
      </c>
      <c r="AP281" s="6">
        <v>3127</v>
      </c>
      <c r="AQ281">
        <v>4</v>
      </c>
      <c r="AR281">
        <v>4029.7095359999998</v>
      </c>
      <c r="AS281" t="s">
        <v>66</v>
      </c>
      <c r="AT281" t="s">
        <v>53</v>
      </c>
    </row>
    <row r="282" spans="1:46">
      <c r="A282">
        <v>724</v>
      </c>
      <c r="B282" t="s">
        <v>46</v>
      </c>
      <c r="C282">
        <v>15</v>
      </c>
      <c r="D282">
        <v>681</v>
      </c>
      <c r="E282" t="s">
        <v>516</v>
      </c>
      <c r="F282" t="s">
        <v>408</v>
      </c>
      <c r="G282">
        <v>15681</v>
      </c>
      <c r="H282">
        <v>15681</v>
      </c>
      <c r="I282" t="s">
        <v>49</v>
      </c>
      <c r="J282">
        <v>1508</v>
      </c>
      <c r="K282" t="s">
        <v>79</v>
      </c>
      <c r="L282" t="s">
        <v>69</v>
      </c>
      <c r="M282" t="s">
        <v>53</v>
      </c>
      <c r="N282">
        <v>7027</v>
      </c>
      <c r="O282" t="s">
        <v>53</v>
      </c>
      <c r="P282" t="s">
        <v>70</v>
      </c>
      <c r="Q282" t="s">
        <v>71</v>
      </c>
      <c r="R282" t="s">
        <v>93</v>
      </c>
      <c r="S282" t="s">
        <v>57</v>
      </c>
      <c r="T282" t="s">
        <v>58</v>
      </c>
      <c r="U282" t="s">
        <v>81</v>
      </c>
      <c r="V282">
        <v>0.72017500000000001</v>
      </c>
      <c r="W282" t="s">
        <v>53</v>
      </c>
      <c r="X282" t="s">
        <v>53</v>
      </c>
      <c r="Y282" t="s">
        <v>87</v>
      </c>
      <c r="Z282" t="str">
        <f t="shared" si="8"/>
        <v>Mayor que 40 - hasta 50</v>
      </c>
      <c r="AA282">
        <f t="shared" si="9"/>
        <v>1</v>
      </c>
      <c r="AB282">
        <v>15681</v>
      </c>
      <c r="AC282" t="s">
        <v>234</v>
      </c>
      <c r="AD282" t="s">
        <v>428</v>
      </c>
      <c r="AE282">
        <v>1.760524</v>
      </c>
      <c r="AF282" t="s">
        <v>76</v>
      </c>
      <c r="AG282">
        <v>46.115642000000001</v>
      </c>
      <c r="AH282" t="s">
        <v>234</v>
      </c>
      <c r="AI282" t="s">
        <v>407</v>
      </c>
      <c r="AJ282">
        <v>3.768173</v>
      </c>
      <c r="AK282" t="s">
        <v>84</v>
      </c>
      <c r="AL282">
        <v>118.037886</v>
      </c>
      <c r="AM282" s="4" t="s">
        <v>64</v>
      </c>
      <c r="AN282" s="5">
        <v>6864.81473133497</v>
      </c>
      <c r="AO282" s="4" t="s">
        <v>65</v>
      </c>
      <c r="AP282" s="6">
        <v>1251</v>
      </c>
      <c r="AQ282">
        <v>4</v>
      </c>
      <c r="AR282">
        <v>13231.442252000001</v>
      </c>
      <c r="AS282" t="s">
        <v>66</v>
      </c>
      <c r="AT282" t="s">
        <v>53</v>
      </c>
    </row>
    <row r="283" spans="1:46">
      <c r="A283">
        <v>725</v>
      </c>
      <c r="B283" t="s">
        <v>46</v>
      </c>
      <c r="C283">
        <v>15</v>
      </c>
      <c r="D283">
        <v>686</v>
      </c>
      <c r="E283" t="s">
        <v>517</v>
      </c>
      <c r="F283" t="s">
        <v>408</v>
      </c>
      <c r="G283">
        <v>15686</v>
      </c>
      <c r="H283">
        <v>15686</v>
      </c>
      <c r="I283" t="s">
        <v>49</v>
      </c>
      <c r="J283">
        <v>1510</v>
      </c>
      <c r="K283" t="s">
        <v>418</v>
      </c>
      <c r="L283" t="s">
        <v>91</v>
      </c>
      <c r="M283" t="s">
        <v>53</v>
      </c>
      <c r="N283">
        <v>8088</v>
      </c>
      <c r="O283" t="s">
        <v>53</v>
      </c>
      <c r="P283" t="s">
        <v>70</v>
      </c>
      <c r="Q283" t="s">
        <v>71</v>
      </c>
      <c r="R283" t="s">
        <v>56</v>
      </c>
      <c r="S283" t="s">
        <v>57</v>
      </c>
      <c r="T283" t="s">
        <v>58</v>
      </c>
      <c r="U283" t="s">
        <v>81</v>
      </c>
      <c r="V283">
        <v>0.50493399999999999</v>
      </c>
      <c r="W283" t="s">
        <v>53</v>
      </c>
      <c r="X283" t="s">
        <v>53</v>
      </c>
      <c r="Y283" t="s">
        <v>127</v>
      </c>
      <c r="Z283" t="str">
        <f t="shared" si="8"/>
        <v>Mayor que 70 - hasta 80</v>
      </c>
      <c r="AA283">
        <f t="shared" si="9"/>
        <v>1</v>
      </c>
      <c r="AB283">
        <v>15686</v>
      </c>
      <c r="AC283" t="s">
        <v>282</v>
      </c>
      <c r="AD283" t="s">
        <v>88</v>
      </c>
      <c r="AE283">
        <v>0.59597199999999995</v>
      </c>
      <c r="AF283" t="s">
        <v>63</v>
      </c>
      <c r="AG283">
        <v>25.790664</v>
      </c>
      <c r="AH283" t="s">
        <v>234</v>
      </c>
      <c r="AI283" t="s">
        <v>407</v>
      </c>
      <c r="AJ283">
        <v>3.1745640000000002</v>
      </c>
      <c r="AK283" t="s">
        <v>84</v>
      </c>
      <c r="AL283">
        <v>92.960216000000003</v>
      </c>
      <c r="AM283" s="4" t="s">
        <v>65</v>
      </c>
      <c r="AN283" s="5">
        <v>4849.0832943940013</v>
      </c>
      <c r="AO283" s="4" t="s">
        <v>65</v>
      </c>
      <c r="AP283" s="6">
        <v>2105</v>
      </c>
      <c r="AQ283">
        <v>4</v>
      </c>
      <c r="AR283">
        <v>2856.7650960000001</v>
      </c>
      <c r="AS283" t="s">
        <v>66</v>
      </c>
      <c r="AT283" t="s">
        <v>53</v>
      </c>
    </row>
    <row r="284" spans="1:46">
      <c r="A284">
        <v>726</v>
      </c>
      <c r="B284" t="s">
        <v>46</v>
      </c>
      <c r="C284">
        <v>15</v>
      </c>
      <c r="D284">
        <v>690</v>
      </c>
      <c r="E284" t="s">
        <v>518</v>
      </c>
      <c r="F284" t="s">
        <v>408</v>
      </c>
      <c r="G284">
        <v>15690</v>
      </c>
      <c r="H284">
        <v>15690</v>
      </c>
      <c r="I284" t="s">
        <v>49</v>
      </c>
      <c r="J284">
        <v>1506</v>
      </c>
      <c r="K284" t="s">
        <v>435</v>
      </c>
      <c r="L284" t="s">
        <v>80</v>
      </c>
      <c r="M284" t="s">
        <v>53</v>
      </c>
      <c r="N284">
        <v>3687</v>
      </c>
      <c r="O284" t="s">
        <v>53</v>
      </c>
      <c r="P284" t="s">
        <v>70</v>
      </c>
      <c r="Q284" t="s">
        <v>71</v>
      </c>
      <c r="R284" t="s">
        <v>122</v>
      </c>
      <c r="S284" t="s">
        <v>57</v>
      </c>
      <c r="T284" t="s">
        <v>58</v>
      </c>
      <c r="U284" t="s">
        <v>81</v>
      </c>
      <c r="V284">
        <v>0.55430900000000005</v>
      </c>
      <c r="W284" t="s">
        <v>53</v>
      </c>
      <c r="X284" t="s">
        <v>53</v>
      </c>
      <c r="Y284" t="s">
        <v>82</v>
      </c>
      <c r="Z284" t="str">
        <f t="shared" si="8"/>
        <v>Mayor que 15 - hasta 20</v>
      </c>
      <c r="AA284">
        <f t="shared" si="9"/>
        <v>1</v>
      </c>
      <c r="AB284">
        <v>15690</v>
      </c>
      <c r="AC284" t="s">
        <v>432</v>
      </c>
      <c r="AD284" t="s">
        <v>405</v>
      </c>
      <c r="AE284">
        <v>1.73566</v>
      </c>
      <c r="AF284" t="s">
        <v>76</v>
      </c>
      <c r="AG284">
        <v>67.852395000000001</v>
      </c>
      <c r="AH284" t="s">
        <v>512</v>
      </c>
      <c r="AI284" t="s">
        <v>513</v>
      </c>
      <c r="AJ284">
        <v>3.999609</v>
      </c>
      <c r="AK284" t="s">
        <v>84</v>
      </c>
      <c r="AL284">
        <v>186.97190499999999</v>
      </c>
      <c r="AM284" s="4" t="s">
        <v>64</v>
      </c>
      <c r="AN284" s="5">
        <v>17972.605005074773</v>
      </c>
      <c r="AO284" s="4" t="s">
        <v>65</v>
      </c>
      <c r="AP284" s="6">
        <v>1441</v>
      </c>
      <c r="AQ284">
        <v>4</v>
      </c>
      <c r="AR284">
        <v>16648.091144999999</v>
      </c>
      <c r="AS284" t="s">
        <v>66</v>
      </c>
      <c r="AT284" t="s">
        <v>53</v>
      </c>
    </row>
    <row r="285" spans="1:46">
      <c r="A285">
        <v>727</v>
      </c>
      <c r="B285" t="s">
        <v>46</v>
      </c>
      <c r="C285">
        <v>15</v>
      </c>
      <c r="D285">
        <v>693</v>
      </c>
      <c r="E285" t="s">
        <v>519</v>
      </c>
      <c r="F285" t="s">
        <v>408</v>
      </c>
      <c r="G285">
        <v>15693</v>
      </c>
      <c r="H285">
        <v>15693</v>
      </c>
      <c r="I285" t="s">
        <v>49</v>
      </c>
      <c r="J285">
        <v>1512</v>
      </c>
      <c r="K285" t="s">
        <v>420</v>
      </c>
      <c r="L285" t="s">
        <v>91</v>
      </c>
      <c r="M285" t="s">
        <v>53</v>
      </c>
      <c r="N285">
        <v>13989</v>
      </c>
      <c r="O285" t="s">
        <v>53</v>
      </c>
      <c r="P285" t="s">
        <v>70</v>
      </c>
      <c r="Q285" t="s">
        <v>71</v>
      </c>
      <c r="R285" t="s">
        <v>72</v>
      </c>
      <c r="S285" t="s">
        <v>57</v>
      </c>
      <c r="T285" t="s">
        <v>58</v>
      </c>
      <c r="U285" t="s">
        <v>81</v>
      </c>
      <c r="V285">
        <v>0.532196</v>
      </c>
      <c r="W285" t="s">
        <v>53</v>
      </c>
      <c r="X285" t="s">
        <v>53</v>
      </c>
      <c r="Y285" t="s">
        <v>136</v>
      </c>
      <c r="Z285" t="str">
        <f t="shared" si="8"/>
        <v>Mayor que 100 - hasta 120</v>
      </c>
      <c r="AA285">
        <f t="shared" si="9"/>
        <v>1</v>
      </c>
      <c r="AB285">
        <v>15693</v>
      </c>
      <c r="AC285" t="s">
        <v>234</v>
      </c>
      <c r="AD285" t="s">
        <v>421</v>
      </c>
      <c r="AE285">
        <v>0.29132000000000002</v>
      </c>
      <c r="AF285" t="s">
        <v>63</v>
      </c>
      <c r="AG285">
        <v>9.4083260000000006</v>
      </c>
      <c r="AH285" t="s">
        <v>234</v>
      </c>
      <c r="AI285" t="s">
        <v>407</v>
      </c>
      <c r="AJ285">
        <v>1.4852810000000001</v>
      </c>
      <c r="AK285" t="s">
        <v>76</v>
      </c>
      <c r="AL285">
        <v>64.618081000000004</v>
      </c>
      <c r="AM285" s="4" t="s">
        <v>65</v>
      </c>
      <c r="AN285" s="5">
        <v>6016.6957102363021</v>
      </c>
      <c r="AO285" s="4" t="s">
        <v>65</v>
      </c>
      <c r="AP285" s="6">
        <v>4218</v>
      </c>
      <c r="AQ285">
        <v>3</v>
      </c>
      <c r="AR285">
        <v>2374.1209570000001</v>
      </c>
      <c r="AS285" t="s">
        <v>66</v>
      </c>
      <c r="AT285" t="s">
        <v>53</v>
      </c>
    </row>
    <row r="286" spans="1:46">
      <c r="A286">
        <v>728</v>
      </c>
      <c r="B286" t="s">
        <v>46</v>
      </c>
      <c r="C286">
        <v>15</v>
      </c>
      <c r="D286">
        <v>696</v>
      </c>
      <c r="E286" t="s">
        <v>520</v>
      </c>
      <c r="F286" t="s">
        <v>408</v>
      </c>
      <c r="G286">
        <v>15696</v>
      </c>
      <c r="H286">
        <v>15696</v>
      </c>
      <c r="I286" t="s">
        <v>49</v>
      </c>
      <c r="J286">
        <v>1510</v>
      </c>
      <c r="K286" t="s">
        <v>418</v>
      </c>
      <c r="L286" t="s">
        <v>80</v>
      </c>
      <c r="M286" t="s">
        <v>53</v>
      </c>
      <c r="N286">
        <v>3374</v>
      </c>
      <c r="O286" t="s">
        <v>53</v>
      </c>
      <c r="P286" t="s">
        <v>70</v>
      </c>
      <c r="Q286" t="s">
        <v>71</v>
      </c>
      <c r="R286" t="s">
        <v>56</v>
      </c>
      <c r="S286" t="s">
        <v>57</v>
      </c>
      <c r="T286" t="s">
        <v>58</v>
      </c>
      <c r="U286" t="s">
        <v>81</v>
      </c>
      <c r="V286">
        <v>0.57067400000000001</v>
      </c>
      <c r="W286" t="s">
        <v>53</v>
      </c>
      <c r="X286" t="s">
        <v>53</v>
      </c>
      <c r="Y286" t="s">
        <v>127</v>
      </c>
      <c r="Z286" t="str">
        <f t="shared" si="8"/>
        <v>Mayor que 70 - hasta 80</v>
      </c>
      <c r="AA286">
        <f t="shared" si="9"/>
        <v>1</v>
      </c>
      <c r="AB286">
        <v>15696</v>
      </c>
      <c r="AC286" t="s">
        <v>282</v>
      </c>
      <c r="AD286" t="s">
        <v>88</v>
      </c>
      <c r="AE286">
        <v>1.2478480000000001</v>
      </c>
      <c r="AF286" t="s">
        <v>76</v>
      </c>
      <c r="AG286">
        <v>31.270562999999999</v>
      </c>
      <c r="AH286" t="s">
        <v>234</v>
      </c>
      <c r="AI286" t="s">
        <v>407</v>
      </c>
      <c r="AJ286">
        <v>1.659254</v>
      </c>
      <c r="AK286" t="s">
        <v>76</v>
      </c>
      <c r="AL286">
        <v>47.945793999999999</v>
      </c>
      <c r="AM286" s="4" t="s">
        <v>65</v>
      </c>
      <c r="AN286" s="5">
        <v>6170.3454042389149</v>
      </c>
      <c r="AO286" s="4" t="s">
        <v>65</v>
      </c>
      <c r="AP286" s="6">
        <v>2755</v>
      </c>
      <c r="AQ286">
        <v>2</v>
      </c>
      <c r="AR286">
        <v>2702.2059939999999</v>
      </c>
      <c r="AS286" t="s">
        <v>66</v>
      </c>
      <c r="AT286" t="s">
        <v>53</v>
      </c>
    </row>
    <row r="287" spans="1:46">
      <c r="A287">
        <v>729</v>
      </c>
      <c r="B287" t="s">
        <v>46</v>
      </c>
      <c r="C287">
        <v>15</v>
      </c>
      <c r="D287">
        <v>720</v>
      </c>
      <c r="E287" t="s">
        <v>521</v>
      </c>
      <c r="F287" t="s">
        <v>408</v>
      </c>
      <c r="G287">
        <v>15720</v>
      </c>
      <c r="H287">
        <v>15720</v>
      </c>
      <c r="I287" t="s">
        <v>49</v>
      </c>
      <c r="J287">
        <v>1507</v>
      </c>
      <c r="K287" t="s">
        <v>112</v>
      </c>
      <c r="L287" t="s">
        <v>80</v>
      </c>
      <c r="M287" t="s">
        <v>53</v>
      </c>
      <c r="N287">
        <v>2293</v>
      </c>
      <c r="O287" t="s">
        <v>53</v>
      </c>
      <c r="P287" t="s">
        <v>70</v>
      </c>
      <c r="Q287" t="s">
        <v>71</v>
      </c>
      <c r="R287" t="s">
        <v>72</v>
      </c>
      <c r="S287" t="s">
        <v>57</v>
      </c>
      <c r="T287" t="s">
        <v>58</v>
      </c>
      <c r="U287" t="s">
        <v>81</v>
      </c>
      <c r="V287">
        <v>0.78340100000000001</v>
      </c>
      <c r="W287" t="s">
        <v>53</v>
      </c>
      <c r="X287" t="s">
        <v>53</v>
      </c>
      <c r="Y287" t="s">
        <v>102</v>
      </c>
      <c r="Z287" t="str">
        <f t="shared" si="8"/>
        <v>Mayor que 20 - hasta 30</v>
      </c>
      <c r="AA287">
        <f t="shared" si="9"/>
        <v>1</v>
      </c>
      <c r="AB287">
        <v>15720</v>
      </c>
      <c r="AC287" t="s">
        <v>234</v>
      </c>
      <c r="AD287" t="s">
        <v>421</v>
      </c>
      <c r="AE287">
        <v>2.053963</v>
      </c>
      <c r="AF287" t="s">
        <v>77</v>
      </c>
      <c r="AG287">
        <v>67.486710000000002</v>
      </c>
      <c r="AH287" t="s">
        <v>234</v>
      </c>
      <c r="AI287" t="s">
        <v>407</v>
      </c>
      <c r="AJ287">
        <v>3.2479230000000001</v>
      </c>
      <c r="AK287" t="s">
        <v>84</v>
      </c>
      <c r="AL287">
        <v>122.696465</v>
      </c>
      <c r="AM287" s="4" t="s">
        <v>65</v>
      </c>
      <c r="AN287" s="5">
        <v>4249.1869316944758</v>
      </c>
      <c r="AO287" s="4" t="s">
        <v>65</v>
      </c>
      <c r="AP287" s="6">
        <v>2822</v>
      </c>
      <c r="AQ287">
        <v>4</v>
      </c>
      <c r="AR287">
        <v>2620.3254339999999</v>
      </c>
      <c r="AS287" t="s">
        <v>66</v>
      </c>
      <c r="AT287" t="s">
        <v>53</v>
      </c>
    </row>
    <row r="288" spans="1:46">
      <c r="A288">
        <v>730</v>
      </c>
      <c r="B288" t="s">
        <v>46</v>
      </c>
      <c r="C288">
        <v>15</v>
      </c>
      <c r="D288">
        <v>723</v>
      </c>
      <c r="E288" t="s">
        <v>522</v>
      </c>
      <c r="F288" t="s">
        <v>408</v>
      </c>
      <c r="G288">
        <v>15723</v>
      </c>
      <c r="H288">
        <v>15723</v>
      </c>
      <c r="I288" t="s">
        <v>49</v>
      </c>
      <c r="J288">
        <v>1507</v>
      </c>
      <c r="K288" t="s">
        <v>112</v>
      </c>
      <c r="L288" t="s">
        <v>80</v>
      </c>
      <c r="M288" t="s">
        <v>53</v>
      </c>
      <c r="N288">
        <v>1150</v>
      </c>
      <c r="O288" t="s">
        <v>53</v>
      </c>
      <c r="P288" t="s">
        <v>70</v>
      </c>
      <c r="Q288" t="s">
        <v>71</v>
      </c>
      <c r="R288" t="s">
        <v>72</v>
      </c>
      <c r="S288" t="s">
        <v>57</v>
      </c>
      <c r="T288" t="s">
        <v>58</v>
      </c>
      <c r="U288" t="s">
        <v>81</v>
      </c>
      <c r="V288">
        <v>0.77043099999999998</v>
      </c>
      <c r="W288" t="s">
        <v>53</v>
      </c>
      <c r="X288" t="s">
        <v>53</v>
      </c>
      <c r="Y288" t="s">
        <v>116</v>
      </c>
      <c r="Z288" t="str">
        <f t="shared" si="8"/>
        <v>Mayor que 30 - hasta 40</v>
      </c>
      <c r="AA288">
        <f t="shared" si="9"/>
        <v>1</v>
      </c>
      <c r="AB288">
        <v>15723</v>
      </c>
      <c r="AC288" t="s">
        <v>234</v>
      </c>
      <c r="AD288" t="s">
        <v>421</v>
      </c>
      <c r="AE288">
        <v>2.3456999999999999</v>
      </c>
      <c r="AF288" t="s">
        <v>77</v>
      </c>
      <c r="AG288">
        <v>72.773715999999993</v>
      </c>
      <c r="AH288" t="s">
        <v>234</v>
      </c>
      <c r="AI288" t="s">
        <v>407</v>
      </c>
      <c r="AJ288">
        <v>3.5396610000000002</v>
      </c>
      <c r="AK288" t="s">
        <v>84</v>
      </c>
      <c r="AL288">
        <v>127.98347</v>
      </c>
      <c r="AM288" s="4" t="s">
        <v>65</v>
      </c>
      <c r="AN288" s="5">
        <v>1901.867308827035</v>
      </c>
      <c r="AO288" s="4" t="s">
        <v>65</v>
      </c>
      <c r="AP288" s="6">
        <v>1074</v>
      </c>
      <c r="AQ288">
        <v>4</v>
      </c>
      <c r="AR288">
        <v>1015.218182</v>
      </c>
      <c r="AS288" t="s">
        <v>66</v>
      </c>
      <c r="AT288" t="s">
        <v>53</v>
      </c>
    </row>
    <row r="289" spans="1:46">
      <c r="A289">
        <v>731</v>
      </c>
      <c r="B289" t="s">
        <v>46</v>
      </c>
      <c r="C289">
        <v>15</v>
      </c>
      <c r="D289">
        <v>740</v>
      </c>
      <c r="E289" t="s">
        <v>523</v>
      </c>
      <c r="F289" t="s">
        <v>408</v>
      </c>
      <c r="G289">
        <v>15740</v>
      </c>
      <c r="H289">
        <v>15740</v>
      </c>
      <c r="I289" t="s">
        <v>49</v>
      </c>
      <c r="J289">
        <v>1501</v>
      </c>
      <c r="K289" t="s">
        <v>409</v>
      </c>
      <c r="L289" t="s">
        <v>69</v>
      </c>
      <c r="M289" t="s">
        <v>53</v>
      </c>
      <c r="N289">
        <v>7124</v>
      </c>
      <c r="O289" t="s">
        <v>53</v>
      </c>
      <c r="P289" t="s">
        <v>70</v>
      </c>
      <c r="Q289" t="s">
        <v>71</v>
      </c>
      <c r="R289" t="s">
        <v>72</v>
      </c>
      <c r="S289" t="s">
        <v>57</v>
      </c>
      <c r="T289" t="s">
        <v>58</v>
      </c>
      <c r="U289" t="s">
        <v>81</v>
      </c>
      <c r="V289">
        <v>0.39273799999999998</v>
      </c>
      <c r="W289" t="s">
        <v>53</v>
      </c>
      <c r="X289" t="s">
        <v>53</v>
      </c>
      <c r="Y289" t="s">
        <v>187</v>
      </c>
      <c r="Z289" t="str">
        <f t="shared" si="8"/>
        <v>Mayor que 80 - hasta 100</v>
      </c>
      <c r="AA289">
        <f t="shared" si="9"/>
        <v>1</v>
      </c>
      <c r="AB289">
        <v>15740</v>
      </c>
      <c r="AC289" t="s">
        <v>234</v>
      </c>
      <c r="AD289" t="s">
        <v>407</v>
      </c>
      <c r="AE289">
        <v>0.69211599999999995</v>
      </c>
      <c r="AF289" t="s">
        <v>63</v>
      </c>
      <c r="AG289">
        <v>17.792387999999999</v>
      </c>
      <c r="AH289" t="s">
        <v>234</v>
      </c>
      <c r="AI289" t="s">
        <v>407</v>
      </c>
      <c r="AJ289">
        <v>0.67470699999999995</v>
      </c>
      <c r="AK289" t="s">
        <v>63</v>
      </c>
      <c r="AL289">
        <v>17.309545</v>
      </c>
      <c r="AM289" s="4" t="s">
        <v>65</v>
      </c>
      <c r="AN289" s="5">
        <v>6812.8241456454343</v>
      </c>
      <c r="AO289" s="4" t="s">
        <v>65</v>
      </c>
      <c r="AP289" s="6">
        <v>5789</v>
      </c>
      <c r="AQ289">
        <v>3</v>
      </c>
      <c r="AR289">
        <v>6775.2700150000001</v>
      </c>
      <c r="AS289" t="s">
        <v>66</v>
      </c>
      <c r="AT289" t="s">
        <v>53</v>
      </c>
    </row>
    <row r="290" spans="1:46">
      <c r="A290">
        <v>732</v>
      </c>
      <c r="B290" t="s">
        <v>46</v>
      </c>
      <c r="C290">
        <v>15</v>
      </c>
      <c r="D290">
        <v>753</v>
      </c>
      <c r="E290" t="s">
        <v>524</v>
      </c>
      <c r="F290" t="s">
        <v>408</v>
      </c>
      <c r="G290">
        <v>15753</v>
      </c>
      <c r="H290">
        <v>15753</v>
      </c>
      <c r="I290" t="s">
        <v>49</v>
      </c>
      <c r="J290">
        <v>1507</v>
      </c>
      <c r="K290" t="s">
        <v>112</v>
      </c>
      <c r="L290" t="s">
        <v>91</v>
      </c>
      <c r="M290" t="s">
        <v>53</v>
      </c>
      <c r="N290">
        <v>9423</v>
      </c>
      <c r="O290" t="s">
        <v>53</v>
      </c>
      <c r="P290" t="s">
        <v>70</v>
      </c>
      <c r="Q290" t="s">
        <v>71</v>
      </c>
      <c r="R290" t="s">
        <v>122</v>
      </c>
      <c r="S290" t="s">
        <v>57</v>
      </c>
      <c r="T290" t="s">
        <v>58</v>
      </c>
      <c r="U290" t="s">
        <v>81</v>
      </c>
      <c r="V290">
        <v>0.59231</v>
      </c>
      <c r="W290" t="s">
        <v>53</v>
      </c>
      <c r="X290" t="s">
        <v>53</v>
      </c>
      <c r="Y290" t="s">
        <v>87</v>
      </c>
      <c r="Z290" t="str">
        <f t="shared" si="8"/>
        <v>Mayor que 40 - hasta 50</v>
      </c>
      <c r="AA290">
        <f t="shared" si="9"/>
        <v>1</v>
      </c>
      <c r="AB290">
        <v>15753</v>
      </c>
      <c r="AC290" t="s">
        <v>234</v>
      </c>
      <c r="AD290" t="s">
        <v>421</v>
      </c>
      <c r="AE290">
        <v>2.8905949999999998</v>
      </c>
      <c r="AF290" t="s">
        <v>77</v>
      </c>
      <c r="AG290">
        <v>91.118795000000006</v>
      </c>
      <c r="AH290" t="s">
        <v>234</v>
      </c>
      <c r="AI290" t="s">
        <v>407</v>
      </c>
      <c r="AJ290">
        <v>4.0845560000000001</v>
      </c>
      <c r="AK290" t="s">
        <v>85</v>
      </c>
      <c r="AL290">
        <v>146.32855000000001</v>
      </c>
      <c r="AM290" s="4" t="s">
        <v>65</v>
      </c>
      <c r="AN290" s="5">
        <v>5168.4833622602264</v>
      </c>
      <c r="AO290" s="4" t="s">
        <v>65</v>
      </c>
      <c r="AP290" s="6">
        <v>2972</v>
      </c>
      <c r="AQ290">
        <v>3</v>
      </c>
      <c r="AR290">
        <v>3951.0133770000002</v>
      </c>
      <c r="AS290" t="s">
        <v>66</v>
      </c>
      <c r="AT290" t="s">
        <v>53</v>
      </c>
    </row>
    <row r="291" spans="1:46">
      <c r="A291">
        <v>665</v>
      </c>
      <c r="B291" t="s">
        <v>46</v>
      </c>
      <c r="C291">
        <v>15</v>
      </c>
      <c r="D291">
        <v>755</v>
      </c>
      <c r="E291" t="s">
        <v>525</v>
      </c>
      <c r="F291" t="s">
        <v>408</v>
      </c>
      <c r="G291">
        <v>15755</v>
      </c>
      <c r="H291">
        <v>15755</v>
      </c>
      <c r="I291" t="s">
        <v>49</v>
      </c>
      <c r="J291">
        <v>1513</v>
      </c>
      <c r="K291" t="s">
        <v>425</v>
      </c>
      <c r="L291" t="s">
        <v>80</v>
      </c>
      <c r="M291" t="s">
        <v>53</v>
      </c>
      <c r="N291">
        <v>7627</v>
      </c>
      <c r="O291" t="s">
        <v>53</v>
      </c>
      <c r="P291" t="s">
        <v>70</v>
      </c>
      <c r="Q291" t="s">
        <v>71</v>
      </c>
      <c r="R291" t="s">
        <v>122</v>
      </c>
      <c r="S291" t="s">
        <v>57</v>
      </c>
      <c r="T291" t="s">
        <v>58</v>
      </c>
      <c r="U291" t="s">
        <v>59</v>
      </c>
      <c r="V291">
        <v>0.89841499999999996</v>
      </c>
      <c r="W291" t="s">
        <v>53</v>
      </c>
      <c r="X291" t="s">
        <v>53</v>
      </c>
      <c r="Y291" t="s">
        <v>102</v>
      </c>
      <c r="Z291" t="str">
        <f t="shared" si="8"/>
        <v>Mayor que 20 - hasta 30</v>
      </c>
      <c r="AA291">
        <f t="shared" si="9"/>
        <v>1</v>
      </c>
      <c r="AB291">
        <v>15755</v>
      </c>
      <c r="AC291" t="s">
        <v>234</v>
      </c>
      <c r="AD291" t="s">
        <v>416</v>
      </c>
      <c r="AE291">
        <v>3.1710889999999998</v>
      </c>
      <c r="AF291" t="s">
        <v>84</v>
      </c>
      <c r="AG291">
        <v>65.735237999999995</v>
      </c>
      <c r="AH291" t="s">
        <v>234</v>
      </c>
      <c r="AI291" t="s">
        <v>407</v>
      </c>
      <c r="AJ291">
        <v>4.5785289999999996</v>
      </c>
      <c r="AK291" t="s">
        <v>85</v>
      </c>
      <c r="AL291">
        <v>126.617785</v>
      </c>
      <c r="AM291" s="4" t="s">
        <v>65</v>
      </c>
      <c r="AN291" s="5">
        <v>7473.5313714684453</v>
      </c>
      <c r="AO291" s="4" t="s">
        <v>65</v>
      </c>
      <c r="AP291" s="6">
        <v>5185</v>
      </c>
      <c r="AQ291">
        <v>4</v>
      </c>
      <c r="AR291">
        <v>9872.4128249999994</v>
      </c>
      <c r="AS291" t="s">
        <v>66</v>
      </c>
      <c r="AT291" t="s">
        <v>53</v>
      </c>
    </row>
    <row r="292" spans="1:46">
      <c r="A292">
        <v>666</v>
      </c>
      <c r="B292" t="s">
        <v>46</v>
      </c>
      <c r="C292">
        <v>15</v>
      </c>
      <c r="D292">
        <v>757</v>
      </c>
      <c r="E292" t="s">
        <v>526</v>
      </c>
      <c r="F292" t="s">
        <v>408</v>
      </c>
      <c r="G292">
        <v>15757</v>
      </c>
      <c r="H292">
        <v>15757</v>
      </c>
      <c r="I292" t="s">
        <v>49</v>
      </c>
      <c r="J292">
        <v>1513</v>
      </c>
      <c r="K292" t="s">
        <v>425</v>
      </c>
      <c r="L292" t="s">
        <v>69</v>
      </c>
      <c r="M292" t="s">
        <v>53</v>
      </c>
      <c r="N292">
        <v>8432</v>
      </c>
      <c r="O292" t="s">
        <v>53</v>
      </c>
      <c r="P292" t="s">
        <v>70</v>
      </c>
      <c r="Q292" t="s">
        <v>71</v>
      </c>
      <c r="R292" t="s">
        <v>122</v>
      </c>
      <c r="S292" t="s">
        <v>57</v>
      </c>
      <c r="T292" t="s">
        <v>58</v>
      </c>
      <c r="U292" t="s">
        <v>81</v>
      </c>
      <c r="V292">
        <v>0.75376299999999996</v>
      </c>
      <c r="W292" t="s">
        <v>53</v>
      </c>
      <c r="X292" t="s">
        <v>53</v>
      </c>
      <c r="Y292" t="s">
        <v>187</v>
      </c>
      <c r="Z292" t="str">
        <f t="shared" si="8"/>
        <v>Mayor que 80 - hasta 100</v>
      </c>
      <c r="AA292">
        <f t="shared" si="9"/>
        <v>1</v>
      </c>
      <c r="AB292">
        <v>15757</v>
      </c>
      <c r="AC292" t="s">
        <v>234</v>
      </c>
      <c r="AD292" t="s">
        <v>416</v>
      </c>
      <c r="AE292">
        <v>2.4212180000000001</v>
      </c>
      <c r="AF292" t="s">
        <v>77</v>
      </c>
      <c r="AG292">
        <v>53.864170000000001</v>
      </c>
      <c r="AH292" t="s">
        <v>234</v>
      </c>
      <c r="AI292" t="s">
        <v>407</v>
      </c>
      <c r="AJ292">
        <v>3.8286579999999999</v>
      </c>
      <c r="AK292" t="s">
        <v>84</v>
      </c>
      <c r="AL292">
        <v>114.746717</v>
      </c>
      <c r="AM292" s="4" t="s">
        <v>65</v>
      </c>
      <c r="AN292" s="5">
        <v>4832.0907089782168</v>
      </c>
      <c r="AO292" s="4" t="s">
        <v>65</v>
      </c>
      <c r="AP292" s="6">
        <v>3793</v>
      </c>
      <c r="AQ292">
        <v>4</v>
      </c>
      <c r="AR292">
        <v>1878.704127</v>
      </c>
      <c r="AS292" t="s">
        <v>66</v>
      </c>
      <c r="AT292" t="s">
        <v>53</v>
      </c>
    </row>
    <row r="293" spans="1:46">
      <c r="A293">
        <v>667</v>
      </c>
      <c r="B293" t="s">
        <v>46</v>
      </c>
      <c r="C293">
        <v>15</v>
      </c>
      <c r="D293">
        <v>759</v>
      </c>
      <c r="E293" t="s">
        <v>416</v>
      </c>
      <c r="F293" t="s">
        <v>408</v>
      </c>
      <c r="G293">
        <v>15759</v>
      </c>
      <c r="H293">
        <v>15759</v>
      </c>
      <c r="I293" t="s">
        <v>49</v>
      </c>
      <c r="J293">
        <v>1511</v>
      </c>
      <c r="K293" t="s">
        <v>413</v>
      </c>
      <c r="L293" t="s">
        <v>51</v>
      </c>
      <c r="M293" t="s">
        <v>53</v>
      </c>
      <c r="N293">
        <v>136391</v>
      </c>
      <c r="O293" t="s">
        <v>53</v>
      </c>
      <c r="P293" t="s">
        <v>54</v>
      </c>
      <c r="Q293" t="s">
        <v>210</v>
      </c>
      <c r="R293" t="s">
        <v>122</v>
      </c>
      <c r="S293" t="s">
        <v>57</v>
      </c>
      <c r="T293" t="s">
        <v>58</v>
      </c>
      <c r="U293" t="s">
        <v>81</v>
      </c>
      <c r="V293">
        <v>0.64412700000000001</v>
      </c>
      <c r="W293" t="s">
        <v>53</v>
      </c>
      <c r="X293" t="s">
        <v>53</v>
      </c>
      <c r="Y293" t="s">
        <v>195</v>
      </c>
      <c r="Z293" t="str">
        <f t="shared" si="8"/>
        <v>Mayor que 250 - hasta 300</v>
      </c>
      <c r="AA293">
        <f t="shared" si="9"/>
        <v>1</v>
      </c>
      <c r="AB293">
        <v>15759</v>
      </c>
      <c r="AC293" t="s">
        <v>234</v>
      </c>
      <c r="AD293" t="s">
        <v>416</v>
      </c>
      <c r="AE293">
        <v>0</v>
      </c>
      <c r="AF293" t="s">
        <v>63</v>
      </c>
      <c r="AG293">
        <v>0</v>
      </c>
      <c r="AH293" t="s">
        <v>234</v>
      </c>
      <c r="AI293" t="s">
        <v>407</v>
      </c>
      <c r="AJ293">
        <v>1.6512640000000001</v>
      </c>
      <c r="AK293" t="s">
        <v>76</v>
      </c>
      <c r="AL293">
        <v>72.284986000000004</v>
      </c>
      <c r="AM293" s="4" t="s">
        <v>65</v>
      </c>
      <c r="AN293" s="5">
        <v>8431.276000111071</v>
      </c>
      <c r="AO293" s="4" t="s">
        <v>65</v>
      </c>
      <c r="AP293" s="6">
        <v>12678</v>
      </c>
      <c r="AQ293">
        <v>4</v>
      </c>
      <c r="AR293">
        <v>4669.4889569999996</v>
      </c>
      <c r="AS293" t="s">
        <v>66</v>
      </c>
      <c r="AT293" t="s">
        <v>53</v>
      </c>
    </row>
    <row r="294" spans="1:46">
      <c r="A294">
        <v>668</v>
      </c>
      <c r="B294" t="s">
        <v>46</v>
      </c>
      <c r="C294">
        <v>15</v>
      </c>
      <c r="D294">
        <v>761</v>
      </c>
      <c r="E294" t="s">
        <v>527</v>
      </c>
      <c r="F294" t="s">
        <v>408</v>
      </c>
      <c r="G294">
        <v>15761</v>
      </c>
      <c r="H294">
        <v>15761</v>
      </c>
      <c r="I294" t="s">
        <v>49</v>
      </c>
      <c r="J294">
        <v>1509</v>
      </c>
      <c r="K294" t="s">
        <v>68</v>
      </c>
      <c r="L294" t="s">
        <v>69</v>
      </c>
      <c r="M294" t="s">
        <v>53</v>
      </c>
      <c r="N294">
        <v>3048</v>
      </c>
      <c r="O294" t="s">
        <v>53</v>
      </c>
      <c r="P294" t="s">
        <v>70</v>
      </c>
      <c r="Q294" t="s">
        <v>71</v>
      </c>
      <c r="R294" t="s">
        <v>105</v>
      </c>
      <c r="S294" t="s">
        <v>57</v>
      </c>
      <c r="T294" t="s">
        <v>58</v>
      </c>
      <c r="U294" t="s">
        <v>81</v>
      </c>
      <c r="V294">
        <v>0.74287099999999995</v>
      </c>
      <c r="W294" t="s">
        <v>53</v>
      </c>
      <c r="X294" t="s">
        <v>53</v>
      </c>
      <c r="Y294" t="s">
        <v>102</v>
      </c>
      <c r="Z294" t="str">
        <f t="shared" si="8"/>
        <v>Mayor que 20 - hasta 30</v>
      </c>
      <c r="AA294">
        <f t="shared" si="9"/>
        <v>1</v>
      </c>
      <c r="AB294">
        <v>15761</v>
      </c>
      <c r="AC294" t="s">
        <v>330</v>
      </c>
      <c r="AD294" t="s">
        <v>411</v>
      </c>
      <c r="AE294">
        <v>2.1950150000000002</v>
      </c>
      <c r="AF294" t="s">
        <v>77</v>
      </c>
      <c r="AG294">
        <v>75.360720999999998</v>
      </c>
      <c r="AH294" t="s">
        <v>330</v>
      </c>
      <c r="AI294" t="s">
        <v>332</v>
      </c>
      <c r="AJ294">
        <v>3.141991</v>
      </c>
      <c r="AK294" t="s">
        <v>84</v>
      </c>
      <c r="AL294">
        <v>124.781032</v>
      </c>
      <c r="AM294" s="4" t="s">
        <v>65</v>
      </c>
      <c r="AN294" s="5">
        <v>5350.8547553972858</v>
      </c>
      <c r="AO294" s="4" t="s">
        <v>65</v>
      </c>
      <c r="AP294" s="6">
        <v>4010</v>
      </c>
      <c r="AQ294">
        <v>3</v>
      </c>
      <c r="AR294">
        <v>3575.5436690000001</v>
      </c>
      <c r="AS294" t="s">
        <v>66</v>
      </c>
      <c r="AT294" t="s">
        <v>53</v>
      </c>
    </row>
    <row r="295" spans="1:46">
      <c r="A295">
        <v>733</v>
      </c>
      <c r="B295" t="s">
        <v>46</v>
      </c>
      <c r="C295">
        <v>15</v>
      </c>
      <c r="D295">
        <v>762</v>
      </c>
      <c r="E295" t="s">
        <v>528</v>
      </c>
      <c r="F295" t="s">
        <v>408</v>
      </c>
      <c r="G295">
        <v>15762</v>
      </c>
      <c r="H295">
        <v>15762</v>
      </c>
      <c r="I295" t="s">
        <v>49</v>
      </c>
      <c r="J295">
        <v>1501</v>
      </c>
      <c r="K295" t="s">
        <v>409</v>
      </c>
      <c r="L295" t="s">
        <v>69</v>
      </c>
      <c r="M295" t="s">
        <v>53</v>
      </c>
      <c r="N295">
        <v>3210</v>
      </c>
      <c r="O295" t="s">
        <v>53</v>
      </c>
      <c r="P295" t="s">
        <v>70</v>
      </c>
      <c r="Q295" t="s">
        <v>71</v>
      </c>
      <c r="R295" t="s">
        <v>72</v>
      </c>
      <c r="S295" t="s">
        <v>57</v>
      </c>
      <c r="T295" t="s">
        <v>58</v>
      </c>
      <c r="U295" t="s">
        <v>81</v>
      </c>
      <c r="V295">
        <v>0.34958899999999998</v>
      </c>
      <c r="W295" t="s">
        <v>53</v>
      </c>
      <c r="X295" t="s">
        <v>53</v>
      </c>
      <c r="Y295" t="s">
        <v>165</v>
      </c>
      <c r="Z295" t="str">
        <f t="shared" si="8"/>
        <v>Mayor que 60 - hasta 70</v>
      </c>
      <c r="AA295">
        <f t="shared" si="9"/>
        <v>1</v>
      </c>
      <c r="AB295">
        <v>15762</v>
      </c>
      <c r="AC295" t="s">
        <v>234</v>
      </c>
      <c r="AD295" t="s">
        <v>407</v>
      </c>
      <c r="AE295">
        <v>0.78609600000000002</v>
      </c>
      <c r="AF295" t="s">
        <v>63</v>
      </c>
      <c r="AG295">
        <v>17.650967000000001</v>
      </c>
      <c r="AH295" t="s">
        <v>234</v>
      </c>
      <c r="AI295" t="s">
        <v>407</v>
      </c>
      <c r="AJ295">
        <v>0.76836499999999996</v>
      </c>
      <c r="AK295" t="s">
        <v>63</v>
      </c>
      <c r="AL295">
        <v>17.250966999999999</v>
      </c>
      <c r="AM295" s="4" t="s">
        <v>65</v>
      </c>
      <c r="AN295" s="5">
        <v>2087.2945260364295</v>
      </c>
      <c r="AO295" s="4" t="s">
        <v>65</v>
      </c>
      <c r="AP295" s="6">
        <v>1213</v>
      </c>
      <c r="AQ295">
        <v>4</v>
      </c>
      <c r="AR295">
        <v>780.86686999999995</v>
      </c>
      <c r="AS295" t="s">
        <v>66</v>
      </c>
      <c r="AT295" t="s">
        <v>53</v>
      </c>
    </row>
    <row r="296" spans="1:46">
      <c r="A296">
        <v>734</v>
      </c>
      <c r="B296" t="s">
        <v>46</v>
      </c>
      <c r="C296">
        <v>15</v>
      </c>
      <c r="D296">
        <v>763</v>
      </c>
      <c r="E296" t="s">
        <v>529</v>
      </c>
      <c r="F296" t="s">
        <v>408</v>
      </c>
      <c r="G296">
        <v>15763</v>
      </c>
      <c r="H296">
        <v>15763</v>
      </c>
      <c r="I296" t="s">
        <v>49</v>
      </c>
      <c r="J296">
        <v>1501</v>
      </c>
      <c r="K296" t="s">
        <v>409</v>
      </c>
      <c r="L296" t="s">
        <v>80</v>
      </c>
      <c r="M296" t="s">
        <v>53</v>
      </c>
      <c r="N296">
        <v>8710</v>
      </c>
      <c r="O296" t="s">
        <v>53</v>
      </c>
      <c r="P296" t="s">
        <v>70</v>
      </c>
      <c r="Q296" t="s">
        <v>71</v>
      </c>
      <c r="R296" t="s">
        <v>93</v>
      </c>
      <c r="S296" t="s">
        <v>57</v>
      </c>
      <c r="T296" t="s">
        <v>58</v>
      </c>
      <c r="U296" t="s">
        <v>81</v>
      </c>
      <c r="V296">
        <v>0.213838</v>
      </c>
      <c r="W296" t="s">
        <v>53</v>
      </c>
      <c r="X296" t="s">
        <v>53</v>
      </c>
      <c r="Y296" t="s">
        <v>183</v>
      </c>
      <c r="Z296" t="str">
        <f t="shared" si="8"/>
        <v>Mayor que 120 - hasta 140</v>
      </c>
      <c r="AA296">
        <f t="shared" si="9"/>
        <v>1</v>
      </c>
      <c r="AB296">
        <v>15763</v>
      </c>
      <c r="AC296" t="s">
        <v>234</v>
      </c>
      <c r="AD296" t="s">
        <v>421</v>
      </c>
      <c r="AE296">
        <v>0.87243899999999996</v>
      </c>
      <c r="AF296" t="s">
        <v>63</v>
      </c>
      <c r="AG296">
        <v>32.170563000000001</v>
      </c>
      <c r="AH296" t="s">
        <v>234</v>
      </c>
      <c r="AI296" t="s">
        <v>407</v>
      </c>
      <c r="AJ296">
        <v>1.003144</v>
      </c>
      <c r="AK296" t="s">
        <v>76</v>
      </c>
      <c r="AL296">
        <v>32.574725999999998</v>
      </c>
      <c r="AM296" s="4" t="s">
        <v>65</v>
      </c>
      <c r="AN296" s="5">
        <v>11720.602086421011</v>
      </c>
      <c r="AO296" s="4" t="s">
        <v>65</v>
      </c>
      <c r="AP296" s="6">
        <v>6796</v>
      </c>
      <c r="AQ296">
        <v>3</v>
      </c>
      <c r="AR296">
        <v>11221.490938999999</v>
      </c>
      <c r="AS296" t="s">
        <v>66</v>
      </c>
      <c r="AT296" t="s">
        <v>53</v>
      </c>
    </row>
    <row r="297" spans="1:46">
      <c r="A297">
        <v>735</v>
      </c>
      <c r="B297" t="s">
        <v>46</v>
      </c>
      <c r="C297">
        <v>15</v>
      </c>
      <c r="D297">
        <v>764</v>
      </c>
      <c r="E297" t="s">
        <v>530</v>
      </c>
      <c r="F297" t="s">
        <v>408</v>
      </c>
      <c r="G297">
        <v>15764</v>
      </c>
      <c r="H297">
        <v>15764</v>
      </c>
      <c r="I297" t="s">
        <v>49</v>
      </c>
      <c r="J297">
        <v>1501</v>
      </c>
      <c r="K297" t="s">
        <v>409</v>
      </c>
      <c r="L297" t="s">
        <v>69</v>
      </c>
      <c r="M297" t="s">
        <v>53</v>
      </c>
      <c r="N297">
        <v>6352</v>
      </c>
      <c r="O297" t="s">
        <v>53</v>
      </c>
      <c r="P297" t="s">
        <v>70</v>
      </c>
      <c r="Q297" t="s">
        <v>71</v>
      </c>
      <c r="R297" t="s">
        <v>72</v>
      </c>
      <c r="S297" t="s">
        <v>57</v>
      </c>
      <c r="T297" t="s">
        <v>58</v>
      </c>
      <c r="U297" t="s">
        <v>81</v>
      </c>
      <c r="V297">
        <v>0.31437599999999999</v>
      </c>
      <c r="W297" t="s">
        <v>53</v>
      </c>
      <c r="X297" t="s">
        <v>53</v>
      </c>
      <c r="Y297" t="s">
        <v>437</v>
      </c>
      <c r="Z297" t="str">
        <f t="shared" si="8"/>
        <v>Mayor que 160 - hasta 180</v>
      </c>
      <c r="AA297">
        <f t="shared" si="9"/>
        <v>1</v>
      </c>
      <c r="AB297">
        <v>15764</v>
      </c>
      <c r="AC297" t="s">
        <v>234</v>
      </c>
      <c r="AD297" t="s">
        <v>407</v>
      </c>
      <c r="AE297">
        <v>0.21917300000000001</v>
      </c>
      <c r="AF297" t="s">
        <v>63</v>
      </c>
      <c r="AG297">
        <v>6.7426409999999999</v>
      </c>
      <c r="AH297" t="s">
        <v>234</v>
      </c>
      <c r="AI297" t="s">
        <v>407</v>
      </c>
      <c r="AJ297">
        <v>0.22631100000000001</v>
      </c>
      <c r="AK297" t="s">
        <v>63</v>
      </c>
      <c r="AL297">
        <v>7.0840620000000003</v>
      </c>
      <c r="AM297" s="4" t="s">
        <v>65</v>
      </c>
      <c r="AN297" s="5">
        <v>4916.6250566855397</v>
      </c>
      <c r="AO297" s="4" t="s">
        <v>65</v>
      </c>
      <c r="AP297" s="6">
        <v>3823</v>
      </c>
      <c r="AQ297">
        <v>3</v>
      </c>
      <c r="AR297">
        <v>4296.8976089999996</v>
      </c>
      <c r="AS297" t="s">
        <v>66</v>
      </c>
      <c r="AT297" t="s">
        <v>53</v>
      </c>
    </row>
    <row r="298" spans="1:46">
      <c r="A298">
        <v>736</v>
      </c>
      <c r="B298" t="s">
        <v>46</v>
      </c>
      <c r="C298">
        <v>15</v>
      </c>
      <c r="D298">
        <v>774</v>
      </c>
      <c r="E298" t="s">
        <v>531</v>
      </c>
      <c r="F298" t="s">
        <v>408</v>
      </c>
      <c r="G298">
        <v>15774</v>
      </c>
      <c r="H298">
        <v>15774</v>
      </c>
      <c r="I298" t="s">
        <v>49</v>
      </c>
      <c r="J298">
        <v>1507</v>
      </c>
      <c r="K298" t="s">
        <v>112</v>
      </c>
      <c r="L298" t="s">
        <v>69</v>
      </c>
      <c r="M298" t="s">
        <v>53</v>
      </c>
      <c r="N298">
        <v>2830</v>
      </c>
      <c r="O298" t="s">
        <v>53</v>
      </c>
      <c r="P298" t="s">
        <v>70</v>
      </c>
      <c r="Q298" t="s">
        <v>71</v>
      </c>
      <c r="R298" t="s">
        <v>105</v>
      </c>
      <c r="S298" t="s">
        <v>57</v>
      </c>
      <c r="T298" t="s">
        <v>58</v>
      </c>
      <c r="U298" t="s">
        <v>81</v>
      </c>
      <c r="V298">
        <v>0.630664</v>
      </c>
      <c r="W298" t="s">
        <v>53</v>
      </c>
      <c r="X298" t="s">
        <v>53</v>
      </c>
      <c r="Y298" t="s">
        <v>87</v>
      </c>
      <c r="Z298" t="str">
        <f t="shared" si="8"/>
        <v>Mayor que 40 - hasta 50</v>
      </c>
      <c r="AA298">
        <f t="shared" si="9"/>
        <v>1</v>
      </c>
      <c r="AB298">
        <v>15774</v>
      </c>
      <c r="AC298" t="s">
        <v>234</v>
      </c>
      <c r="AD298" t="s">
        <v>421</v>
      </c>
      <c r="AE298">
        <v>2.051393</v>
      </c>
      <c r="AF298" t="s">
        <v>77</v>
      </c>
      <c r="AG298">
        <v>76.226406999999995</v>
      </c>
      <c r="AH298" t="s">
        <v>234</v>
      </c>
      <c r="AI298" t="s">
        <v>407</v>
      </c>
      <c r="AJ298">
        <v>3.2453539999999998</v>
      </c>
      <c r="AK298" t="s">
        <v>84</v>
      </c>
      <c r="AL298">
        <v>131.436162</v>
      </c>
      <c r="AM298" s="4" t="s">
        <v>65</v>
      </c>
      <c r="AN298" s="5">
        <v>5233.2234309157357</v>
      </c>
      <c r="AO298" s="4" t="s">
        <v>65</v>
      </c>
      <c r="AP298" s="6">
        <v>2616</v>
      </c>
      <c r="AQ298">
        <v>2</v>
      </c>
      <c r="AR298">
        <v>2965.3863710000001</v>
      </c>
      <c r="AS298" t="s">
        <v>66</v>
      </c>
      <c r="AT298" t="s">
        <v>53</v>
      </c>
    </row>
    <row r="299" spans="1:46">
      <c r="A299">
        <v>737</v>
      </c>
      <c r="B299" t="s">
        <v>46</v>
      </c>
      <c r="C299">
        <v>15</v>
      </c>
      <c r="D299">
        <v>776</v>
      </c>
      <c r="E299" t="s">
        <v>532</v>
      </c>
      <c r="F299" t="s">
        <v>408</v>
      </c>
      <c r="G299">
        <v>15776</v>
      </c>
      <c r="H299">
        <v>15776</v>
      </c>
      <c r="I299" t="s">
        <v>49</v>
      </c>
      <c r="J299">
        <v>1510</v>
      </c>
      <c r="K299" t="s">
        <v>418</v>
      </c>
      <c r="L299" t="s">
        <v>69</v>
      </c>
      <c r="M299" t="s">
        <v>53</v>
      </c>
      <c r="N299">
        <v>6532</v>
      </c>
      <c r="O299" t="s">
        <v>53</v>
      </c>
      <c r="P299" t="s">
        <v>70</v>
      </c>
      <c r="Q299" t="s">
        <v>71</v>
      </c>
      <c r="R299" t="s">
        <v>56</v>
      </c>
      <c r="S299" t="s">
        <v>57</v>
      </c>
      <c r="T299" t="s">
        <v>58</v>
      </c>
      <c r="U299" t="s">
        <v>81</v>
      </c>
      <c r="V299">
        <v>0.57353900000000002</v>
      </c>
      <c r="W299" t="s">
        <v>53</v>
      </c>
      <c r="X299" t="s">
        <v>53</v>
      </c>
      <c r="Y299" t="s">
        <v>187</v>
      </c>
      <c r="Z299" t="str">
        <f t="shared" si="8"/>
        <v>Mayor que 80 - hasta 100</v>
      </c>
      <c r="AA299">
        <f t="shared" si="9"/>
        <v>1</v>
      </c>
      <c r="AB299">
        <v>15776</v>
      </c>
      <c r="AC299" t="s">
        <v>234</v>
      </c>
      <c r="AD299" t="s">
        <v>428</v>
      </c>
      <c r="AE299">
        <v>0.75104599999999999</v>
      </c>
      <c r="AF299" t="s">
        <v>63</v>
      </c>
      <c r="AG299">
        <v>31.660512000000001</v>
      </c>
      <c r="AH299" t="s">
        <v>234</v>
      </c>
      <c r="AI299" t="s">
        <v>407</v>
      </c>
      <c r="AJ299">
        <v>1.303653</v>
      </c>
      <c r="AK299" t="s">
        <v>76</v>
      </c>
      <c r="AL299">
        <v>40.578888999999997</v>
      </c>
      <c r="AM299" s="4" t="s">
        <v>65</v>
      </c>
      <c r="AN299" s="5">
        <v>6384.7207546801719</v>
      </c>
      <c r="AO299" s="4" t="s">
        <v>65</v>
      </c>
      <c r="AP299" s="6">
        <v>3509</v>
      </c>
      <c r="AQ299">
        <v>4</v>
      </c>
      <c r="AR299">
        <v>3573.5778260000002</v>
      </c>
      <c r="AS299" t="s">
        <v>66</v>
      </c>
      <c r="AT299" t="s">
        <v>53</v>
      </c>
    </row>
    <row r="300" spans="1:46">
      <c r="A300">
        <v>738</v>
      </c>
      <c r="B300" t="s">
        <v>46</v>
      </c>
      <c r="C300">
        <v>15</v>
      </c>
      <c r="D300">
        <v>778</v>
      </c>
      <c r="E300" t="s">
        <v>533</v>
      </c>
      <c r="F300" t="s">
        <v>408</v>
      </c>
      <c r="G300">
        <v>15778</v>
      </c>
      <c r="H300">
        <v>15778</v>
      </c>
      <c r="I300" t="s">
        <v>49</v>
      </c>
      <c r="J300">
        <v>1509</v>
      </c>
      <c r="K300" t="s">
        <v>68</v>
      </c>
      <c r="L300" t="s">
        <v>69</v>
      </c>
      <c r="M300" t="s">
        <v>53</v>
      </c>
      <c r="N300">
        <v>4469</v>
      </c>
      <c r="O300" t="s">
        <v>53</v>
      </c>
      <c r="P300" t="s">
        <v>70</v>
      </c>
      <c r="Q300" t="s">
        <v>71</v>
      </c>
      <c r="R300" t="s">
        <v>122</v>
      </c>
      <c r="S300" t="s">
        <v>57</v>
      </c>
      <c r="T300" t="s">
        <v>58</v>
      </c>
      <c r="U300" t="s">
        <v>81</v>
      </c>
      <c r="V300">
        <v>0.683056</v>
      </c>
      <c r="W300" t="s">
        <v>53</v>
      </c>
      <c r="X300" t="s">
        <v>53</v>
      </c>
      <c r="Y300" t="s">
        <v>87</v>
      </c>
      <c r="Z300" t="str">
        <f t="shared" si="8"/>
        <v>Mayor que 40 - hasta 50</v>
      </c>
      <c r="AA300">
        <f t="shared" si="9"/>
        <v>1</v>
      </c>
      <c r="AB300">
        <v>15778</v>
      </c>
      <c r="AC300" t="s">
        <v>330</v>
      </c>
      <c r="AD300" t="s">
        <v>411</v>
      </c>
      <c r="AE300">
        <v>1.856892</v>
      </c>
      <c r="AF300" t="s">
        <v>76</v>
      </c>
      <c r="AG300">
        <v>71.497979999999998</v>
      </c>
      <c r="AH300" t="s">
        <v>330</v>
      </c>
      <c r="AI300" t="s">
        <v>332</v>
      </c>
      <c r="AJ300">
        <v>2.8038669999999999</v>
      </c>
      <c r="AK300" t="s">
        <v>77</v>
      </c>
      <c r="AL300">
        <v>120.91829</v>
      </c>
      <c r="AM300" s="4" t="s">
        <v>65</v>
      </c>
      <c r="AN300" s="5">
        <v>3949.3068965803132</v>
      </c>
      <c r="AO300" s="4" t="s">
        <v>65</v>
      </c>
      <c r="AP300" s="6">
        <v>5217</v>
      </c>
      <c r="AQ300">
        <v>4</v>
      </c>
      <c r="AR300">
        <v>2026.543997</v>
      </c>
      <c r="AS300" t="s">
        <v>66</v>
      </c>
      <c r="AT300" t="s">
        <v>53</v>
      </c>
    </row>
    <row r="301" spans="1:46">
      <c r="A301">
        <v>739</v>
      </c>
      <c r="B301" t="s">
        <v>46</v>
      </c>
      <c r="C301">
        <v>15</v>
      </c>
      <c r="D301">
        <v>790</v>
      </c>
      <c r="E301" t="s">
        <v>534</v>
      </c>
      <c r="F301" t="s">
        <v>408</v>
      </c>
      <c r="G301">
        <v>15790</v>
      </c>
      <c r="H301">
        <v>15790</v>
      </c>
      <c r="I301" t="s">
        <v>49</v>
      </c>
      <c r="J301">
        <v>1513</v>
      </c>
      <c r="K301" t="s">
        <v>425</v>
      </c>
      <c r="L301" t="s">
        <v>69</v>
      </c>
      <c r="M301" t="s">
        <v>53</v>
      </c>
      <c r="N301">
        <v>6170</v>
      </c>
      <c r="O301" t="s">
        <v>53</v>
      </c>
      <c r="P301" t="s">
        <v>70</v>
      </c>
      <c r="Q301" t="s">
        <v>71</v>
      </c>
      <c r="R301" t="s">
        <v>105</v>
      </c>
      <c r="S301" t="s">
        <v>57</v>
      </c>
      <c r="T301" t="s">
        <v>58</v>
      </c>
      <c r="U301" t="s">
        <v>81</v>
      </c>
      <c r="V301">
        <v>0.70152999999999999</v>
      </c>
      <c r="W301" t="s">
        <v>53</v>
      </c>
      <c r="X301" t="s">
        <v>53</v>
      </c>
      <c r="Y301" t="s">
        <v>165</v>
      </c>
      <c r="Z301" t="str">
        <f t="shared" si="8"/>
        <v>Mayor que 60 - hasta 70</v>
      </c>
      <c r="AA301">
        <f t="shared" si="9"/>
        <v>1</v>
      </c>
      <c r="AB301">
        <v>15790</v>
      </c>
      <c r="AC301" t="s">
        <v>234</v>
      </c>
      <c r="AD301" t="s">
        <v>416</v>
      </c>
      <c r="AE301">
        <v>1.3526940000000001</v>
      </c>
      <c r="AF301" t="s">
        <v>76</v>
      </c>
      <c r="AG301">
        <v>34.674726</v>
      </c>
      <c r="AH301" t="s">
        <v>234</v>
      </c>
      <c r="AI301" t="s">
        <v>407</v>
      </c>
      <c r="AJ301">
        <v>2.782759</v>
      </c>
      <c r="AK301" t="s">
        <v>77</v>
      </c>
      <c r="AL301">
        <v>103.189863</v>
      </c>
      <c r="AM301" s="4" t="s">
        <v>65</v>
      </c>
      <c r="AN301" s="5">
        <v>6004.4500498619518</v>
      </c>
      <c r="AO301" s="4" t="s">
        <v>65</v>
      </c>
      <c r="AP301" s="6">
        <v>4187</v>
      </c>
      <c r="AQ301">
        <v>4</v>
      </c>
      <c r="AR301">
        <v>5136.3654459999998</v>
      </c>
      <c r="AS301" t="s">
        <v>66</v>
      </c>
      <c r="AT301" t="s">
        <v>53</v>
      </c>
    </row>
    <row r="302" spans="1:46">
      <c r="A302">
        <v>740</v>
      </c>
      <c r="B302" t="s">
        <v>46</v>
      </c>
      <c r="C302">
        <v>15</v>
      </c>
      <c r="D302">
        <v>798</v>
      </c>
      <c r="E302" t="s">
        <v>535</v>
      </c>
      <c r="F302" t="s">
        <v>408</v>
      </c>
      <c r="G302">
        <v>15798</v>
      </c>
      <c r="H302">
        <v>15798</v>
      </c>
      <c r="I302" t="s">
        <v>49</v>
      </c>
      <c r="J302">
        <v>1509</v>
      </c>
      <c r="K302" t="s">
        <v>68</v>
      </c>
      <c r="L302" t="s">
        <v>91</v>
      </c>
      <c r="M302" t="s">
        <v>53</v>
      </c>
      <c r="N302">
        <v>4064</v>
      </c>
      <c r="O302" t="s">
        <v>53</v>
      </c>
      <c r="P302" t="s">
        <v>70</v>
      </c>
      <c r="Q302" t="s">
        <v>71</v>
      </c>
      <c r="R302" t="s">
        <v>122</v>
      </c>
      <c r="S302" t="s">
        <v>57</v>
      </c>
      <c r="T302" t="s">
        <v>58</v>
      </c>
      <c r="U302" t="s">
        <v>81</v>
      </c>
      <c r="V302">
        <v>0.64324199999999998</v>
      </c>
      <c r="W302">
        <v>2015</v>
      </c>
      <c r="X302" t="s">
        <v>109</v>
      </c>
      <c r="Y302" t="s">
        <v>167</v>
      </c>
      <c r="Z302" t="str">
        <f t="shared" si="8"/>
        <v>Mayor que 50 - hasta 60</v>
      </c>
      <c r="AA302">
        <f t="shared" si="9"/>
        <v>1</v>
      </c>
      <c r="AB302">
        <v>15798</v>
      </c>
      <c r="AC302" t="s">
        <v>330</v>
      </c>
      <c r="AD302" t="s">
        <v>411</v>
      </c>
      <c r="AE302">
        <v>2.2318319999999998</v>
      </c>
      <c r="AF302" t="s">
        <v>77</v>
      </c>
      <c r="AG302">
        <v>71.622243999999995</v>
      </c>
      <c r="AH302" t="s">
        <v>234</v>
      </c>
      <c r="AI302" t="s">
        <v>407</v>
      </c>
      <c r="AJ302">
        <v>3.0395949999999998</v>
      </c>
      <c r="AK302" t="s">
        <v>84</v>
      </c>
      <c r="AL302">
        <v>71.773715999999993</v>
      </c>
      <c r="AM302" t="s">
        <v>65</v>
      </c>
      <c r="AN302" s="7">
        <v>431.66595255992672</v>
      </c>
      <c r="AO302" t="s">
        <v>65</v>
      </c>
      <c r="AP302" s="3">
        <v>745</v>
      </c>
      <c r="AQ302">
        <v>4</v>
      </c>
      <c r="AR302">
        <v>385.37876999999997</v>
      </c>
      <c r="AS302" t="s">
        <v>66</v>
      </c>
      <c r="AT302" t="s">
        <v>137</v>
      </c>
    </row>
    <row r="303" spans="1:46">
      <c r="A303">
        <v>741</v>
      </c>
      <c r="B303" t="s">
        <v>46</v>
      </c>
      <c r="C303">
        <v>15</v>
      </c>
      <c r="D303">
        <v>804</v>
      </c>
      <c r="E303" t="s">
        <v>536</v>
      </c>
      <c r="F303" t="s">
        <v>408</v>
      </c>
      <c r="G303">
        <v>15804</v>
      </c>
      <c r="H303">
        <v>15804</v>
      </c>
      <c r="I303" t="s">
        <v>49</v>
      </c>
      <c r="J303">
        <v>1505</v>
      </c>
      <c r="K303" t="s">
        <v>427</v>
      </c>
      <c r="L303" t="s">
        <v>69</v>
      </c>
      <c r="M303" t="s">
        <v>53</v>
      </c>
      <c r="N303">
        <v>9575</v>
      </c>
      <c r="O303" t="s">
        <v>53</v>
      </c>
      <c r="P303" t="s">
        <v>70</v>
      </c>
      <c r="Q303" t="s">
        <v>71</v>
      </c>
      <c r="R303" t="s">
        <v>105</v>
      </c>
      <c r="S303" t="s">
        <v>57</v>
      </c>
      <c r="T303" t="s">
        <v>58</v>
      </c>
      <c r="U303" t="s">
        <v>81</v>
      </c>
      <c r="V303">
        <v>0.72378399999999998</v>
      </c>
      <c r="W303">
        <v>2015</v>
      </c>
      <c r="X303" t="s">
        <v>147</v>
      </c>
      <c r="Y303" t="s">
        <v>127</v>
      </c>
      <c r="Z303" t="str">
        <f t="shared" si="8"/>
        <v>Mayor que 70 - hasta 80</v>
      </c>
      <c r="AA303">
        <f t="shared" si="9"/>
        <v>1</v>
      </c>
      <c r="AB303">
        <v>15804</v>
      </c>
      <c r="AC303" t="s">
        <v>234</v>
      </c>
      <c r="AD303" t="s">
        <v>407</v>
      </c>
      <c r="AE303">
        <v>1.1172580000000001</v>
      </c>
      <c r="AF303" t="s">
        <v>76</v>
      </c>
      <c r="AG303">
        <v>33.233303999999997</v>
      </c>
      <c r="AH303" t="s">
        <v>234</v>
      </c>
      <c r="AI303" t="s">
        <v>407</v>
      </c>
      <c r="AJ303">
        <v>1.1243970000000001</v>
      </c>
      <c r="AK303" t="s">
        <v>76</v>
      </c>
      <c r="AL303">
        <v>33.574725999999998</v>
      </c>
      <c r="AM303" t="s">
        <v>65</v>
      </c>
      <c r="AN303" s="7">
        <v>1669.6573423916659</v>
      </c>
      <c r="AO303" t="s">
        <v>65</v>
      </c>
      <c r="AP303" s="3">
        <v>2656</v>
      </c>
      <c r="AQ303">
        <v>3</v>
      </c>
      <c r="AR303">
        <v>1706.426725</v>
      </c>
      <c r="AS303" t="s">
        <v>66</v>
      </c>
      <c r="AT303" t="s">
        <v>137</v>
      </c>
    </row>
    <row r="304" spans="1:46">
      <c r="A304">
        <v>742</v>
      </c>
      <c r="B304" t="s">
        <v>46</v>
      </c>
      <c r="C304">
        <v>15</v>
      </c>
      <c r="D304">
        <v>806</v>
      </c>
      <c r="E304" t="s">
        <v>537</v>
      </c>
      <c r="F304" t="s">
        <v>408</v>
      </c>
      <c r="G304">
        <v>15806</v>
      </c>
      <c r="H304">
        <v>15806</v>
      </c>
      <c r="I304" t="s">
        <v>49</v>
      </c>
      <c r="J304">
        <v>1511</v>
      </c>
      <c r="K304" t="s">
        <v>413</v>
      </c>
      <c r="L304" t="s">
        <v>91</v>
      </c>
      <c r="M304" t="s">
        <v>53</v>
      </c>
      <c r="N304">
        <v>13925</v>
      </c>
      <c r="O304" t="s">
        <v>53</v>
      </c>
      <c r="P304" t="s">
        <v>70</v>
      </c>
      <c r="Q304" t="s">
        <v>71</v>
      </c>
      <c r="R304" t="s">
        <v>105</v>
      </c>
      <c r="S304" t="s">
        <v>57</v>
      </c>
      <c r="T304" t="s">
        <v>58</v>
      </c>
      <c r="U304" t="s">
        <v>81</v>
      </c>
      <c r="V304">
        <v>0.495811</v>
      </c>
      <c r="W304" t="s">
        <v>53</v>
      </c>
      <c r="X304" t="s">
        <v>53</v>
      </c>
      <c r="Y304" t="s">
        <v>437</v>
      </c>
      <c r="Z304" t="str">
        <f t="shared" si="8"/>
        <v>Mayor que 160 - hasta 180</v>
      </c>
      <c r="AA304">
        <f t="shared" si="9"/>
        <v>1</v>
      </c>
      <c r="AB304">
        <v>15806</v>
      </c>
      <c r="AC304" t="s">
        <v>234</v>
      </c>
      <c r="AD304" t="s">
        <v>421</v>
      </c>
      <c r="AE304">
        <v>0.31785099999999999</v>
      </c>
      <c r="AF304" t="s">
        <v>63</v>
      </c>
      <c r="AG304">
        <v>11.995331999999999</v>
      </c>
      <c r="AH304" t="s">
        <v>234</v>
      </c>
      <c r="AI304" t="s">
        <v>407</v>
      </c>
      <c r="AJ304">
        <v>1.4602900000000001</v>
      </c>
      <c r="AK304" t="s">
        <v>76</v>
      </c>
      <c r="AL304">
        <v>64.976658999999998</v>
      </c>
      <c r="AM304" s="4" t="s">
        <v>65</v>
      </c>
      <c r="AN304" s="5">
        <v>7507.2061598617147</v>
      </c>
      <c r="AO304" s="4" t="s">
        <v>65</v>
      </c>
      <c r="AP304" s="6">
        <v>6648</v>
      </c>
      <c r="AQ304">
        <v>4</v>
      </c>
      <c r="AR304">
        <v>3887.7696350000001</v>
      </c>
      <c r="AS304" t="s">
        <v>66</v>
      </c>
      <c r="AT304" t="s">
        <v>53</v>
      </c>
    </row>
    <row r="305" spans="1:46">
      <c r="A305">
        <v>743</v>
      </c>
      <c r="B305" t="s">
        <v>46</v>
      </c>
      <c r="C305">
        <v>15</v>
      </c>
      <c r="D305">
        <v>808</v>
      </c>
      <c r="E305" t="s">
        <v>538</v>
      </c>
      <c r="F305" t="s">
        <v>408</v>
      </c>
      <c r="G305">
        <v>15808</v>
      </c>
      <c r="H305">
        <v>15808</v>
      </c>
      <c r="I305" t="s">
        <v>49</v>
      </c>
      <c r="J305">
        <v>1510</v>
      </c>
      <c r="K305" t="s">
        <v>418</v>
      </c>
      <c r="L305" t="s">
        <v>80</v>
      </c>
      <c r="M305" t="s">
        <v>53</v>
      </c>
      <c r="N305">
        <v>3496</v>
      </c>
      <c r="O305" t="s">
        <v>53</v>
      </c>
      <c r="P305" t="s">
        <v>70</v>
      </c>
      <c r="Q305" t="s">
        <v>71</v>
      </c>
      <c r="R305" t="s">
        <v>56</v>
      </c>
      <c r="S305" t="s">
        <v>57</v>
      </c>
      <c r="T305" t="s">
        <v>58</v>
      </c>
      <c r="U305" t="s">
        <v>81</v>
      </c>
      <c r="V305">
        <v>0.59836900000000004</v>
      </c>
      <c r="W305" t="s">
        <v>53</v>
      </c>
      <c r="X305" t="s">
        <v>53</v>
      </c>
      <c r="Y305" t="s">
        <v>87</v>
      </c>
      <c r="Z305" t="str">
        <f t="shared" si="8"/>
        <v>Mayor que 40 - hasta 50</v>
      </c>
      <c r="AA305">
        <f t="shared" si="9"/>
        <v>1</v>
      </c>
      <c r="AB305">
        <v>15808</v>
      </c>
      <c r="AC305" t="s">
        <v>234</v>
      </c>
      <c r="AD305" t="s">
        <v>428</v>
      </c>
      <c r="AE305">
        <v>0.65360499999999999</v>
      </c>
      <c r="AF305" t="s">
        <v>63</v>
      </c>
      <c r="AG305">
        <v>26.042135999999999</v>
      </c>
      <c r="AH305" t="s">
        <v>234</v>
      </c>
      <c r="AI305" t="s">
        <v>407</v>
      </c>
      <c r="AJ305">
        <v>1.4102399999999999</v>
      </c>
      <c r="AK305" t="s">
        <v>76</v>
      </c>
      <c r="AL305">
        <v>46.280107999999998</v>
      </c>
      <c r="AM305" s="4" t="s">
        <v>65</v>
      </c>
      <c r="AN305" s="5">
        <v>4804.3886996530509</v>
      </c>
      <c r="AO305" s="4" t="s">
        <v>65</v>
      </c>
      <c r="AP305" s="6">
        <v>2006</v>
      </c>
      <c r="AQ305">
        <v>3</v>
      </c>
      <c r="AR305">
        <v>2131.3536989999998</v>
      </c>
      <c r="AS305" t="s">
        <v>66</v>
      </c>
      <c r="AT305" t="s">
        <v>53</v>
      </c>
    </row>
    <row r="306" spans="1:46">
      <c r="A306">
        <v>744</v>
      </c>
      <c r="B306" t="s">
        <v>46</v>
      </c>
      <c r="C306">
        <v>15</v>
      </c>
      <c r="D306">
        <v>810</v>
      </c>
      <c r="E306" t="s">
        <v>539</v>
      </c>
      <c r="F306" t="s">
        <v>408</v>
      </c>
      <c r="G306">
        <v>15810</v>
      </c>
      <c r="H306">
        <v>15810</v>
      </c>
      <c r="I306" t="s">
        <v>49</v>
      </c>
      <c r="J306">
        <v>1507</v>
      </c>
      <c r="K306" t="s">
        <v>112</v>
      </c>
      <c r="L306" t="s">
        <v>80</v>
      </c>
      <c r="M306" t="s">
        <v>53</v>
      </c>
      <c r="N306">
        <v>3495</v>
      </c>
      <c r="O306" t="s">
        <v>53</v>
      </c>
      <c r="P306" t="s">
        <v>70</v>
      </c>
      <c r="Q306" t="s">
        <v>71</v>
      </c>
      <c r="R306" t="s">
        <v>93</v>
      </c>
      <c r="S306" t="s">
        <v>57</v>
      </c>
      <c r="T306" t="s">
        <v>58</v>
      </c>
      <c r="U306" t="s">
        <v>81</v>
      </c>
      <c r="V306">
        <v>0.657524</v>
      </c>
      <c r="W306" t="s">
        <v>53</v>
      </c>
      <c r="X306" t="s">
        <v>53</v>
      </c>
      <c r="Y306" t="s">
        <v>116</v>
      </c>
      <c r="Z306" t="str">
        <f t="shared" si="8"/>
        <v>Mayor que 30 - hasta 40</v>
      </c>
      <c r="AA306">
        <f t="shared" si="9"/>
        <v>1</v>
      </c>
      <c r="AB306">
        <v>15810</v>
      </c>
      <c r="AC306" t="s">
        <v>234</v>
      </c>
      <c r="AD306" t="s">
        <v>421</v>
      </c>
      <c r="AE306">
        <v>3.22228</v>
      </c>
      <c r="AF306" t="s">
        <v>84</v>
      </c>
      <c r="AG306">
        <v>103.465599</v>
      </c>
      <c r="AH306" t="s">
        <v>234</v>
      </c>
      <c r="AI306" t="s">
        <v>407</v>
      </c>
      <c r="AJ306">
        <v>4.4162410000000003</v>
      </c>
      <c r="AK306" t="s">
        <v>85</v>
      </c>
      <c r="AL306">
        <v>158.675353</v>
      </c>
      <c r="AM306" s="4" t="s">
        <v>65</v>
      </c>
      <c r="AN306" s="5">
        <v>3928.9347689287329</v>
      </c>
      <c r="AO306" s="4" t="s">
        <v>65</v>
      </c>
      <c r="AP306" s="6">
        <v>1939</v>
      </c>
      <c r="AQ306">
        <v>3</v>
      </c>
      <c r="AR306">
        <v>2330.8947710000002</v>
      </c>
      <c r="AS306" t="s">
        <v>66</v>
      </c>
      <c r="AT306" t="s">
        <v>53</v>
      </c>
    </row>
    <row r="307" spans="1:46">
      <c r="A307">
        <v>745</v>
      </c>
      <c r="B307" t="s">
        <v>46</v>
      </c>
      <c r="C307">
        <v>15</v>
      </c>
      <c r="D307">
        <v>814</v>
      </c>
      <c r="E307" t="s">
        <v>540</v>
      </c>
      <c r="F307" t="s">
        <v>408</v>
      </c>
      <c r="G307">
        <v>15814</v>
      </c>
      <c r="H307">
        <v>15814</v>
      </c>
      <c r="I307" t="s">
        <v>49</v>
      </c>
      <c r="J307">
        <v>1501</v>
      </c>
      <c r="K307" t="s">
        <v>409</v>
      </c>
      <c r="L307" t="s">
        <v>91</v>
      </c>
      <c r="M307" t="s">
        <v>53</v>
      </c>
      <c r="N307">
        <v>9329</v>
      </c>
      <c r="O307" t="s">
        <v>53</v>
      </c>
      <c r="P307" t="s">
        <v>70</v>
      </c>
      <c r="Q307" t="s">
        <v>71</v>
      </c>
      <c r="R307" t="s">
        <v>72</v>
      </c>
      <c r="S307" t="s">
        <v>57</v>
      </c>
      <c r="T307" t="s">
        <v>58</v>
      </c>
      <c r="U307" t="s">
        <v>81</v>
      </c>
      <c r="V307">
        <v>0.15109800000000001</v>
      </c>
      <c r="W307" t="s">
        <v>53</v>
      </c>
      <c r="X307" t="s">
        <v>53</v>
      </c>
      <c r="Y307" t="s">
        <v>136</v>
      </c>
      <c r="Z307" t="str">
        <f t="shared" si="8"/>
        <v>Mayor que 100 - hasta 120</v>
      </c>
      <c r="AA307">
        <f t="shared" si="9"/>
        <v>1</v>
      </c>
      <c r="AB307">
        <v>15814</v>
      </c>
      <c r="AC307" t="s">
        <v>234</v>
      </c>
      <c r="AD307" t="s">
        <v>407</v>
      </c>
      <c r="AE307">
        <v>0.91463399999999995</v>
      </c>
      <c r="AF307" t="s">
        <v>63</v>
      </c>
      <c r="AG307">
        <v>27.932085000000001</v>
      </c>
      <c r="AH307" t="s">
        <v>234</v>
      </c>
      <c r="AI307" t="s">
        <v>407</v>
      </c>
      <c r="AJ307">
        <v>0.89690199999999998</v>
      </c>
      <c r="AK307" t="s">
        <v>63</v>
      </c>
      <c r="AL307">
        <v>27.532084999999999</v>
      </c>
      <c r="AM307" s="4" t="s">
        <v>65</v>
      </c>
      <c r="AN307" s="5">
        <v>9972.8696198222879</v>
      </c>
      <c r="AO307" s="4" t="s">
        <v>65</v>
      </c>
      <c r="AP307" s="6">
        <v>4446</v>
      </c>
      <c r="AQ307">
        <v>3</v>
      </c>
      <c r="AR307">
        <v>7435.0322509999996</v>
      </c>
      <c r="AS307" t="s">
        <v>66</v>
      </c>
      <c r="AT307" t="s">
        <v>53</v>
      </c>
    </row>
    <row r="308" spans="1:46">
      <c r="A308">
        <v>746</v>
      </c>
      <c r="B308" t="s">
        <v>46</v>
      </c>
      <c r="C308">
        <v>15</v>
      </c>
      <c r="D308">
        <v>816</v>
      </c>
      <c r="E308" t="s">
        <v>541</v>
      </c>
      <c r="F308" t="s">
        <v>408</v>
      </c>
      <c r="G308">
        <v>15816</v>
      </c>
      <c r="H308">
        <v>15816</v>
      </c>
      <c r="I308" t="s">
        <v>49</v>
      </c>
      <c r="J308">
        <v>1510</v>
      </c>
      <c r="K308" t="s">
        <v>418</v>
      </c>
      <c r="L308" t="s">
        <v>80</v>
      </c>
      <c r="M308" t="s">
        <v>53</v>
      </c>
      <c r="N308">
        <v>4582</v>
      </c>
      <c r="O308" t="s">
        <v>53</v>
      </c>
      <c r="P308" t="s">
        <v>70</v>
      </c>
      <c r="Q308" t="s">
        <v>71</v>
      </c>
      <c r="R308" t="s">
        <v>56</v>
      </c>
      <c r="S308" t="s">
        <v>57</v>
      </c>
      <c r="T308" t="s">
        <v>58</v>
      </c>
      <c r="U308" t="s">
        <v>81</v>
      </c>
      <c r="V308">
        <v>0.66279500000000002</v>
      </c>
      <c r="W308" t="s">
        <v>53</v>
      </c>
      <c r="X308" t="s">
        <v>53</v>
      </c>
      <c r="Y308" t="s">
        <v>116</v>
      </c>
      <c r="Z308" t="str">
        <f t="shared" si="8"/>
        <v>Mayor que 30 - hasta 40</v>
      </c>
      <c r="AA308">
        <f t="shared" si="9"/>
        <v>1</v>
      </c>
      <c r="AB308">
        <v>15816</v>
      </c>
      <c r="AC308" t="s">
        <v>282</v>
      </c>
      <c r="AD308" t="s">
        <v>88</v>
      </c>
      <c r="AE308">
        <v>0.74765300000000001</v>
      </c>
      <c r="AF308" t="s">
        <v>63</v>
      </c>
      <c r="AG308">
        <v>20.427921999999999</v>
      </c>
      <c r="AH308" t="s">
        <v>234</v>
      </c>
      <c r="AI308" t="s">
        <v>407</v>
      </c>
      <c r="AJ308">
        <v>2.8701639999999999</v>
      </c>
      <c r="AK308" t="s">
        <v>77</v>
      </c>
      <c r="AL308">
        <v>69.352395000000001</v>
      </c>
      <c r="AM308" s="4" t="s">
        <v>65</v>
      </c>
      <c r="AN308" s="5">
        <v>7236.431611270189</v>
      </c>
      <c r="AO308" s="4" t="s">
        <v>65</v>
      </c>
      <c r="AP308" s="6">
        <v>2461</v>
      </c>
      <c r="AQ308">
        <v>3</v>
      </c>
      <c r="AR308">
        <v>3412.009474</v>
      </c>
      <c r="AS308" t="s">
        <v>66</v>
      </c>
      <c r="AT308" t="s">
        <v>53</v>
      </c>
    </row>
    <row r="309" spans="1:46">
      <c r="A309">
        <v>747</v>
      </c>
      <c r="B309" t="s">
        <v>46</v>
      </c>
      <c r="C309">
        <v>15</v>
      </c>
      <c r="D309">
        <v>820</v>
      </c>
      <c r="E309" t="s">
        <v>542</v>
      </c>
      <c r="F309" t="s">
        <v>408</v>
      </c>
      <c r="G309">
        <v>15820</v>
      </c>
      <c r="H309">
        <v>15820</v>
      </c>
      <c r="I309" t="s">
        <v>49</v>
      </c>
      <c r="J309">
        <v>1511</v>
      </c>
      <c r="K309" t="s">
        <v>413</v>
      </c>
      <c r="L309" t="s">
        <v>91</v>
      </c>
      <c r="M309" t="s">
        <v>53</v>
      </c>
      <c r="N309">
        <v>3832</v>
      </c>
      <c r="O309" t="s">
        <v>53</v>
      </c>
      <c r="P309" t="s">
        <v>70</v>
      </c>
      <c r="Q309" t="s">
        <v>71</v>
      </c>
      <c r="R309" t="s">
        <v>122</v>
      </c>
      <c r="S309" t="s">
        <v>57</v>
      </c>
      <c r="T309" t="s">
        <v>58</v>
      </c>
      <c r="U309" t="s">
        <v>81</v>
      </c>
      <c r="V309">
        <v>0.82683600000000002</v>
      </c>
      <c r="W309" t="s">
        <v>53</v>
      </c>
      <c r="X309" t="s">
        <v>53</v>
      </c>
      <c r="Y309" t="s">
        <v>127</v>
      </c>
      <c r="Z309" t="str">
        <f t="shared" si="8"/>
        <v>Mayor que 70 - hasta 80</v>
      </c>
      <c r="AA309">
        <f t="shared" si="9"/>
        <v>1</v>
      </c>
      <c r="AB309">
        <v>15820</v>
      </c>
      <c r="AC309" t="s">
        <v>234</v>
      </c>
      <c r="AD309" t="s">
        <v>416</v>
      </c>
      <c r="AE309">
        <v>0.71420899999999998</v>
      </c>
      <c r="AF309" t="s">
        <v>63</v>
      </c>
      <c r="AG309">
        <v>13.929646</v>
      </c>
      <c r="AH309" t="s">
        <v>234</v>
      </c>
      <c r="AI309" t="s">
        <v>407</v>
      </c>
      <c r="AJ309">
        <v>2.1442739999999998</v>
      </c>
      <c r="AK309" t="s">
        <v>77</v>
      </c>
      <c r="AL309">
        <v>82.444783000000001</v>
      </c>
      <c r="AM309" s="4" t="s">
        <v>65</v>
      </c>
      <c r="AN309" s="5">
        <v>2657.6915882575518</v>
      </c>
      <c r="AO309" s="4" t="s">
        <v>65</v>
      </c>
      <c r="AP309" s="6">
        <v>2972</v>
      </c>
      <c r="AQ309">
        <v>5</v>
      </c>
      <c r="AR309">
        <v>1962.8643059999999</v>
      </c>
      <c r="AS309" t="s">
        <v>66</v>
      </c>
      <c r="AT309" t="s">
        <v>53</v>
      </c>
    </row>
    <row r="310" spans="1:46">
      <c r="A310">
        <v>748</v>
      </c>
      <c r="B310" t="s">
        <v>46</v>
      </c>
      <c r="C310">
        <v>15</v>
      </c>
      <c r="D310">
        <v>822</v>
      </c>
      <c r="E310" t="s">
        <v>543</v>
      </c>
      <c r="F310" t="s">
        <v>408</v>
      </c>
      <c r="G310">
        <v>15822</v>
      </c>
      <c r="H310">
        <v>15822</v>
      </c>
      <c r="I310" t="s">
        <v>49</v>
      </c>
      <c r="J310">
        <v>1511</v>
      </c>
      <c r="K310" t="s">
        <v>413</v>
      </c>
      <c r="L310" t="s">
        <v>80</v>
      </c>
      <c r="M310" t="s">
        <v>53</v>
      </c>
      <c r="N310">
        <v>5502</v>
      </c>
      <c r="O310" t="s">
        <v>53</v>
      </c>
      <c r="P310" t="s">
        <v>70</v>
      </c>
      <c r="Q310" t="s">
        <v>71</v>
      </c>
      <c r="R310" t="s">
        <v>56</v>
      </c>
      <c r="S310" t="s">
        <v>57</v>
      </c>
      <c r="T310" t="s">
        <v>58</v>
      </c>
      <c r="U310" t="s">
        <v>81</v>
      </c>
      <c r="V310">
        <v>0.93482100000000001</v>
      </c>
      <c r="W310">
        <v>2021</v>
      </c>
      <c r="X310" t="s">
        <v>454</v>
      </c>
      <c r="Y310" t="s">
        <v>455</v>
      </c>
      <c r="Z310" t="str">
        <f t="shared" si="8"/>
        <v>Mayor que 250 - hasta 300</v>
      </c>
      <c r="AA310">
        <f t="shared" si="9"/>
        <v>0</v>
      </c>
      <c r="AB310">
        <v>15822</v>
      </c>
      <c r="AC310" t="s">
        <v>234</v>
      </c>
      <c r="AD310" t="s">
        <v>416</v>
      </c>
      <c r="AE310">
        <v>0.90863700000000003</v>
      </c>
      <c r="AF310" t="s">
        <v>63</v>
      </c>
      <c r="AG310">
        <v>23.507821</v>
      </c>
      <c r="AH310" t="s">
        <v>234</v>
      </c>
      <c r="AI310" t="s">
        <v>407</v>
      </c>
      <c r="AJ310">
        <v>2.4475609999999999</v>
      </c>
      <c r="AK310" t="s">
        <v>77</v>
      </c>
      <c r="AL310">
        <v>93.354329000000007</v>
      </c>
      <c r="AM310" t="s">
        <v>65</v>
      </c>
      <c r="AN310" s="7">
        <v>1009.667458721091</v>
      </c>
      <c r="AO310" t="s">
        <v>65</v>
      </c>
      <c r="AP310" s="3">
        <v>2064</v>
      </c>
      <c r="AQ310">
        <v>4</v>
      </c>
      <c r="AR310">
        <v>538.26916600000004</v>
      </c>
      <c r="AS310" t="s">
        <v>66</v>
      </c>
      <c r="AT310" t="s">
        <v>137</v>
      </c>
    </row>
    <row r="311" spans="1:46">
      <c r="A311">
        <v>749</v>
      </c>
      <c r="B311" t="s">
        <v>46</v>
      </c>
      <c r="C311">
        <v>15</v>
      </c>
      <c r="D311">
        <v>832</v>
      </c>
      <c r="E311" t="s">
        <v>544</v>
      </c>
      <c r="F311" t="s">
        <v>408</v>
      </c>
      <c r="G311">
        <v>15832</v>
      </c>
      <c r="H311">
        <v>15832</v>
      </c>
      <c r="I311" t="s">
        <v>49</v>
      </c>
      <c r="J311">
        <v>1508</v>
      </c>
      <c r="K311" t="s">
        <v>79</v>
      </c>
      <c r="L311" t="s">
        <v>80</v>
      </c>
      <c r="M311" t="s">
        <v>53</v>
      </c>
      <c r="N311">
        <v>1627</v>
      </c>
      <c r="O311" t="s">
        <v>53</v>
      </c>
      <c r="P311" t="s">
        <v>70</v>
      </c>
      <c r="Q311" t="s">
        <v>71</v>
      </c>
      <c r="R311" t="s">
        <v>56</v>
      </c>
      <c r="S311" t="s">
        <v>57</v>
      </c>
      <c r="T311" t="s">
        <v>58</v>
      </c>
      <c r="U311" t="s">
        <v>81</v>
      </c>
      <c r="V311">
        <v>0.86707299999999998</v>
      </c>
      <c r="W311" t="s">
        <v>53</v>
      </c>
      <c r="X311" t="s">
        <v>53</v>
      </c>
      <c r="Y311" t="s">
        <v>116</v>
      </c>
      <c r="Z311" t="str">
        <f t="shared" si="8"/>
        <v>Mayor que 30 - hasta 40</v>
      </c>
      <c r="AA311">
        <f t="shared" si="9"/>
        <v>1</v>
      </c>
      <c r="AB311">
        <v>15832</v>
      </c>
      <c r="AC311" t="s">
        <v>234</v>
      </c>
      <c r="AD311" t="s">
        <v>428</v>
      </c>
      <c r="AE311">
        <v>1.6428050000000001</v>
      </c>
      <c r="AF311" t="s">
        <v>76</v>
      </c>
      <c r="AG311">
        <v>39.127417000000001</v>
      </c>
      <c r="AH311" t="s">
        <v>234</v>
      </c>
      <c r="AI311" t="s">
        <v>407</v>
      </c>
      <c r="AJ311">
        <v>3.6504530000000002</v>
      </c>
      <c r="AK311" t="s">
        <v>84</v>
      </c>
      <c r="AL311">
        <v>111.049661</v>
      </c>
      <c r="AM311" s="4" t="s">
        <v>65</v>
      </c>
      <c r="AN311" s="5">
        <v>2273.3882670978633</v>
      </c>
      <c r="AO311" s="4" t="s">
        <v>65</v>
      </c>
      <c r="AP311" s="6">
        <v>733</v>
      </c>
      <c r="AQ311">
        <v>4</v>
      </c>
      <c r="AR311">
        <v>1569.929625</v>
      </c>
      <c r="AS311" t="s">
        <v>66</v>
      </c>
      <c r="AT311" t="s">
        <v>53</v>
      </c>
    </row>
    <row r="312" spans="1:46">
      <c r="A312">
        <v>750</v>
      </c>
      <c r="B312" t="s">
        <v>46</v>
      </c>
      <c r="C312">
        <v>15</v>
      </c>
      <c r="D312">
        <v>835</v>
      </c>
      <c r="E312" t="s">
        <v>545</v>
      </c>
      <c r="F312" t="s">
        <v>408</v>
      </c>
      <c r="G312">
        <v>15835</v>
      </c>
      <c r="H312">
        <v>15835</v>
      </c>
      <c r="I312" t="s">
        <v>49</v>
      </c>
      <c r="J312">
        <v>1505</v>
      </c>
      <c r="K312" t="s">
        <v>427</v>
      </c>
      <c r="L312" t="s">
        <v>91</v>
      </c>
      <c r="M312" t="s">
        <v>53</v>
      </c>
      <c r="N312">
        <v>6455</v>
      </c>
      <c r="O312" t="s">
        <v>53</v>
      </c>
      <c r="P312" t="s">
        <v>70</v>
      </c>
      <c r="Q312" t="s">
        <v>71</v>
      </c>
      <c r="R312" t="s">
        <v>105</v>
      </c>
      <c r="S312" t="s">
        <v>57</v>
      </c>
      <c r="T312" t="s">
        <v>58</v>
      </c>
      <c r="U312" t="s">
        <v>81</v>
      </c>
      <c r="V312">
        <v>0.77928900000000001</v>
      </c>
      <c r="W312" t="s">
        <v>53</v>
      </c>
      <c r="X312" t="s">
        <v>53</v>
      </c>
      <c r="Y312" t="s">
        <v>136</v>
      </c>
      <c r="Z312" t="str">
        <f t="shared" si="8"/>
        <v>Mayor que 100 - hasta 120</v>
      </c>
      <c r="AA312">
        <f t="shared" si="9"/>
        <v>1</v>
      </c>
      <c r="AB312">
        <v>15835</v>
      </c>
      <c r="AC312" t="s">
        <v>234</v>
      </c>
      <c r="AD312" t="s">
        <v>407</v>
      </c>
      <c r="AE312">
        <v>1.3252820000000001</v>
      </c>
      <c r="AF312" t="s">
        <v>76</v>
      </c>
      <c r="AG312">
        <v>37.517366000000003</v>
      </c>
      <c r="AH312" t="s">
        <v>234</v>
      </c>
      <c r="AI312" t="s">
        <v>407</v>
      </c>
      <c r="AJ312">
        <v>1.3324210000000001</v>
      </c>
      <c r="AK312" t="s">
        <v>76</v>
      </c>
      <c r="AL312">
        <v>37.858787999999997</v>
      </c>
      <c r="AM312" s="4" t="s">
        <v>65</v>
      </c>
      <c r="AN312" s="5">
        <v>7347.7360345914676</v>
      </c>
      <c r="AO312" s="4" t="s">
        <v>65</v>
      </c>
      <c r="AP312" s="6">
        <v>6245</v>
      </c>
      <c r="AQ312">
        <v>4</v>
      </c>
      <c r="AR312">
        <v>3736.2293800000002</v>
      </c>
      <c r="AS312" t="s">
        <v>66</v>
      </c>
      <c r="AT312" t="s">
        <v>53</v>
      </c>
    </row>
    <row r="313" spans="1:46">
      <c r="A313">
        <v>751</v>
      </c>
      <c r="B313" t="s">
        <v>46</v>
      </c>
      <c r="C313">
        <v>15</v>
      </c>
      <c r="D313">
        <v>837</v>
      </c>
      <c r="E313" t="s">
        <v>546</v>
      </c>
      <c r="F313" t="s">
        <v>408</v>
      </c>
      <c r="G313">
        <v>15837</v>
      </c>
      <c r="H313">
        <v>15837</v>
      </c>
      <c r="I313" t="s">
        <v>49</v>
      </c>
      <c r="J313">
        <v>1501</v>
      </c>
      <c r="K313" t="s">
        <v>409</v>
      </c>
      <c r="L313" t="s">
        <v>69</v>
      </c>
      <c r="M313" t="s">
        <v>53</v>
      </c>
      <c r="N313">
        <v>8839</v>
      </c>
      <c r="O313" t="s">
        <v>53</v>
      </c>
      <c r="P313" t="s">
        <v>70</v>
      </c>
      <c r="Q313" t="s">
        <v>71</v>
      </c>
      <c r="R313" t="s">
        <v>93</v>
      </c>
      <c r="S313" t="s">
        <v>57</v>
      </c>
      <c r="T313" t="s">
        <v>58</v>
      </c>
      <c r="U313" t="s">
        <v>81</v>
      </c>
      <c r="V313">
        <v>0.60624900000000004</v>
      </c>
      <c r="W313" t="s">
        <v>53</v>
      </c>
      <c r="X313" t="s">
        <v>53</v>
      </c>
      <c r="Y313" t="s">
        <v>136</v>
      </c>
      <c r="Z313" t="str">
        <f t="shared" si="8"/>
        <v>Mayor que 100 - hasta 120</v>
      </c>
      <c r="AA313">
        <f t="shared" si="9"/>
        <v>1</v>
      </c>
      <c r="AB313">
        <v>15837</v>
      </c>
      <c r="AC313" t="s">
        <v>234</v>
      </c>
      <c r="AD313" t="s">
        <v>407</v>
      </c>
      <c r="AE313">
        <v>0.70348999999999995</v>
      </c>
      <c r="AF313" t="s">
        <v>63</v>
      </c>
      <c r="AG313">
        <v>26.339192000000001</v>
      </c>
      <c r="AH313" t="s">
        <v>234</v>
      </c>
      <c r="AI313" t="s">
        <v>407</v>
      </c>
      <c r="AJ313">
        <v>0.68575900000000001</v>
      </c>
      <c r="AK313" t="s">
        <v>63</v>
      </c>
      <c r="AL313">
        <v>25.939191999999998</v>
      </c>
      <c r="AM313" s="4" t="s">
        <v>65</v>
      </c>
      <c r="AN313" s="5">
        <v>13394.337668552156</v>
      </c>
      <c r="AO313" s="4" t="s">
        <v>65</v>
      </c>
      <c r="AP313" s="6">
        <v>5414</v>
      </c>
      <c r="AQ313">
        <v>3</v>
      </c>
      <c r="AR313">
        <v>10679.514407999999</v>
      </c>
      <c r="AS313" t="s">
        <v>66</v>
      </c>
      <c r="AT313" t="s">
        <v>53</v>
      </c>
    </row>
    <row r="314" spans="1:46">
      <c r="A314">
        <v>752</v>
      </c>
      <c r="B314" t="s">
        <v>46</v>
      </c>
      <c r="C314">
        <v>15</v>
      </c>
      <c r="D314">
        <v>839</v>
      </c>
      <c r="E314" t="s">
        <v>547</v>
      </c>
      <c r="F314" t="s">
        <v>408</v>
      </c>
      <c r="G314">
        <v>15839</v>
      </c>
      <c r="H314">
        <v>15839</v>
      </c>
      <c r="I314" t="s">
        <v>49</v>
      </c>
      <c r="J314">
        <v>1512</v>
      </c>
      <c r="K314" t="s">
        <v>420</v>
      </c>
      <c r="L314" t="s">
        <v>80</v>
      </c>
      <c r="M314" t="s">
        <v>53</v>
      </c>
      <c r="N314">
        <v>2142</v>
      </c>
      <c r="O314" t="s">
        <v>53</v>
      </c>
      <c r="P314" t="s">
        <v>70</v>
      </c>
      <c r="Q314" t="s">
        <v>71</v>
      </c>
      <c r="R314" t="s">
        <v>122</v>
      </c>
      <c r="S314" t="s">
        <v>57</v>
      </c>
      <c r="T314" t="s">
        <v>58</v>
      </c>
      <c r="U314" t="s">
        <v>81</v>
      </c>
      <c r="V314">
        <v>0.83035700000000001</v>
      </c>
      <c r="W314" t="s">
        <v>53</v>
      </c>
      <c r="X314" t="s">
        <v>53</v>
      </c>
      <c r="Y314" t="s">
        <v>167</v>
      </c>
      <c r="Z314" t="str">
        <f t="shared" si="8"/>
        <v>Mayor que 50 - hasta 60</v>
      </c>
      <c r="AA314">
        <f t="shared" si="9"/>
        <v>1</v>
      </c>
      <c r="AB314">
        <v>15839</v>
      </c>
      <c r="AC314" t="s">
        <v>234</v>
      </c>
      <c r="AD314" t="s">
        <v>421</v>
      </c>
      <c r="AE314">
        <v>1.080716</v>
      </c>
      <c r="AF314" t="s">
        <v>76</v>
      </c>
      <c r="AG314">
        <v>39.327416999999997</v>
      </c>
      <c r="AH314" t="s">
        <v>234</v>
      </c>
      <c r="AI314" t="s">
        <v>407</v>
      </c>
      <c r="AJ314">
        <v>2.2746770000000001</v>
      </c>
      <c r="AK314" t="s">
        <v>77</v>
      </c>
      <c r="AL314">
        <v>94.537171999999998</v>
      </c>
      <c r="AM314" s="4" t="s">
        <v>65</v>
      </c>
      <c r="AN314" s="5">
        <v>2051.7738067206678</v>
      </c>
      <c r="AO314" s="4" t="s">
        <v>65</v>
      </c>
      <c r="AP314" s="6">
        <v>648</v>
      </c>
      <c r="AQ314">
        <v>4</v>
      </c>
      <c r="AR314">
        <v>1738.8371749999999</v>
      </c>
      <c r="AS314" t="s">
        <v>66</v>
      </c>
      <c r="AT314" t="s">
        <v>53</v>
      </c>
    </row>
    <row r="315" spans="1:46">
      <c r="A315">
        <v>669</v>
      </c>
      <c r="B315" t="s">
        <v>46</v>
      </c>
      <c r="C315">
        <v>15</v>
      </c>
      <c r="D315">
        <v>842</v>
      </c>
      <c r="E315" t="s">
        <v>548</v>
      </c>
      <c r="F315" t="s">
        <v>408</v>
      </c>
      <c r="G315">
        <v>15842</v>
      </c>
      <c r="H315">
        <v>15842</v>
      </c>
      <c r="I315" t="s">
        <v>49</v>
      </c>
      <c r="J315">
        <v>1505</v>
      </c>
      <c r="K315" t="s">
        <v>427</v>
      </c>
      <c r="L315" t="s">
        <v>69</v>
      </c>
      <c r="M315" t="s">
        <v>53</v>
      </c>
      <c r="N315">
        <v>7954</v>
      </c>
      <c r="O315" t="s">
        <v>53</v>
      </c>
      <c r="P315" t="s">
        <v>70</v>
      </c>
      <c r="Q315" t="s">
        <v>71</v>
      </c>
      <c r="R315" t="s">
        <v>56</v>
      </c>
      <c r="S315" t="s">
        <v>57</v>
      </c>
      <c r="T315" t="s">
        <v>58</v>
      </c>
      <c r="U315" t="s">
        <v>81</v>
      </c>
      <c r="V315">
        <v>0.79508100000000004</v>
      </c>
      <c r="W315">
        <v>2015</v>
      </c>
      <c r="X315" t="s">
        <v>109</v>
      </c>
      <c r="Y315" t="s">
        <v>87</v>
      </c>
      <c r="Z315" t="str">
        <f t="shared" si="8"/>
        <v>Mayor que 40 - hasta 50</v>
      </c>
      <c r="AA315">
        <f t="shared" si="9"/>
        <v>1</v>
      </c>
      <c r="AB315">
        <v>15842</v>
      </c>
      <c r="AC315" t="s">
        <v>330</v>
      </c>
      <c r="AD315" t="s">
        <v>411</v>
      </c>
      <c r="AE315">
        <v>2.1048779999999998</v>
      </c>
      <c r="AF315" t="s">
        <v>77</v>
      </c>
      <c r="AG315">
        <v>69.009249999999994</v>
      </c>
      <c r="AH315" t="s">
        <v>234</v>
      </c>
      <c r="AI315" t="s">
        <v>407</v>
      </c>
      <c r="AJ315">
        <v>2.2394159999999999</v>
      </c>
      <c r="AK315" t="s">
        <v>77</v>
      </c>
      <c r="AL315">
        <v>51.008535000000002</v>
      </c>
      <c r="AM315" t="s">
        <v>65</v>
      </c>
      <c r="AN315" s="7">
        <v>1626.299483076064</v>
      </c>
      <c r="AO315" t="s">
        <v>65</v>
      </c>
      <c r="AP315" s="3">
        <v>1320</v>
      </c>
      <c r="AQ315">
        <v>2</v>
      </c>
      <c r="AR315">
        <v>1082.670134</v>
      </c>
      <c r="AS315" t="s">
        <v>66</v>
      </c>
      <c r="AT315" t="s">
        <v>137</v>
      </c>
    </row>
    <row r="316" spans="1:46">
      <c r="A316">
        <v>670</v>
      </c>
      <c r="B316" t="s">
        <v>46</v>
      </c>
      <c r="C316">
        <v>15</v>
      </c>
      <c r="D316">
        <v>861</v>
      </c>
      <c r="E316" t="s">
        <v>549</v>
      </c>
      <c r="F316" t="s">
        <v>408</v>
      </c>
      <c r="G316">
        <v>15861</v>
      </c>
      <c r="H316">
        <v>15861</v>
      </c>
      <c r="I316" t="s">
        <v>49</v>
      </c>
      <c r="J316">
        <v>1501</v>
      </c>
      <c r="K316" t="s">
        <v>409</v>
      </c>
      <c r="L316" t="s">
        <v>91</v>
      </c>
      <c r="M316" t="s">
        <v>53</v>
      </c>
      <c r="N316">
        <v>16856</v>
      </c>
      <c r="O316" t="s">
        <v>53</v>
      </c>
      <c r="P316" t="s">
        <v>70</v>
      </c>
      <c r="Q316" t="s">
        <v>71</v>
      </c>
      <c r="R316" t="s">
        <v>72</v>
      </c>
      <c r="S316" t="s">
        <v>57</v>
      </c>
      <c r="T316" t="s">
        <v>58</v>
      </c>
      <c r="U316" t="s">
        <v>81</v>
      </c>
      <c r="V316">
        <v>0.27920200000000001</v>
      </c>
      <c r="W316" t="s">
        <v>53</v>
      </c>
      <c r="X316" t="s">
        <v>53</v>
      </c>
      <c r="Y316" t="s">
        <v>136</v>
      </c>
      <c r="Z316" t="str">
        <f t="shared" si="8"/>
        <v>Mayor que 100 - hasta 120</v>
      </c>
      <c r="AA316">
        <f t="shared" si="9"/>
        <v>1</v>
      </c>
      <c r="AB316">
        <v>15861</v>
      </c>
      <c r="AC316" t="s">
        <v>234</v>
      </c>
      <c r="AD316" t="s">
        <v>407</v>
      </c>
      <c r="AE316">
        <v>0.97965899999999995</v>
      </c>
      <c r="AF316" t="s">
        <v>63</v>
      </c>
      <c r="AG316">
        <v>33.088939000000003</v>
      </c>
      <c r="AH316" t="s">
        <v>234</v>
      </c>
      <c r="AI316" t="s">
        <v>407</v>
      </c>
      <c r="AJ316">
        <v>0.98679799999999995</v>
      </c>
      <c r="AK316" t="s">
        <v>63</v>
      </c>
      <c r="AL316">
        <v>33.430360999999998</v>
      </c>
      <c r="AM316" s="4" t="s">
        <v>65</v>
      </c>
      <c r="AN316" s="5">
        <v>12898.303226935894</v>
      </c>
      <c r="AO316" s="4" t="s">
        <v>65</v>
      </c>
      <c r="AP316" s="6">
        <v>10597</v>
      </c>
      <c r="AQ316">
        <v>3</v>
      </c>
      <c r="AR316">
        <v>8976.1449819999998</v>
      </c>
      <c r="AS316" t="s">
        <v>66</v>
      </c>
      <c r="AT316" t="s">
        <v>53</v>
      </c>
    </row>
    <row r="317" spans="1:46">
      <c r="A317">
        <v>671</v>
      </c>
      <c r="B317" t="s">
        <v>46</v>
      </c>
      <c r="C317">
        <v>15</v>
      </c>
      <c r="D317">
        <v>879</v>
      </c>
      <c r="E317" t="s">
        <v>550</v>
      </c>
      <c r="F317" t="s">
        <v>408</v>
      </c>
      <c r="G317">
        <v>15879</v>
      </c>
      <c r="H317">
        <v>15879</v>
      </c>
      <c r="I317" t="s">
        <v>49</v>
      </c>
      <c r="J317">
        <v>1505</v>
      </c>
      <c r="K317" t="s">
        <v>427</v>
      </c>
      <c r="L317" t="s">
        <v>80</v>
      </c>
      <c r="M317" t="s">
        <v>53</v>
      </c>
      <c r="N317">
        <v>2985</v>
      </c>
      <c r="O317" t="s">
        <v>53</v>
      </c>
      <c r="P317" t="s">
        <v>70</v>
      </c>
      <c r="Q317" t="s">
        <v>71</v>
      </c>
      <c r="R317" t="s">
        <v>56</v>
      </c>
      <c r="S317" t="s">
        <v>57</v>
      </c>
      <c r="T317" t="s">
        <v>58</v>
      </c>
      <c r="U317" t="s">
        <v>81</v>
      </c>
      <c r="V317">
        <v>0.84049399999999996</v>
      </c>
      <c r="W317" t="s">
        <v>53</v>
      </c>
      <c r="X317" t="s">
        <v>53</v>
      </c>
      <c r="Y317" t="s">
        <v>127</v>
      </c>
      <c r="Z317" t="str">
        <f t="shared" si="8"/>
        <v>Mayor que 70 - hasta 80</v>
      </c>
      <c r="AA317">
        <f t="shared" si="9"/>
        <v>1</v>
      </c>
      <c r="AB317">
        <v>15879</v>
      </c>
      <c r="AC317" t="s">
        <v>234</v>
      </c>
      <c r="AD317" t="s">
        <v>407</v>
      </c>
      <c r="AE317">
        <v>0.74256599999999995</v>
      </c>
      <c r="AF317" t="s">
        <v>63</v>
      </c>
      <c r="AG317">
        <v>20.086500999999998</v>
      </c>
      <c r="AH317" t="s">
        <v>234</v>
      </c>
      <c r="AI317" t="s">
        <v>407</v>
      </c>
      <c r="AJ317">
        <v>0.74970499999999995</v>
      </c>
      <c r="AK317" t="s">
        <v>63</v>
      </c>
      <c r="AL317">
        <v>20.427921999999999</v>
      </c>
      <c r="AM317" s="4" t="s">
        <v>65</v>
      </c>
      <c r="AN317" s="5">
        <v>4947.2029583654312</v>
      </c>
      <c r="AO317" s="4" t="s">
        <v>65</v>
      </c>
      <c r="AP317" s="6">
        <v>5026</v>
      </c>
      <c r="AQ317">
        <v>3</v>
      </c>
      <c r="AR317">
        <v>3403.5802640000002</v>
      </c>
      <c r="AS317" t="s">
        <v>66</v>
      </c>
      <c r="AT317" t="s">
        <v>53</v>
      </c>
    </row>
    <row r="318" spans="1:46">
      <c r="A318">
        <v>672</v>
      </c>
      <c r="B318" t="s">
        <v>46</v>
      </c>
      <c r="C318">
        <v>15</v>
      </c>
      <c r="D318">
        <v>897</v>
      </c>
      <c r="E318" t="s">
        <v>551</v>
      </c>
      <c r="F318" t="s">
        <v>408</v>
      </c>
      <c r="G318">
        <v>15897</v>
      </c>
      <c r="H318">
        <v>15897</v>
      </c>
      <c r="I318" t="s">
        <v>49</v>
      </c>
      <c r="J318">
        <v>1504</v>
      </c>
      <c r="K318" t="s">
        <v>423</v>
      </c>
      <c r="L318" t="s">
        <v>80</v>
      </c>
      <c r="M318" t="s">
        <v>53</v>
      </c>
      <c r="N318">
        <v>4896</v>
      </c>
      <c r="O318" t="s">
        <v>53</v>
      </c>
      <c r="P318" t="s">
        <v>70</v>
      </c>
      <c r="Q318" t="s">
        <v>71</v>
      </c>
      <c r="R318" t="s">
        <v>122</v>
      </c>
      <c r="S318" t="s">
        <v>57</v>
      </c>
      <c r="T318" t="s">
        <v>58</v>
      </c>
      <c r="U318" t="s">
        <v>81</v>
      </c>
      <c r="V318">
        <v>0.66733900000000002</v>
      </c>
      <c r="W318" t="s">
        <v>53</v>
      </c>
      <c r="X318" t="s">
        <v>53</v>
      </c>
      <c r="Y318" t="s">
        <v>102</v>
      </c>
      <c r="Z318" t="str">
        <f t="shared" si="8"/>
        <v>Mayor que 20 - hasta 30</v>
      </c>
      <c r="AA318">
        <f t="shared" si="9"/>
        <v>1</v>
      </c>
      <c r="AB318">
        <v>15897</v>
      </c>
      <c r="AC318" t="s">
        <v>234</v>
      </c>
      <c r="AD318" t="s">
        <v>407</v>
      </c>
      <c r="AE318">
        <v>2.2454999999999998</v>
      </c>
      <c r="AF318" t="s">
        <v>77</v>
      </c>
      <c r="AG318">
        <v>53.547013</v>
      </c>
      <c r="AH318" t="s">
        <v>234</v>
      </c>
      <c r="AI318" t="s">
        <v>407</v>
      </c>
      <c r="AJ318">
        <v>2.2526389999999998</v>
      </c>
      <c r="AK318" t="s">
        <v>77</v>
      </c>
      <c r="AL318">
        <v>53.888433999999997</v>
      </c>
      <c r="AM318" s="4" t="s">
        <v>65</v>
      </c>
      <c r="AN318" s="5">
        <v>11158.741158623161</v>
      </c>
      <c r="AO318" s="4" t="s">
        <v>65</v>
      </c>
      <c r="AP318" s="6">
        <v>3388</v>
      </c>
      <c r="AQ318">
        <v>4</v>
      </c>
      <c r="AR318">
        <v>13534.172063</v>
      </c>
      <c r="AS318" t="s">
        <v>66</v>
      </c>
      <c r="AT318" t="s">
        <v>53</v>
      </c>
    </row>
    <row r="319" spans="1:46">
      <c r="A319">
        <v>228</v>
      </c>
      <c r="B319" t="s">
        <v>46</v>
      </c>
      <c r="C319">
        <v>17</v>
      </c>
      <c r="D319">
        <v>1</v>
      </c>
      <c r="E319" t="s">
        <v>163</v>
      </c>
      <c r="F319" t="s">
        <v>96</v>
      </c>
      <c r="G319">
        <v>17001</v>
      </c>
      <c r="H319">
        <v>17001</v>
      </c>
      <c r="I319" t="s">
        <v>49</v>
      </c>
      <c r="J319">
        <v>1704</v>
      </c>
      <c r="K319" t="s">
        <v>409</v>
      </c>
      <c r="L319" t="s">
        <v>51</v>
      </c>
      <c r="M319" t="s">
        <v>52</v>
      </c>
      <c r="N319">
        <v>454494</v>
      </c>
      <c r="O319" t="s">
        <v>53</v>
      </c>
      <c r="P319" t="s">
        <v>54</v>
      </c>
      <c r="Q319" t="s">
        <v>138</v>
      </c>
      <c r="R319" t="s">
        <v>122</v>
      </c>
      <c r="S319" t="s">
        <v>57</v>
      </c>
      <c r="T319" t="s">
        <v>58</v>
      </c>
      <c r="U319" t="s">
        <v>81</v>
      </c>
      <c r="V319">
        <v>0.36546800000000002</v>
      </c>
      <c r="W319" t="s">
        <v>53</v>
      </c>
      <c r="X319" t="s">
        <v>53</v>
      </c>
      <c r="Y319" t="s">
        <v>183</v>
      </c>
      <c r="Z319" t="str">
        <f t="shared" si="8"/>
        <v>Mayor que 120 - hasta 140</v>
      </c>
      <c r="AA319">
        <f t="shared" si="9"/>
        <v>1</v>
      </c>
      <c r="AB319">
        <v>17001</v>
      </c>
      <c r="AC319" t="s">
        <v>161</v>
      </c>
      <c r="AD319" t="s">
        <v>163</v>
      </c>
      <c r="AE319">
        <v>0</v>
      </c>
      <c r="AF319" t="s">
        <v>63</v>
      </c>
      <c r="AG319">
        <v>0</v>
      </c>
      <c r="AH319" t="s">
        <v>161</v>
      </c>
      <c r="AI319" t="s">
        <v>163</v>
      </c>
      <c r="AJ319">
        <v>0</v>
      </c>
      <c r="AK319" t="s">
        <v>63</v>
      </c>
      <c r="AL319">
        <v>0</v>
      </c>
      <c r="AM319" s="4" t="s">
        <v>64</v>
      </c>
      <c r="AN319" s="5">
        <v>13642.432235322594</v>
      </c>
      <c r="AO319" s="4" t="s">
        <v>65</v>
      </c>
      <c r="AP319" s="6">
        <v>4939</v>
      </c>
      <c r="AQ319">
        <v>3</v>
      </c>
      <c r="AR319">
        <v>16522.504946000001</v>
      </c>
      <c r="AS319" t="s">
        <v>66</v>
      </c>
      <c r="AT319" t="s">
        <v>53</v>
      </c>
    </row>
    <row r="320" spans="1:46">
      <c r="A320">
        <v>229</v>
      </c>
      <c r="B320" t="s">
        <v>46</v>
      </c>
      <c r="C320">
        <v>17</v>
      </c>
      <c r="D320">
        <v>13</v>
      </c>
      <c r="E320" t="s">
        <v>552</v>
      </c>
      <c r="F320" t="s">
        <v>96</v>
      </c>
      <c r="G320">
        <v>17013</v>
      </c>
      <c r="H320">
        <v>17013</v>
      </c>
      <c r="I320" t="s">
        <v>49</v>
      </c>
      <c r="J320">
        <v>1706</v>
      </c>
      <c r="K320" t="s">
        <v>112</v>
      </c>
      <c r="L320" t="s">
        <v>69</v>
      </c>
      <c r="M320" t="s">
        <v>53</v>
      </c>
      <c r="N320">
        <v>23403</v>
      </c>
      <c r="O320" t="s">
        <v>53</v>
      </c>
      <c r="P320" t="s">
        <v>70</v>
      </c>
      <c r="Q320" t="s">
        <v>71</v>
      </c>
      <c r="R320" t="s">
        <v>72</v>
      </c>
      <c r="S320" t="s">
        <v>57</v>
      </c>
      <c r="T320" t="s">
        <v>58</v>
      </c>
      <c r="U320" t="s">
        <v>59</v>
      </c>
      <c r="V320">
        <v>0.33657599999999999</v>
      </c>
      <c r="W320" t="s">
        <v>53</v>
      </c>
      <c r="X320" t="s">
        <v>53</v>
      </c>
      <c r="Y320" t="s">
        <v>167</v>
      </c>
      <c r="Z320" t="str">
        <f t="shared" si="8"/>
        <v>Mayor que 50 - hasta 60</v>
      </c>
      <c r="AA320">
        <f t="shared" si="9"/>
        <v>1</v>
      </c>
      <c r="AB320">
        <v>17013</v>
      </c>
      <c r="AC320" t="s">
        <v>61</v>
      </c>
      <c r="AD320" t="s">
        <v>96</v>
      </c>
      <c r="AE320">
        <v>2.3636840000000001</v>
      </c>
      <c r="AF320" t="s">
        <v>77</v>
      </c>
      <c r="AG320">
        <v>86.974935000000002</v>
      </c>
      <c r="AH320" t="s">
        <v>61</v>
      </c>
      <c r="AI320" t="s">
        <v>62</v>
      </c>
      <c r="AJ320">
        <v>2.8393640000000002</v>
      </c>
      <c r="AK320" t="s">
        <v>77</v>
      </c>
      <c r="AL320">
        <v>110.18153700000001</v>
      </c>
      <c r="AM320" s="4" t="s">
        <v>64</v>
      </c>
      <c r="AN320" s="5">
        <v>23629.49174855779</v>
      </c>
      <c r="AO320" s="4" t="s">
        <v>65</v>
      </c>
      <c r="AP320" s="6">
        <v>5079</v>
      </c>
      <c r="AQ320">
        <v>4</v>
      </c>
      <c r="AR320">
        <v>21648.514858999999</v>
      </c>
      <c r="AS320" t="s">
        <v>66</v>
      </c>
      <c r="AT320" t="s">
        <v>53</v>
      </c>
    </row>
    <row r="321" spans="1:46">
      <c r="A321">
        <v>241</v>
      </c>
      <c r="B321" t="s">
        <v>46</v>
      </c>
      <c r="C321">
        <v>17</v>
      </c>
      <c r="D321">
        <v>42</v>
      </c>
      <c r="E321" t="s">
        <v>553</v>
      </c>
      <c r="F321" t="s">
        <v>96</v>
      </c>
      <c r="G321">
        <v>17042</v>
      </c>
      <c r="H321">
        <v>17042</v>
      </c>
      <c r="I321" t="s">
        <v>49</v>
      </c>
      <c r="J321">
        <v>1703</v>
      </c>
      <c r="K321" t="s">
        <v>554</v>
      </c>
      <c r="L321" t="s">
        <v>91</v>
      </c>
      <c r="M321" t="s">
        <v>53</v>
      </c>
      <c r="N321">
        <v>37366</v>
      </c>
      <c r="O321" t="s">
        <v>53</v>
      </c>
      <c r="P321" t="s">
        <v>92</v>
      </c>
      <c r="Q321" t="s">
        <v>71</v>
      </c>
      <c r="R321" t="s">
        <v>72</v>
      </c>
      <c r="S321" t="s">
        <v>57</v>
      </c>
      <c r="T321" t="s">
        <v>73</v>
      </c>
      <c r="U321" t="s">
        <v>59</v>
      </c>
      <c r="V321">
        <v>0.51352699999999996</v>
      </c>
      <c r="W321" t="s">
        <v>53</v>
      </c>
      <c r="X321" t="s">
        <v>53</v>
      </c>
      <c r="Y321" t="s">
        <v>167</v>
      </c>
      <c r="Z321" t="str">
        <f t="shared" si="8"/>
        <v>Mayor que 50 - hasta 60</v>
      </c>
      <c r="AA321">
        <f t="shared" si="9"/>
        <v>1</v>
      </c>
      <c r="AB321">
        <v>17042</v>
      </c>
      <c r="AC321" t="s">
        <v>555</v>
      </c>
      <c r="AD321" t="s">
        <v>556</v>
      </c>
      <c r="AE321">
        <v>1.2008030000000001</v>
      </c>
      <c r="AF321" t="s">
        <v>76</v>
      </c>
      <c r="AG321">
        <v>44.743355000000001</v>
      </c>
      <c r="AH321" t="s">
        <v>555</v>
      </c>
      <c r="AI321" t="s">
        <v>557</v>
      </c>
      <c r="AJ321">
        <v>1.9894670000000001</v>
      </c>
      <c r="AK321" t="s">
        <v>76</v>
      </c>
      <c r="AL321">
        <v>75.134018999999995</v>
      </c>
      <c r="AM321" s="4" t="s">
        <v>65</v>
      </c>
      <c r="AN321" s="5">
        <v>11230.346830784101</v>
      </c>
      <c r="AO321" s="4" t="s">
        <v>65</v>
      </c>
      <c r="AP321" s="6">
        <v>4253</v>
      </c>
      <c r="AQ321">
        <v>3</v>
      </c>
      <c r="AR321">
        <v>14414.754856</v>
      </c>
      <c r="AS321" t="s">
        <v>66</v>
      </c>
      <c r="AT321" t="s">
        <v>53</v>
      </c>
    </row>
    <row r="322" spans="1:46">
      <c r="A322">
        <v>240</v>
      </c>
      <c r="B322" t="s">
        <v>46</v>
      </c>
      <c r="C322">
        <v>17</v>
      </c>
      <c r="D322">
        <v>50</v>
      </c>
      <c r="E322" t="s">
        <v>558</v>
      </c>
      <c r="F322" t="s">
        <v>96</v>
      </c>
      <c r="G322">
        <v>17050</v>
      </c>
      <c r="H322">
        <v>17050</v>
      </c>
      <c r="I322" t="s">
        <v>49</v>
      </c>
      <c r="J322">
        <v>1706</v>
      </c>
      <c r="K322" t="s">
        <v>112</v>
      </c>
      <c r="L322" t="s">
        <v>91</v>
      </c>
      <c r="M322" t="s">
        <v>53</v>
      </c>
      <c r="N322">
        <v>10792</v>
      </c>
      <c r="O322" t="s">
        <v>53</v>
      </c>
      <c r="P322" t="s">
        <v>70</v>
      </c>
      <c r="Q322" t="s">
        <v>71</v>
      </c>
      <c r="R322" t="s">
        <v>93</v>
      </c>
      <c r="S322" t="s">
        <v>57</v>
      </c>
      <c r="T322" t="s">
        <v>58</v>
      </c>
      <c r="U322" t="s">
        <v>81</v>
      </c>
      <c r="V322">
        <v>0.41620600000000002</v>
      </c>
      <c r="W322" t="s">
        <v>53</v>
      </c>
      <c r="X322" t="s">
        <v>53</v>
      </c>
      <c r="Y322" t="s">
        <v>87</v>
      </c>
      <c r="Z322" t="str">
        <f t="shared" si="8"/>
        <v>Mayor que 40 - hasta 50</v>
      </c>
      <c r="AA322">
        <f t="shared" si="9"/>
        <v>1</v>
      </c>
      <c r="AB322">
        <v>17050</v>
      </c>
      <c r="AC322" t="s">
        <v>161</v>
      </c>
      <c r="AD322" t="s">
        <v>163</v>
      </c>
      <c r="AE322">
        <v>1.8048280000000001</v>
      </c>
      <c r="AF322" t="s">
        <v>76</v>
      </c>
      <c r="AG322">
        <v>39.923254</v>
      </c>
      <c r="AH322" t="s">
        <v>161</v>
      </c>
      <c r="AI322" t="s">
        <v>163</v>
      </c>
      <c r="AJ322">
        <v>1.7682789999999999</v>
      </c>
      <c r="AK322" t="s">
        <v>76</v>
      </c>
      <c r="AL322">
        <v>41.396045999999998</v>
      </c>
      <c r="AM322" s="4" t="s">
        <v>64</v>
      </c>
      <c r="AN322" s="5">
        <v>7337.41196823051</v>
      </c>
      <c r="AO322" s="4" t="s">
        <v>65</v>
      </c>
      <c r="AP322" s="6">
        <v>2841</v>
      </c>
      <c r="AQ322">
        <v>3</v>
      </c>
      <c r="AR322">
        <v>7375.3700650000001</v>
      </c>
      <c r="AS322" t="s">
        <v>66</v>
      </c>
      <c r="AT322" t="s">
        <v>53</v>
      </c>
    </row>
    <row r="323" spans="1:46">
      <c r="A323">
        <v>239</v>
      </c>
      <c r="B323" t="s">
        <v>46</v>
      </c>
      <c r="C323">
        <v>17</v>
      </c>
      <c r="D323">
        <v>88</v>
      </c>
      <c r="E323" t="s">
        <v>559</v>
      </c>
      <c r="F323" t="s">
        <v>96</v>
      </c>
      <c r="G323">
        <v>17088</v>
      </c>
      <c r="H323">
        <v>17088</v>
      </c>
      <c r="I323" t="s">
        <v>49</v>
      </c>
      <c r="J323">
        <v>1703</v>
      </c>
      <c r="K323" t="s">
        <v>554</v>
      </c>
      <c r="L323" t="s">
        <v>91</v>
      </c>
      <c r="M323" t="s">
        <v>53</v>
      </c>
      <c r="N323">
        <v>10894</v>
      </c>
      <c r="O323" t="s">
        <v>53</v>
      </c>
      <c r="P323" t="s">
        <v>70</v>
      </c>
      <c r="Q323" t="s">
        <v>71</v>
      </c>
      <c r="R323" t="s">
        <v>56</v>
      </c>
      <c r="S323" t="s">
        <v>57</v>
      </c>
      <c r="T323" t="s">
        <v>73</v>
      </c>
      <c r="U323" t="s">
        <v>81</v>
      </c>
      <c r="V323">
        <v>0.56419799999999998</v>
      </c>
      <c r="W323" t="s">
        <v>53</v>
      </c>
      <c r="X323" t="s">
        <v>53</v>
      </c>
      <c r="Y323" t="s">
        <v>87</v>
      </c>
      <c r="Z323" t="str">
        <f t="shared" ref="Z323:Z386" si="10">IF(LEFT(Y323,10)="Irradiado_",
   RIGHT(Y323, LEN(Y323)-10),   Y323)</f>
        <v>Mayor que 40 - hasta 50</v>
      </c>
      <c r="AA323">
        <f t="shared" ref="AA323:AA386" si="11">IF(LEFT(Y323,10)="Irradiado_", 1, 0)</f>
        <v>1</v>
      </c>
      <c r="AB323">
        <v>17088</v>
      </c>
      <c r="AC323" t="s">
        <v>555</v>
      </c>
      <c r="AD323" t="s">
        <v>556</v>
      </c>
      <c r="AE323">
        <v>0.54542199999999996</v>
      </c>
      <c r="AF323" t="s">
        <v>63</v>
      </c>
      <c r="AG323">
        <v>18.212489000000001</v>
      </c>
      <c r="AH323" t="s">
        <v>555</v>
      </c>
      <c r="AI323" t="s">
        <v>557</v>
      </c>
      <c r="AJ323">
        <v>1.3340860000000001</v>
      </c>
      <c r="AK323" t="s">
        <v>76</v>
      </c>
      <c r="AL323">
        <v>48.603152999999999</v>
      </c>
      <c r="AM323" s="4" t="s">
        <v>65</v>
      </c>
      <c r="AN323" s="5">
        <v>5682.6139750251041</v>
      </c>
      <c r="AO323" s="4" t="s">
        <v>65</v>
      </c>
      <c r="AP323" s="6">
        <v>1688</v>
      </c>
      <c r="AQ323">
        <v>3</v>
      </c>
      <c r="AR323">
        <v>8702.5368729999991</v>
      </c>
      <c r="AS323" t="s">
        <v>66</v>
      </c>
      <c r="AT323" t="s">
        <v>53</v>
      </c>
    </row>
    <row r="324" spans="1:46">
      <c r="A324">
        <v>238</v>
      </c>
      <c r="B324" t="s">
        <v>46</v>
      </c>
      <c r="C324">
        <v>17</v>
      </c>
      <c r="D324">
        <v>174</v>
      </c>
      <c r="E324" t="s">
        <v>560</v>
      </c>
      <c r="F324" t="s">
        <v>96</v>
      </c>
      <c r="G324">
        <v>17174</v>
      </c>
      <c r="H324">
        <v>17174</v>
      </c>
      <c r="I324" t="s">
        <v>49</v>
      </c>
      <c r="J324">
        <v>1704</v>
      </c>
      <c r="K324" t="s">
        <v>409</v>
      </c>
      <c r="L324" t="s">
        <v>91</v>
      </c>
      <c r="M324" t="s">
        <v>53</v>
      </c>
      <c r="N324">
        <v>53317</v>
      </c>
      <c r="O324" t="s">
        <v>53</v>
      </c>
      <c r="P324" t="s">
        <v>92</v>
      </c>
      <c r="Q324" t="s">
        <v>118</v>
      </c>
      <c r="R324" t="s">
        <v>93</v>
      </c>
      <c r="S324" t="s">
        <v>57</v>
      </c>
      <c r="T324" t="s">
        <v>58</v>
      </c>
      <c r="U324" t="s">
        <v>81</v>
      </c>
      <c r="V324">
        <v>0.480597</v>
      </c>
      <c r="W324">
        <v>2024</v>
      </c>
      <c r="X324" t="s">
        <v>190</v>
      </c>
      <c r="Y324" t="s">
        <v>191</v>
      </c>
      <c r="Z324" t="str">
        <f t="shared" si="10"/>
        <v>Mayor que 100 - hasta 120</v>
      </c>
      <c r="AA324">
        <f t="shared" si="11"/>
        <v>0</v>
      </c>
      <c r="AB324">
        <v>17174</v>
      </c>
      <c r="AC324" t="s">
        <v>161</v>
      </c>
      <c r="AD324" t="s">
        <v>162</v>
      </c>
      <c r="AE324">
        <v>0</v>
      </c>
      <c r="AF324" t="s">
        <v>63</v>
      </c>
      <c r="AG324">
        <v>0</v>
      </c>
      <c r="AH324" t="s">
        <v>161</v>
      </c>
      <c r="AI324" t="s">
        <v>163</v>
      </c>
      <c r="AJ324">
        <v>0.54063600000000001</v>
      </c>
      <c r="AK324" t="s">
        <v>63</v>
      </c>
      <c r="AL324">
        <v>19.572286999999999</v>
      </c>
      <c r="AM324" s="4" t="s">
        <v>64</v>
      </c>
      <c r="AN324" s="5">
        <v>5155.5487779792857</v>
      </c>
      <c r="AO324" s="4" t="s">
        <v>65</v>
      </c>
      <c r="AP324" s="6">
        <v>1619</v>
      </c>
      <c r="AQ324">
        <v>3</v>
      </c>
      <c r="AR324">
        <v>7886.6649420000003</v>
      </c>
      <c r="AS324" t="s">
        <v>66</v>
      </c>
      <c r="AT324" t="s">
        <v>53</v>
      </c>
    </row>
    <row r="325" spans="1:46">
      <c r="A325">
        <v>237</v>
      </c>
      <c r="B325" t="s">
        <v>46</v>
      </c>
      <c r="C325">
        <v>17</v>
      </c>
      <c r="D325">
        <v>272</v>
      </c>
      <c r="E325" t="s">
        <v>561</v>
      </c>
      <c r="F325" t="s">
        <v>96</v>
      </c>
      <c r="G325">
        <v>17272</v>
      </c>
      <c r="H325">
        <v>17272</v>
      </c>
      <c r="I325" t="s">
        <v>49</v>
      </c>
      <c r="J325">
        <v>1701</v>
      </c>
      <c r="K325" t="s">
        <v>562</v>
      </c>
      <c r="L325" t="s">
        <v>69</v>
      </c>
      <c r="M325" t="s">
        <v>53</v>
      </c>
      <c r="N325">
        <v>11662</v>
      </c>
      <c r="O325" t="s">
        <v>53</v>
      </c>
      <c r="P325" t="s">
        <v>70</v>
      </c>
      <c r="Q325" t="s">
        <v>71</v>
      </c>
      <c r="R325" t="s">
        <v>72</v>
      </c>
      <c r="S325" t="s">
        <v>57</v>
      </c>
      <c r="T325" t="s">
        <v>58</v>
      </c>
      <c r="U325" t="s">
        <v>81</v>
      </c>
      <c r="V325">
        <v>0.52405199999999996</v>
      </c>
      <c r="W325" t="s">
        <v>53</v>
      </c>
      <c r="X325" t="s">
        <v>53</v>
      </c>
      <c r="Y325" t="s">
        <v>87</v>
      </c>
      <c r="Z325" t="str">
        <f t="shared" si="10"/>
        <v>Mayor que 40 - hasta 50</v>
      </c>
      <c r="AA325">
        <f t="shared" si="11"/>
        <v>1</v>
      </c>
      <c r="AB325">
        <v>17272</v>
      </c>
      <c r="AC325" t="s">
        <v>161</v>
      </c>
      <c r="AD325" t="s">
        <v>163</v>
      </c>
      <c r="AE325">
        <v>1.7688839999999999</v>
      </c>
      <c r="AF325" t="s">
        <v>76</v>
      </c>
      <c r="AG325">
        <v>37.881833</v>
      </c>
      <c r="AH325" t="s">
        <v>161</v>
      </c>
      <c r="AI325" t="s">
        <v>163</v>
      </c>
      <c r="AJ325">
        <v>1.732335</v>
      </c>
      <c r="AK325" t="s">
        <v>76</v>
      </c>
      <c r="AL325">
        <v>39.354624999999999</v>
      </c>
      <c r="AM325" s="4" t="s">
        <v>64</v>
      </c>
      <c r="AN325" s="5">
        <v>8442.1384232703676</v>
      </c>
      <c r="AO325" s="4" t="s">
        <v>65</v>
      </c>
      <c r="AP325" s="6">
        <v>2429</v>
      </c>
      <c r="AQ325">
        <v>4</v>
      </c>
      <c r="AR325">
        <v>8350.7892890000003</v>
      </c>
      <c r="AS325" t="s">
        <v>66</v>
      </c>
      <c r="AT325" t="s">
        <v>53</v>
      </c>
    </row>
    <row r="326" spans="1:46">
      <c r="A326">
        <v>236</v>
      </c>
      <c r="B326" t="s">
        <v>46</v>
      </c>
      <c r="C326">
        <v>17</v>
      </c>
      <c r="D326">
        <v>380</v>
      </c>
      <c r="E326" t="s">
        <v>563</v>
      </c>
      <c r="F326" t="s">
        <v>96</v>
      </c>
      <c r="G326">
        <v>17380</v>
      </c>
      <c r="H326">
        <v>17380</v>
      </c>
      <c r="I326" t="s">
        <v>49</v>
      </c>
      <c r="J326">
        <v>1705</v>
      </c>
      <c r="K326" t="s">
        <v>68</v>
      </c>
      <c r="L326" t="s">
        <v>91</v>
      </c>
      <c r="M326" t="s">
        <v>53</v>
      </c>
      <c r="N326">
        <v>75043</v>
      </c>
      <c r="O326" t="s">
        <v>53</v>
      </c>
      <c r="P326" t="s">
        <v>92</v>
      </c>
      <c r="Q326" t="s">
        <v>134</v>
      </c>
      <c r="R326" t="s">
        <v>105</v>
      </c>
      <c r="S326" t="s">
        <v>57</v>
      </c>
      <c r="T326" t="s">
        <v>58</v>
      </c>
      <c r="U326" t="s">
        <v>59</v>
      </c>
      <c r="V326">
        <v>0.393148</v>
      </c>
      <c r="W326" t="s">
        <v>53</v>
      </c>
      <c r="X326" t="s">
        <v>53</v>
      </c>
      <c r="Y326" t="s">
        <v>187</v>
      </c>
      <c r="Z326" t="str">
        <f t="shared" si="10"/>
        <v>Mayor que 80 - hasta 100</v>
      </c>
      <c r="AA326">
        <f t="shared" si="11"/>
        <v>1</v>
      </c>
      <c r="AB326">
        <v>17380</v>
      </c>
      <c r="AC326" t="s">
        <v>161</v>
      </c>
      <c r="AD326" t="s">
        <v>563</v>
      </c>
      <c r="AE326">
        <v>0</v>
      </c>
      <c r="AF326" t="s">
        <v>63</v>
      </c>
      <c r="AG326">
        <v>0</v>
      </c>
      <c r="AH326" t="s">
        <v>564</v>
      </c>
      <c r="AI326" t="s">
        <v>565</v>
      </c>
      <c r="AJ326">
        <v>3.9827119999999998</v>
      </c>
      <c r="AK326" t="s">
        <v>84</v>
      </c>
      <c r="AL326">
        <v>173.94865100000001</v>
      </c>
      <c r="AM326" s="4" t="s">
        <v>64</v>
      </c>
      <c r="AN326" s="5">
        <v>25998.692873124863</v>
      </c>
      <c r="AO326" s="4" t="s">
        <v>65</v>
      </c>
      <c r="AP326" s="6">
        <v>489</v>
      </c>
      <c r="AQ326">
        <v>1</v>
      </c>
      <c r="AR326">
        <v>22206.381088999999</v>
      </c>
      <c r="AS326" t="s">
        <v>66</v>
      </c>
      <c r="AT326" t="s">
        <v>53</v>
      </c>
    </row>
    <row r="327" spans="1:46">
      <c r="A327">
        <v>235</v>
      </c>
      <c r="B327" t="s">
        <v>46</v>
      </c>
      <c r="C327">
        <v>17</v>
      </c>
      <c r="D327">
        <v>388</v>
      </c>
      <c r="E327" t="s">
        <v>566</v>
      </c>
      <c r="F327" t="s">
        <v>96</v>
      </c>
      <c r="G327">
        <v>17388</v>
      </c>
      <c r="H327">
        <v>17388</v>
      </c>
      <c r="I327" t="s">
        <v>49</v>
      </c>
      <c r="J327">
        <v>1701</v>
      </c>
      <c r="K327" t="s">
        <v>562</v>
      </c>
      <c r="L327" t="s">
        <v>91</v>
      </c>
      <c r="M327" t="s">
        <v>53</v>
      </c>
      <c r="N327">
        <v>6268</v>
      </c>
      <c r="O327" t="s">
        <v>53</v>
      </c>
      <c r="P327" t="s">
        <v>70</v>
      </c>
      <c r="Q327" t="s">
        <v>71</v>
      </c>
      <c r="R327" t="s">
        <v>93</v>
      </c>
      <c r="S327" t="s">
        <v>57</v>
      </c>
      <c r="T327" t="s">
        <v>58</v>
      </c>
      <c r="U327" t="s">
        <v>81</v>
      </c>
      <c r="V327">
        <v>0.59150899999999995</v>
      </c>
      <c r="W327" t="s">
        <v>53</v>
      </c>
      <c r="X327" t="s">
        <v>53</v>
      </c>
      <c r="Y327" t="s">
        <v>82</v>
      </c>
      <c r="Z327" t="str">
        <f t="shared" si="10"/>
        <v>Mayor que 15 - hasta 20</v>
      </c>
      <c r="AA327">
        <f t="shared" si="11"/>
        <v>1</v>
      </c>
      <c r="AB327">
        <v>17388</v>
      </c>
      <c r="AC327" t="s">
        <v>161</v>
      </c>
      <c r="AD327" t="s">
        <v>162</v>
      </c>
      <c r="AE327">
        <v>1.852841</v>
      </c>
      <c r="AF327" t="s">
        <v>76</v>
      </c>
      <c r="AG327">
        <v>72.890872999999999</v>
      </c>
      <c r="AH327" t="s">
        <v>161</v>
      </c>
      <c r="AI327" t="s">
        <v>163</v>
      </c>
      <c r="AJ327">
        <v>2.0215320000000001</v>
      </c>
      <c r="AK327" t="s">
        <v>77</v>
      </c>
      <c r="AL327">
        <v>78.957778000000005</v>
      </c>
      <c r="AM327" s="4" t="s">
        <v>64</v>
      </c>
      <c r="AN327" s="5">
        <v>4015.9814698901932</v>
      </c>
      <c r="AO327" s="4" t="s">
        <v>65</v>
      </c>
      <c r="AP327" s="6">
        <v>1415</v>
      </c>
      <c r="AQ327">
        <v>4</v>
      </c>
      <c r="AR327">
        <v>6418.3107410000002</v>
      </c>
      <c r="AS327" t="s">
        <v>66</v>
      </c>
      <c r="AT327" t="s">
        <v>53</v>
      </c>
    </row>
    <row r="328" spans="1:46">
      <c r="A328">
        <v>234</v>
      </c>
      <c r="B328" t="s">
        <v>46</v>
      </c>
      <c r="C328">
        <v>17</v>
      </c>
      <c r="D328">
        <v>433</v>
      </c>
      <c r="E328" t="s">
        <v>567</v>
      </c>
      <c r="F328" t="s">
        <v>96</v>
      </c>
      <c r="G328">
        <v>17433</v>
      </c>
      <c r="H328">
        <v>17433</v>
      </c>
      <c r="I328" t="s">
        <v>49</v>
      </c>
      <c r="J328">
        <v>1702</v>
      </c>
      <c r="K328" t="s">
        <v>568</v>
      </c>
      <c r="L328" t="s">
        <v>91</v>
      </c>
      <c r="M328" t="s">
        <v>53</v>
      </c>
      <c r="N328">
        <v>18655</v>
      </c>
      <c r="O328" t="s">
        <v>53</v>
      </c>
      <c r="P328" t="s">
        <v>70</v>
      </c>
      <c r="Q328" t="s">
        <v>71</v>
      </c>
      <c r="R328" t="s">
        <v>93</v>
      </c>
      <c r="S328" t="s">
        <v>57</v>
      </c>
      <c r="T328" t="s">
        <v>58</v>
      </c>
      <c r="U328" t="s">
        <v>59</v>
      </c>
      <c r="V328">
        <v>0.53074500000000002</v>
      </c>
      <c r="W328" t="s">
        <v>53</v>
      </c>
      <c r="X328" t="s">
        <v>53</v>
      </c>
      <c r="Y328" t="s">
        <v>116</v>
      </c>
      <c r="Z328" t="str">
        <f t="shared" si="10"/>
        <v>Mayor que 30 - hasta 40</v>
      </c>
      <c r="AA328">
        <f t="shared" si="11"/>
        <v>1</v>
      </c>
      <c r="AB328">
        <v>17433</v>
      </c>
      <c r="AC328" t="s">
        <v>564</v>
      </c>
      <c r="AD328" t="s">
        <v>569</v>
      </c>
      <c r="AE328">
        <v>1.7993680000000001</v>
      </c>
      <c r="AF328" t="s">
        <v>76</v>
      </c>
      <c r="AG328">
        <v>53.667113999999998</v>
      </c>
      <c r="AH328" t="s">
        <v>161</v>
      </c>
      <c r="AI328" t="s">
        <v>163</v>
      </c>
      <c r="AJ328">
        <v>3.364976</v>
      </c>
      <c r="AK328" t="s">
        <v>84</v>
      </c>
      <c r="AL328">
        <v>81.160720999999995</v>
      </c>
      <c r="AM328" s="4" t="s">
        <v>64</v>
      </c>
      <c r="AN328" s="5">
        <v>9629.3829931972141</v>
      </c>
      <c r="AO328" s="4" t="s">
        <v>65</v>
      </c>
      <c r="AP328" s="6">
        <v>2767</v>
      </c>
      <c r="AQ328">
        <v>4</v>
      </c>
      <c r="AR328">
        <v>10167.779345000001</v>
      </c>
      <c r="AS328" t="s">
        <v>66</v>
      </c>
      <c r="AT328" t="s">
        <v>53</v>
      </c>
    </row>
    <row r="329" spans="1:46">
      <c r="A329">
        <v>233</v>
      </c>
      <c r="B329" t="s">
        <v>46</v>
      </c>
      <c r="C329">
        <v>17</v>
      </c>
      <c r="D329">
        <v>442</v>
      </c>
      <c r="E329" t="s">
        <v>570</v>
      </c>
      <c r="F329" t="s">
        <v>96</v>
      </c>
      <c r="G329">
        <v>17442</v>
      </c>
      <c r="H329">
        <v>17442</v>
      </c>
      <c r="I329" t="s">
        <v>49</v>
      </c>
      <c r="J329">
        <v>1701</v>
      </c>
      <c r="K329" t="s">
        <v>562</v>
      </c>
      <c r="L329" t="s">
        <v>91</v>
      </c>
      <c r="M329" t="s">
        <v>53</v>
      </c>
      <c r="N329">
        <v>9255</v>
      </c>
      <c r="O329" t="s">
        <v>53</v>
      </c>
      <c r="P329" t="s">
        <v>70</v>
      </c>
      <c r="Q329" t="s">
        <v>71</v>
      </c>
      <c r="R329" t="s">
        <v>105</v>
      </c>
      <c r="S329" t="s">
        <v>57</v>
      </c>
      <c r="T329" t="s">
        <v>58</v>
      </c>
      <c r="U329" t="s">
        <v>59</v>
      </c>
      <c r="V329">
        <v>0.72034299999999996</v>
      </c>
      <c r="W329" t="s">
        <v>53</v>
      </c>
      <c r="X329" t="s">
        <v>53</v>
      </c>
      <c r="Y329" t="s">
        <v>116</v>
      </c>
      <c r="Z329" t="str">
        <f t="shared" si="10"/>
        <v>Mayor que 30 - hasta 40</v>
      </c>
      <c r="AA329">
        <f t="shared" si="11"/>
        <v>1</v>
      </c>
      <c r="AB329">
        <v>17442</v>
      </c>
      <c r="AC329" t="s">
        <v>161</v>
      </c>
      <c r="AD329" t="s">
        <v>162</v>
      </c>
      <c r="AE329">
        <v>1.9415800000000001</v>
      </c>
      <c r="AF329" t="s">
        <v>76</v>
      </c>
      <c r="AG329">
        <v>76.242345</v>
      </c>
      <c r="AH329" t="s">
        <v>161</v>
      </c>
      <c r="AI329" t="s">
        <v>163</v>
      </c>
      <c r="AJ329">
        <v>2.1102720000000001</v>
      </c>
      <c r="AK329" t="s">
        <v>77</v>
      </c>
      <c r="AL329">
        <v>82.309250000000006</v>
      </c>
      <c r="AM329" s="4" t="s">
        <v>65</v>
      </c>
      <c r="AN329" s="5">
        <v>2314.20888175354</v>
      </c>
      <c r="AO329" s="4" t="s">
        <v>65</v>
      </c>
      <c r="AP329" s="6">
        <v>1178</v>
      </c>
      <c r="AQ329">
        <v>4</v>
      </c>
      <c r="AR329">
        <v>3079.7088410000001</v>
      </c>
      <c r="AS329" t="s">
        <v>66</v>
      </c>
      <c r="AT329" t="s">
        <v>53</v>
      </c>
    </row>
    <row r="330" spans="1:46">
      <c r="A330">
        <v>232</v>
      </c>
      <c r="B330" t="s">
        <v>46</v>
      </c>
      <c r="C330">
        <v>17</v>
      </c>
      <c r="D330">
        <v>444</v>
      </c>
      <c r="E330" t="s">
        <v>571</v>
      </c>
      <c r="F330" t="s">
        <v>96</v>
      </c>
      <c r="G330">
        <v>17444</v>
      </c>
      <c r="H330">
        <v>17444</v>
      </c>
      <c r="I330" t="s">
        <v>49</v>
      </c>
      <c r="J330">
        <v>1702</v>
      </c>
      <c r="K330" t="s">
        <v>568</v>
      </c>
      <c r="L330" t="s">
        <v>91</v>
      </c>
      <c r="M330" t="s">
        <v>53</v>
      </c>
      <c r="N330">
        <v>13627</v>
      </c>
      <c r="O330" t="s">
        <v>53</v>
      </c>
      <c r="P330" t="s">
        <v>70</v>
      </c>
      <c r="Q330" t="s">
        <v>71</v>
      </c>
      <c r="R330" t="s">
        <v>72</v>
      </c>
      <c r="S330" t="s">
        <v>57</v>
      </c>
      <c r="T330" t="s">
        <v>58</v>
      </c>
      <c r="U330" t="s">
        <v>81</v>
      </c>
      <c r="V330">
        <v>0.53901200000000005</v>
      </c>
      <c r="W330" t="s">
        <v>53</v>
      </c>
      <c r="X330" t="s">
        <v>53</v>
      </c>
      <c r="Y330" t="s">
        <v>102</v>
      </c>
      <c r="Z330" t="str">
        <f t="shared" si="10"/>
        <v>Mayor que 20 - hasta 30</v>
      </c>
      <c r="AA330">
        <f t="shared" si="11"/>
        <v>1</v>
      </c>
      <c r="AB330">
        <v>17444</v>
      </c>
      <c r="AC330" t="s">
        <v>564</v>
      </c>
      <c r="AD330" t="s">
        <v>569</v>
      </c>
      <c r="AE330">
        <v>1.358711</v>
      </c>
      <c r="AF330" t="s">
        <v>76</v>
      </c>
      <c r="AG330">
        <v>38.333303999999998</v>
      </c>
      <c r="AH330" t="s">
        <v>564</v>
      </c>
      <c r="AI330" t="s">
        <v>565</v>
      </c>
      <c r="AJ330">
        <v>3.895851</v>
      </c>
      <c r="AK330" t="s">
        <v>84</v>
      </c>
      <c r="AL330">
        <v>158.91189700000001</v>
      </c>
      <c r="AM330" s="4" t="s">
        <v>65</v>
      </c>
      <c r="AN330" s="5">
        <v>7934.2029420798881</v>
      </c>
      <c r="AO330" s="4" t="s">
        <v>65</v>
      </c>
      <c r="AP330" s="6">
        <v>2416</v>
      </c>
      <c r="AQ330">
        <v>4</v>
      </c>
      <c r="AR330">
        <v>5595.8662459999996</v>
      </c>
      <c r="AS330" t="s">
        <v>66</v>
      </c>
      <c r="AT330" t="s">
        <v>53</v>
      </c>
    </row>
    <row r="331" spans="1:46">
      <c r="A331">
        <v>231</v>
      </c>
      <c r="B331" t="s">
        <v>46</v>
      </c>
      <c r="C331">
        <v>17</v>
      </c>
      <c r="D331">
        <v>446</v>
      </c>
      <c r="E331" t="s">
        <v>572</v>
      </c>
      <c r="F331" t="s">
        <v>96</v>
      </c>
      <c r="G331">
        <v>17446</v>
      </c>
      <c r="H331">
        <v>17446</v>
      </c>
      <c r="I331" t="s">
        <v>49</v>
      </c>
      <c r="J331">
        <v>1702</v>
      </c>
      <c r="K331" t="s">
        <v>568</v>
      </c>
      <c r="L331" t="s">
        <v>80</v>
      </c>
      <c r="M331" t="s">
        <v>53</v>
      </c>
      <c r="N331">
        <v>2700</v>
      </c>
      <c r="O331" t="s">
        <v>53</v>
      </c>
      <c r="P331" t="s">
        <v>70</v>
      </c>
      <c r="Q331" t="s">
        <v>71</v>
      </c>
      <c r="R331" t="s">
        <v>56</v>
      </c>
      <c r="S331" t="s">
        <v>57</v>
      </c>
      <c r="T331" t="s">
        <v>73</v>
      </c>
      <c r="U331" t="s">
        <v>119</v>
      </c>
      <c r="V331">
        <v>0.35351100000000002</v>
      </c>
      <c r="W331" t="s">
        <v>53</v>
      </c>
      <c r="X331" t="s">
        <v>53</v>
      </c>
      <c r="Y331" t="s">
        <v>102</v>
      </c>
      <c r="Z331" t="str">
        <f t="shared" si="10"/>
        <v>Mayor que 20 - hasta 30</v>
      </c>
      <c r="AA331">
        <f t="shared" si="11"/>
        <v>1</v>
      </c>
      <c r="AB331">
        <v>17446</v>
      </c>
      <c r="AC331" t="s">
        <v>564</v>
      </c>
      <c r="AD331" t="s">
        <v>569</v>
      </c>
      <c r="AE331">
        <v>3.3515410000000001</v>
      </c>
      <c r="AF331" t="s">
        <v>84</v>
      </c>
      <c r="AG331">
        <v>75.905086999999995</v>
      </c>
      <c r="AH331" t="s">
        <v>161</v>
      </c>
      <c r="AI331" t="s">
        <v>163</v>
      </c>
      <c r="AJ331">
        <v>3.340557</v>
      </c>
      <c r="AK331" t="s">
        <v>84</v>
      </c>
      <c r="AL331">
        <v>60.448231999999997</v>
      </c>
      <c r="AM331" s="4" t="s">
        <v>64</v>
      </c>
      <c r="AN331" s="5">
        <v>16135.194026222614</v>
      </c>
      <c r="AO331" s="4" t="s">
        <v>65</v>
      </c>
      <c r="AP331" s="6">
        <v>314</v>
      </c>
      <c r="AQ331">
        <v>3</v>
      </c>
      <c r="AR331">
        <v>11354.419383</v>
      </c>
      <c r="AS331" t="s">
        <v>66</v>
      </c>
      <c r="AT331" t="s">
        <v>53</v>
      </c>
    </row>
    <row r="332" spans="1:46">
      <c r="A332">
        <v>230</v>
      </c>
      <c r="B332" t="s">
        <v>46</v>
      </c>
      <c r="C332">
        <v>17</v>
      </c>
      <c r="D332">
        <v>486</v>
      </c>
      <c r="E332" t="s">
        <v>435</v>
      </c>
      <c r="F332" t="s">
        <v>96</v>
      </c>
      <c r="G332">
        <v>17486</v>
      </c>
      <c r="H332">
        <v>17486</v>
      </c>
      <c r="I332" t="s">
        <v>49</v>
      </c>
      <c r="J332">
        <v>1704</v>
      </c>
      <c r="K332" t="s">
        <v>409</v>
      </c>
      <c r="L332" t="s">
        <v>91</v>
      </c>
      <c r="M332" t="s">
        <v>53</v>
      </c>
      <c r="N332">
        <v>21543</v>
      </c>
      <c r="O332" t="s">
        <v>53</v>
      </c>
      <c r="P332" t="s">
        <v>70</v>
      </c>
      <c r="Q332" t="s">
        <v>71</v>
      </c>
      <c r="R332" t="s">
        <v>72</v>
      </c>
      <c r="S332" t="s">
        <v>57</v>
      </c>
      <c r="T332" t="s">
        <v>58</v>
      </c>
      <c r="U332" t="s">
        <v>81</v>
      </c>
      <c r="V332">
        <v>0.36161900000000002</v>
      </c>
      <c r="W332">
        <v>2024</v>
      </c>
      <c r="X332" t="s">
        <v>176</v>
      </c>
      <c r="Y332" t="s">
        <v>87</v>
      </c>
      <c r="Z332" t="str">
        <f t="shared" si="10"/>
        <v>Mayor que 40 - hasta 50</v>
      </c>
      <c r="AA332">
        <f t="shared" si="11"/>
        <v>1</v>
      </c>
      <c r="AB332">
        <v>17486</v>
      </c>
      <c r="AC332" t="s">
        <v>161</v>
      </c>
      <c r="AD332" t="s">
        <v>163</v>
      </c>
      <c r="AE332">
        <v>0.83067599999999997</v>
      </c>
      <c r="AF332" t="s">
        <v>63</v>
      </c>
      <c r="AG332">
        <v>17.565180000000002</v>
      </c>
      <c r="AH332" t="s">
        <v>161</v>
      </c>
      <c r="AI332" t="s">
        <v>163</v>
      </c>
      <c r="AJ332">
        <v>0.79412700000000003</v>
      </c>
      <c r="AK332" t="s">
        <v>63</v>
      </c>
      <c r="AL332">
        <v>19.037973000000001</v>
      </c>
      <c r="AM332" s="4" t="s">
        <v>64</v>
      </c>
      <c r="AN332" s="5">
        <v>16870.951344106339</v>
      </c>
      <c r="AO332" s="4" t="s">
        <v>65</v>
      </c>
      <c r="AP332" s="6">
        <v>3776</v>
      </c>
      <c r="AQ332">
        <v>4</v>
      </c>
      <c r="AR332">
        <v>13025.890789999999</v>
      </c>
      <c r="AS332" t="s">
        <v>66</v>
      </c>
      <c r="AT332" t="s">
        <v>53</v>
      </c>
    </row>
    <row r="333" spans="1:46">
      <c r="A333">
        <v>242</v>
      </c>
      <c r="B333" t="s">
        <v>46</v>
      </c>
      <c r="C333">
        <v>17</v>
      </c>
      <c r="D333">
        <v>495</v>
      </c>
      <c r="E333" t="s">
        <v>573</v>
      </c>
      <c r="F333" t="s">
        <v>96</v>
      </c>
      <c r="G333">
        <v>17495</v>
      </c>
      <c r="H333">
        <v>17495</v>
      </c>
      <c r="I333" t="s">
        <v>49</v>
      </c>
      <c r="J333">
        <v>1705</v>
      </c>
      <c r="K333" t="s">
        <v>68</v>
      </c>
      <c r="L333" t="s">
        <v>69</v>
      </c>
      <c r="M333" t="s">
        <v>53</v>
      </c>
      <c r="N333">
        <v>6123</v>
      </c>
      <c r="O333" t="s">
        <v>53</v>
      </c>
      <c r="P333" t="s">
        <v>70</v>
      </c>
      <c r="Q333" t="s">
        <v>71</v>
      </c>
      <c r="R333" t="s">
        <v>72</v>
      </c>
      <c r="S333" t="s">
        <v>57</v>
      </c>
      <c r="T333" t="s">
        <v>73</v>
      </c>
      <c r="U333" t="s">
        <v>119</v>
      </c>
      <c r="V333">
        <v>0.38173099999999999</v>
      </c>
      <c r="W333" t="s">
        <v>53</v>
      </c>
      <c r="X333" t="s">
        <v>53</v>
      </c>
      <c r="Y333" t="s">
        <v>82</v>
      </c>
      <c r="Z333" t="str">
        <f t="shared" si="10"/>
        <v>Mayor que 15 - hasta 20</v>
      </c>
      <c r="AA333">
        <f t="shared" si="11"/>
        <v>1</v>
      </c>
      <c r="AB333">
        <v>17495</v>
      </c>
      <c r="AC333" t="s">
        <v>161</v>
      </c>
      <c r="AD333" t="s">
        <v>563</v>
      </c>
      <c r="AE333">
        <v>1.576668</v>
      </c>
      <c r="AF333" t="s">
        <v>76</v>
      </c>
      <c r="AG333">
        <v>47.680107999999997</v>
      </c>
      <c r="AH333" t="s">
        <v>564</v>
      </c>
      <c r="AI333" t="s">
        <v>565</v>
      </c>
      <c r="AJ333">
        <v>5.050338</v>
      </c>
      <c r="AK333" t="s">
        <v>181</v>
      </c>
      <c r="AL333">
        <v>218.321652</v>
      </c>
      <c r="AM333" s="4" t="s">
        <v>64</v>
      </c>
      <c r="AN333" s="5">
        <v>14513.977044781994</v>
      </c>
      <c r="AO333" s="4" t="s">
        <v>65</v>
      </c>
      <c r="AP333" s="6">
        <v>536</v>
      </c>
      <c r="AQ333">
        <v>3</v>
      </c>
      <c r="AR333">
        <v>15574.264741000001</v>
      </c>
      <c r="AS333" t="s">
        <v>66</v>
      </c>
      <c r="AT333" t="s">
        <v>53</v>
      </c>
    </row>
    <row r="334" spans="1:46">
      <c r="A334">
        <v>253</v>
      </c>
      <c r="B334" t="s">
        <v>46</v>
      </c>
      <c r="C334">
        <v>17</v>
      </c>
      <c r="D334">
        <v>513</v>
      </c>
      <c r="E334" t="s">
        <v>574</v>
      </c>
      <c r="F334" t="s">
        <v>96</v>
      </c>
      <c r="G334">
        <v>17513</v>
      </c>
      <c r="H334">
        <v>17513</v>
      </c>
      <c r="I334" t="s">
        <v>49</v>
      </c>
      <c r="J334">
        <v>1706</v>
      </c>
      <c r="K334" t="s">
        <v>112</v>
      </c>
      <c r="L334" t="s">
        <v>69</v>
      </c>
      <c r="M334" t="s">
        <v>53</v>
      </c>
      <c r="N334">
        <v>15680</v>
      </c>
      <c r="O334" t="s">
        <v>53</v>
      </c>
      <c r="P334" t="s">
        <v>70</v>
      </c>
      <c r="Q334" t="s">
        <v>71</v>
      </c>
      <c r="R334" t="s">
        <v>93</v>
      </c>
      <c r="S334" t="s">
        <v>57</v>
      </c>
      <c r="T334" t="s">
        <v>58</v>
      </c>
      <c r="U334" t="s">
        <v>81</v>
      </c>
      <c r="V334">
        <v>0.35120400000000002</v>
      </c>
      <c r="W334" t="s">
        <v>53</v>
      </c>
      <c r="X334" t="s">
        <v>53</v>
      </c>
      <c r="Y334" t="s">
        <v>102</v>
      </c>
      <c r="Z334" t="str">
        <f t="shared" si="10"/>
        <v>Mayor que 20 - hasta 30</v>
      </c>
      <c r="AA334">
        <f t="shared" si="11"/>
        <v>1</v>
      </c>
      <c r="AB334">
        <v>17513</v>
      </c>
      <c r="AC334" t="s">
        <v>61</v>
      </c>
      <c r="AD334" t="s">
        <v>96</v>
      </c>
      <c r="AE334">
        <v>2.8687719999999999</v>
      </c>
      <c r="AF334" t="s">
        <v>77</v>
      </c>
      <c r="AG334">
        <v>99.138896000000003</v>
      </c>
      <c r="AH334" t="s">
        <v>161</v>
      </c>
      <c r="AI334" t="s">
        <v>163</v>
      </c>
      <c r="AJ334">
        <v>3.0445129999999998</v>
      </c>
      <c r="AK334" t="s">
        <v>84</v>
      </c>
      <c r="AL334">
        <v>102.48569999999999</v>
      </c>
      <c r="AM334" s="4" t="s">
        <v>64</v>
      </c>
      <c r="AN334" s="5">
        <v>13639.859629590823</v>
      </c>
      <c r="AO334" s="4" t="s">
        <v>65</v>
      </c>
      <c r="AP334" s="6">
        <v>2760</v>
      </c>
      <c r="AQ334">
        <v>4</v>
      </c>
      <c r="AR334">
        <v>17881.386112</v>
      </c>
      <c r="AS334" t="s">
        <v>66</v>
      </c>
      <c r="AT334" t="s">
        <v>53</v>
      </c>
    </row>
    <row r="335" spans="1:46">
      <c r="A335">
        <v>252</v>
      </c>
      <c r="B335" t="s">
        <v>46</v>
      </c>
      <c r="C335">
        <v>17</v>
      </c>
      <c r="D335">
        <v>524</v>
      </c>
      <c r="E335" t="s">
        <v>575</v>
      </c>
      <c r="F335" t="s">
        <v>96</v>
      </c>
      <c r="G335">
        <v>17524</v>
      </c>
      <c r="H335">
        <v>17524</v>
      </c>
      <c r="I335" t="s">
        <v>49</v>
      </c>
      <c r="J335">
        <v>1704</v>
      </c>
      <c r="K335" t="s">
        <v>409</v>
      </c>
      <c r="L335" t="s">
        <v>91</v>
      </c>
      <c r="M335" t="s">
        <v>53</v>
      </c>
      <c r="N335">
        <v>15978</v>
      </c>
      <c r="O335" t="s">
        <v>53</v>
      </c>
      <c r="P335" t="s">
        <v>70</v>
      </c>
      <c r="Q335" t="s">
        <v>71</v>
      </c>
      <c r="R335" t="s">
        <v>72</v>
      </c>
      <c r="S335" t="s">
        <v>57</v>
      </c>
      <c r="T335" t="s">
        <v>73</v>
      </c>
      <c r="U335" t="s">
        <v>59</v>
      </c>
      <c r="V335">
        <v>0.37335400000000002</v>
      </c>
      <c r="W335" t="s">
        <v>53</v>
      </c>
      <c r="X335" t="s">
        <v>53</v>
      </c>
      <c r="Y335" t="s">
        <v>87</v>
      </c>
      <c r="Z335" t="str">
        <f t="shared" si="10"/>
        <v>Mayor que 40 - hasta 50</v>
      </c>
      <c r="AA335">
        <f t="shared" si="11"/>
        <v>1</v>
      </c>
      <c r="AB335">
        <v>17524</v>
      </c>
      <c r="AC335" t="s">
        <v>161</v>
      </c>
      <c r="AD335" t="s">
        <v>162</v>
      </c>
      <c r="AE335">
        <v>0.19720199999999999</v>
      </c>
      <c r="AF335" t="s">
        <v>63</v>
      </c>
      <c r="AG335">
        <v>6.5769549999999999</v>
      </c>
      <c r="AH335" t="s">
        <v>161</v>
      </c>
      <c r="AI335" t="s">
        <v>163</v>
      </c>
      <c r="AJ335">
        <v>0.64961199999999997</v>
      </c>
      <c r="AK335" t="s">
        <v>63</v>
      </c>
      <c r="AL335">
        <v>24.076450000000001</v>
      </c>
      <c r="AM335" s="4" t="s">
        <v>64</v>
      </c>
      <c r="AN335" s="5">
        <v>5770.3523281685148</v>
      </c>
      <c r="AO335" s="4" t="s">
        <v>65</v>
      </c>
      <c r="AP335" s="6">
        <v>1224</v>
      </c>
      <c r="AQ335">
        <v>3</v>
      </c>
      <c r="AR335">
        <v>6760.9624819999999</v>
      </c>
      <c r="AS335" t="s">
        <v>66</v>
      </c>
      <c r="AT335" t="s">
        <v>53</v>
      </c>
    </row>
    <row r="336" spans="1:46">
      <c r="A336">
        <v>251</v>
      </c>
      <c r="B336" t="s">
        <v>46</v>
      </c>
      <c r="C336">
        <v>17</v>
      </c>
      <c r="D336">
        <v>541</v>
      </c>
      <c r="E336" t="s">
        <v>576</v>
      </c>
      <c r="F336" t="s">
        <v>96</v>
      </c>
      <c r="G336">
        <v>17541</v>
      </c>
      <c r="H336">
        <v>17541</v>
      </c>
      <c r="I336" t="s">
        <v>49</v>
      </c>
      <c r="J336">
        <v>1702</v>
      </c>
      <c r="K336" t="s">
        <v>568</v>
      </c>
      <c r="L336" t="s">
        <v>69</v>
      </c>
      <c r="M336" t="s">
        <v>53</v>
      </c>
      <c r="N336">
        <v>20242</v>
      </c>
      <c r="O336" t="s">
        <v>53</v>
      </c>
      <c r="P336" t="s">
        <v>70</v>
      </c>
      <c r="Q336" t="s">
        <v>71</v>
      </c>
      <c r="R336" t="s">
        <v>72</v>
      </c>
      <c r="S336" t="s">
        <v>57</v>
      </c>
      <c r="T336" t="s">
        <v>73</v>
      </c>
      <c r="U336" t="s">
        <v>59</v>
      </c>
      <c r="V336">
        <v>0.340555</v>
      </c>
      <c r="W336" t="s">
        <v>53</v>
      </c>
      <c r="X336" t="s">
        <v>53</v>
      </c>
      <c r="Y336" t="s">
        <v>116</v>
      </c>
      <c r="Z336" t="str">
        <f t="shared" si="10"/>
        <v>Mayor que 30 - hasta 40</v>
      </c>
      <c r="AA336">
        <f t="shared" si="11"/>
        <v>1</v>
      </c>
      <c r="AB336">
        <v>17541</v>
      </c>
      <c r="AC336" t="s">
        <v>564</v>
      </c>
      <c r="AD336" t="s">
        <v>569</v>
      </c>
      <c r="AE336">
        <v>2.618519</v>
      </c>
      <c r="AF336" t="s">
        <v>77</v>
      </c>
      <c r="AG336">
        <v>75.008030000000005</v>
      </c>
      <c r="AH336" t="s">
        <v>161</v>
      </c>
      <c r="AI336" t="s">
        <v>163</v>
      </c>
      <c r="AJ336">
        <v>4.4581359999999997</v>
      </c>
      <c r="AK336" t="s">
        <v>85</v>
      </c>
      <c r="AL336">
        <v>104.271486</v>
      </c>
      <c r="AM336" s="4" t="s">
        <v>65</v>
      </c>
      <c r="AN336" s="5">
        <v>15485.291122737708</v>
      </c>
      <c r="AO336" s="4" t="s">
        <v>65</v>
      </c>
      <c r="AP336" s="6">
        <v>4919</v>
      </c>
      <c r="AQ336">
        <v>4</v>
      </c>
      <c r="AR336">
        <v>12684.482760000001</v>
      </c>
      <c r="AS336" t="s">
        <v>66</v>
      </c>
      <c r="AT336" t="s">
        <v>53</v>
      </c>
    </row>
    <row r="337" spans="1:46">
      <c r="A337">
        <v>254</v>
      </c>
      <c r="B337" t="s">
        <v>46</v>
      </c>
      <c r="C337">
        <v>17</v>
      </c>
      <c r="D337">
        <v>614</v>
      </c>
      <c r="E337" t="s">
        <v>577</v>
      </c>
      <c r="F337" t="s">
        <v>96</v>
      </c>
      <c r="G337">
        <v>17614</v>
      </c>
      <c r="H337">
        <v>17614</v>
      </c>
      <c r="I337" t="s">
        <v>49</v>
      </c>
      <c r="J337">
        <v>1701</v>
      </c>
      <c r="K337" t="s">
        <v>562</v>
      </c>
      <c r="L337" t="s">
        <v>91</v>
      </c>
      <c r="M337" t="s">
        <v>53</v>
      </c>
      <c r="N337">
        <v>53746</v>
      </c>
      <c r="O337" t="s">
        <v>53</v>
      </c>
      <c r="P337" t="s">
        <v>92</v>
      </c>
      <c r="Q337" t="s">
        <v>71</v>
      </c>
      <c r="R337" t="s">
        <v>105</v>
      </c>
      <c r="S337" t="s">
        <v>57</v>
      </c>
      <c r="T337" t="s">
        <v>73</v>
      </c>
      <c r="U337" t="s">
        <v>59</v>
      </c>
      <c r="V337">
        <v>0.44298900000000002</v>
      </c>
      <c r="W337" t="s">
        <v>53</v>
      </c>
      <c r="X337" t="s">
        <v>53</v>
      </c>
      <c r="Y337" t="s">
        <v>102</v>
      </c>
      <c r="Z337" t="str">
        <f t="shared" si="10"/>
        <v>Mayor que 20 - hasta 30</v>
      </c>
      <c r="AA337">
        <f t="shared" si="11"/>
        <v>1</v>
      </c>
      <c r="AB337">
        <v>17614</v>
      </c>
      <c r="AC337" t="s">
        <v>555</v>
      </c>
      <c r="AD337" t="s">
        <v>556</v>
      </c>
      <c r="AE337">
        <v>1.967924</v>
      </c>
      <c r="AF337" t="s">
        <v>76</v>
      </c>
      <c r="AG337">
        <v>74.813918000000001</v>
      </c>
      <c r="AH337" t="s">
        <v>161</v>
      </c>
      <c r="AI337" t="s">
        <v>163</v>
      </c>
      <c r="AJ337">
        <v>2.1931699999999998</v>
      </c>
      <c r="AK337" t="s">
        <v>77</v>
      </c>
      <c r="AL337">
        <v>72.790873000000005</v>
      </c>
      <c r="AM337" s="4" t="s">
        <v>64</v>
      </c>
      <c r="AN337" s="5">
        <v>15905.587151550235</v>
      </c>
      <c r="AO337" s="4" t="s">
        <v>65</v>
      </c>
      <c r="AP337" s="6">
        <v>2586</v>
      </c>
      <c r="AQ337">
        <v>3</v>
      </c>
      <c r="AR337">
        <v>12414.333103000001</v>
      </c>
      <c r="AS337" t="s">
        <v>66</v>
      </c>
      <c r="AT337" t="s">
        <v>53</v>
      </c>
    </row>
    <row r="338" spans="1:46">
      <c r="A338">
        <v>250</v>
      </c>
      <c r="B338" t="s">
        <v>46</v>
      </c>
      <c r="C338">
        <v>17</v>
      </c>
      <c r="D338">
        <v>616</v>
      </c>
      <c r="E338" t="s">
        <v>578</v>
      </c>
      <c r="F338" t="s">
        <v>96</v>
      </c>
      <c r="G338">
        <v>17616</v>
      </c>
      <c r="H338">
        <v>17616</v>
      </c>
      <c r="I338" t="s">
        <v>49</v>
      </c>
      <c r="J338">
        <v>1703</v>
      </c>
      <c r="K338" t="s">
        <v>554</v>
      </c>
      <c r="L338" t="s">
        <v>91</v>
      </c>
      <c r="M338" t="s">
        <v>53</v>
      </c>
      <c r="N338">
        <v>11267</v>
      </c>
      <c r="O338" t="s">
        <v>53</v>
      </c>
      <c r="P338" t="s">
        <v>70</v>
      </c>
      <c r="Q338" t="s">
        <v>71</v>
      </c>
      <c r="R338" t="s">
        <v>56</v>
      </c>
      <c r="S338" t="s">
        <v>57</v>
      </c>
      <c r="T338" t="s">
        <v>73</v>
      </c>
      <c r="U338" t="s">
        <v>59</v>
      </c>
      <c r="V338">
        <v>0.53752</v>
      </c>
      <c r="W338" t="s">
        <v>53</v>
      </c>
      <c r="X338" t="s">
        <v>53</v>
      </c>
      <c r="Y338" t="s">
        <v>116</v>
      </c>
      <c r="Z338" t="str">
        <f t="shared" si="10"/>
        <v>Mayor que 30 - hasta 40</v>
      </c>
      <c r="AA338">
        <f t="shared" si="11"/>
        <v>1</v>
      </c>
      <c r="AB338">
        <v>17616</v>
      </c>
      <c r="AC338" t="s">
        <v>555</v>
      </c>
      <c r="AD338" t="s">
        <v>556</v>
      </c>
      <c r="AE338">
        <v>0.87384799999999996</v>
      </c>
      <c r="AF338" t="s">
        <v>63</v>
      </c>
      <c r="AG338">
        <v>40.624977999999999</v>
      </c>
      <c r="AH338" t="s">
        <v>161</v>
      </c>
      <c r="AI338" t="s">
        <v>163</v>
      </c>
      <c r="AJ338">
        <v>1.6384570000000001</v>
      </c>
      <c r="AK338" t="s">
        <v>76</v>
      </c>
      <c r="AL338">
        <v>50.101429000000003</v>
      </c>
      <c r="AM338" s="4" t="s">
        <v>65</v>
      </c>
      <c r="AN338" s="5">
        <v>5079.5749813273123</v>
      </c>
      <c r="AO338" s="4" t="s">
        <v>65</v>
      </c>
      <c r="AP338" s="6">
        <v>1486</v>
      </c>
      <c r="AQ338">
        <v>3</v>
      </c>
      <c r="AR338">
        <v>5838.2325499999997</v>
      </c>
      <c r="AS338" t="s">
        <v>66</v>
      </c>
      <c r="AT338" t="s">
        <v>53</v>
      </c>
    </row>
    <row r="339" spans="1:46">
      <c r="A339">
        <v>249</v>
      </c>
      <c r="B339" t="s">
        <v>46</v>
      </c>
      <c r="C339">
        <v>17</v>
      </c>
      <c r="D339">
        <v>653</v>
      </c>
      <c r="E339" t="s">
        <v>579</v>
      </c>
      <c r="F339" t="s">
        <v>96</v>
      </c>
      <c r="G339">
        <v>17653</v>
      </c>
      <c r="H339">
        <v>17653</v>
      </c>
      <c r="I339" t="s">
        <v>49</v>
      </c>
      <c r="J339">
        <v>1706</v>
      </c>
      <c r="K339" t="s">
        <v>112</v>
      </c>
      <c r="L339" t="s">
        <v>69</v>
      </c>
      <c r="M339" t="s">
        <v>53</v>
      </c>
      <c r="N339">
        <v>19959</v>
      </c>
      <c r="O339" t="s">
        <v>53</v>
      </c>
      <c r="P339" t="s">
        <v>70</v>
      </c>
      <c r="Q339" t="s">
        <v>71</v>
      </c>
      <c r="R339" t="s">
        <v>72</v>
      </c>
      <c r="S339" t="s">
        <v>57</v>
      </c>
      <c r="T339" t="s">
        <v>58</v>
      </c>
      <c r="U339" t="s">
        <v>59</v>
      </c>
      <c r="V339">
        <v>0.38647999999999999</v>
      </c>
      <c r="W339" t="s">
        <v>53</v>
      </c>
      <c r="X339" t="s">
        <v>53</v>
      </c>
      <c r="Y339" t="s">
        <v>116</v>
      </c>
      <c r="Z339" t="str">
        <f t="shared" si="10"/>
        <v>Mayor que 30 - hasta 40</v>
      </c>
      <c r="AA339">
        <f t="shared" si="11"/>
        <v>1</v>
      </c>
      <c r="AB339">
        <v>17653</v>
      </c>
      <c r="AC339" t="s">
        <v>161</v>
      </c>
      <c r="AD339" t="s">
        <v>162</v>
      </c>
      <c r="AE339">
        <v>2.4449969999999999</v>
      </c>
      <c r="AF339" t="s">
        <v>77</v>
      </c>
      <c r="AG339">
        <v>90.138896000000003</v>
      </c>
      <c r="AH339" t="s">
        <v>161</v>
      </c>
      <c r="AI339" t="s">
        <v>163</v>
      </c>
      <c r="AJ339">
        <v>2.4525610000000002</v>
      </c>
      <c r="AK339" t="s">
        <v>77</v>
      </c>
      <c r="AL339">
        <v>58.422749000000003</v>
      </c>
      <c r="AM339" s="4" t="s">
        <v>64</v>
      </c>
      <c r="AN339" s="5">
        <v>21047.285097104956</v>
      </c>
      <c r="AO339" s="4" t="s">
        <v>65</v>
      </c>
      <c r="AP339" s="6">
        <v>2774</v>
      </c>
      <c r="AQ339">
        <v>4</v>
      </c>
      <c r="AR339">
        <v>20447.673541</v>
      </c>
      <c r="AS339" t="s">
        <v>66</v>
      </c>
      <c r="AT339" t="s">
        <v>53</v>
      </c>
    </row>
    <row r="340" spans="1:46">
      <c r="A340">
        <v>248</v>
      </c>
      <c r="B340" t="s">
        <v>46</v>
      </c>
      <c r="C340">
        <v>17</v>
      </c>
      <c r="D340">
        <v>662</v>
      </c>
      <c r="E340" t="s">
        <v>580</v>
      </c>
      <c r="F340" t="s">
        <v>96</v>
      </c>
      <c r="G340">
        <v>17662</v>
      </c>
      <c r="H340">
        <v>17662</v>
      </c>
      <c r="I340" t="s">
        <v>49</v>
      </c>
      <c r="J340">
        <v>1705</v>
      </c>
      <c r="K340" t="s">
        <v>68</v>
      </c>
      <c r="L340" t="s">
        <v>80</v>
      </c>
      <c r="M340" t="s">
        <v>53</v>
      </c>
      <c r="N340">
        <v>21292</v>
      </c>
      <c r="O340" t="s">
        <v>53</v>
      </c>
      <c r="P340" t="s">
        <v>70</v>
      </c>
      <c r="Q340" t="s">
        <v>71</v>
      </c>
      <c r="R340" t="s">
        <v>72</v>
      </c>
      <c r="S340" t="s">
        <v>57</v>
      </c>
      <c r="T340" t="s">
        <v>73</v>
      </c>
      <c r="U340" t="s">
        <v>101</v>
      </c>
      <c r="V340">
        <v>0.65376400000000001</v>
      </c>
      <c r="W340" t="s">
        <v>53</v>
      </c>
      <c r="X340" t="s">
        <v>53</v>
      </c>
      <c r="Y340" t="s">
        <v>116</v>
      </c>
      <c r="Z340" t="str">
        <f t="shared" si="10"/>
        <v>Mayor que 30 - hasta 40</v>
      </c>
      <c r="AA340">
        <f t="shared" si="11"/>
        <v>1</v>
      </c>
      <c r="AB340">
        <v>17662</v>
      </c>
      <c r="AC340" t="s">
        <v>564</v>
      </c>
      <c r="AD340" t="s">
        <v>569</v>
      </c>
      <c r="AE340">
        <v>1.3515410000000001</v>
      </c>
      <c r="AF340" t="s">
        <v>76</v>
      </c>
      <c r="AG340">
        <v>44.230361000000002</v>
      </c>
      <c r="AH340" t="s">
        <v>564</v>
      </c>
      <c r="AI340" t="s">
        <v>565</v>
      </c>
      <c r="AJ340">
        <v>3.8886810000000001</v>
      </c>
      <c r="AK340" t="s">
        <v>84</v>
      </c>
      <c r="AL340">
        <v>164.808954</v>
      </c>
      <c r="AM340" s="4" t="s">
        <v>64</v>
      </c>
      <c r="AN340" s="5">
        <v>35135.377695340416</v>
      </c>
      <c r="AO340" s="4" t="s">
        <v>65</v>
      </c>
      <c r="AP340" s="6">
        <v>6273</v>
      </c>
      <c r="AQ340">
        <v>4</v>
      </c>
      <c r="AR340">
        <v>34937.990387999998</v>
      </c>
      <c r="AS340" t="s">
        <v>66</v>
      </c>
      <c r="AT340" t="s">
        <v>53</v>
      </c>
    </row>
    <row r="341" spans="1:46">
      <c r="A341">
        <v>247</v>
      </c>
      <c r="B341" t="s">
        <v>46</v>
      </c>
      <c r="C341">
        <v>17</v>
      </c>
      <c r="D341">
        <v>665</v>
      </c>
      <c r="E341" t="s">
        <v>581</v>
      </c>
      <c r="F341" t="s">
        <v>96</v>
      </c>
      <c r="G341">
        <v>17665</v>
      </c>
      <c r="H341">
        <v>17665</v>
      </c>
      <c r="I341" t="s">
        <v>49</v>
      </c>
      <c r="J341">
        <v>1703</v>
      </c>
      <c r="K341" t="s">
        <v>554</v>
      </c>
      <c r="L341" t="s">
        <v>91</v>
      </c>
      <c r="M341" t="s">
        <v>53</v>
      </c>
      <c r="N341">
        <v>4904</v>
      </c>
      <c r="O341" t="s">
        <v>53</v>
      </c>
      <c r="P341" t="s">
        <v>70</v>
      </c>
      <c r="Q341" t="s">
        <v>71</v>
      </c>
      <c r="R341" t="s">
        <v>56</v>
      </c>
      <c r="S341" t="s">
        <v>57</v>
      </c>
      <c r="T341" t="s">
        <v>58</v>
      </c>
      <c r="U341" t="s">
        <v>81</v>
      </c>
      <c r="V341">
        <v>0.26142799999999999</v>
      </c>
      <c r="W341" t="s">
        <v>53</v>
      </c>
      <c r="X341" t="s">
        <v>53</v>
      </c>
      <c r="Y341" t="s">
        <v>116</v>
      </c>
      <c r="Z341" t="str">
        <f t="shared" si="10"/>
        <v>Mayor que 30 - hasta 40</v>
      </c>
      <c r="AA341">
        <f t="shared" si="11"/>
        <v>1</v>
      </c>
      <c r="AB341">
        <v>17665</v>
      </c>
      <c r="AC341" t="s">
        <v>555</v>
      </c>
      <c r="AD341" t="s">
        <v>556</v>
      </c>
      <c r="AE341">
        <v>0.79555600000000004</v>
      </c>
      <c r="AF341" t="s">
        <v>63</v>
      </c>
      <c r="AG341">
        <v>30.189444000000002</v>
      </c>
      <c r="AH341" t="s">
        <v>555</v>
      </c>
      <c r="AI341" t="s">
        <v>557</v>
      </c>
      <c r="AJ341">
        <v>1.58422</v>
      </c>
      <c r="AK341" t="s">
        <v>76</v>
      </c>
      <c r="AL341">
        <v>60.580108000000003</v>
      </c>
      <c r="AM341" s="4" t="s">
        <v>65</v>
      </c>
      <c r="AN341" s="5">
        <v>3909.430734409174</v>
      </c>
      <c r="AO341" s="4" t="s">
        <v>65</v>
      </c>
      <c r="AP341" s="6">
        <v>1449</v>
      </c>
      <c r="AQ341">
        <v>3</v>
      </c>
      <c r="AR341">
        <v>3597.202902</v>
      </c>
      <c r="AS341" t="s">
        <v>66</v>
      </c>
      <c r="AT341" t="s">
        <v>53</v>
      </c>
    </row>
    <row r="342" spans="1:46">
      <c r="A342">
        <v>246</v>
      </c>
      <c r="B342" t="s">
        <v>46</v>
      </c>
      <c r="C342">
        <v>17</v>
      </c>
      <c r="D342">
        <v>777</v>
      </c>
      <c r="E342" t="s">
        <v>582</v>
      </c>
      <c r="F342" t="s">
        <v>96</v>
      </c>
      <c r="G342">
        <v>17777</v>
      </c>
      <c r="H342">
        <v>17777</v>
      </c>
      <c r="I342" t="s">
        <v>49</v>
      </c>
      <c r="J342">
        <v>1701</v>
      </c>
      <c r="K342" t="s">
        <v>562</v>
      </c>
      <c r="L342" t="s">
        <v>91</v>
      </c>
      <c r="M342" t="s">
        <v>53</v>
      </c>
      <c r="N342">
        <v>29856</v>
      </c>
      <c r="O342" t="s">
        <v>53</v>
      </c>
      <c r="P342" t="s">
        <v>70</v>
      </c>
      <c r="Q342" t="s">
        <v>71</v>
      </c>
      <c r="R342" t="s">
        <v>122</v>
      </c>
      <c r="S342" t="s">
        <v>57</v>
      </c>
      <c r="T342" t="s">
        <v>58</v>
      </c>
      <c r="U342" t="s">
        <v>59</v>
      </c>
      <c r="V342">
        <v>0.60860499999999995</v>
      </c>
      <c r="W342" t="s">
        <v>53</v>
      </c>
      <c r="X342" t="s">
        <v>53</v>
      </c>
      <c r="Y342" t="s">
        <v>102</v>
      </c>
      <c r="Z342" t="str">
        <f t="shared" si="10"/>
        <v>Mayor que 20 - hasta 30</v>
      </c>
      <c r="AA342">
        <f t="shared" si="11"/>
        <v>1</v>
      </c>
      <c r="AB342">
        <v>17777</v>
      </c>
      <c r="AC342" t="s">
        <v>161</v>
      </c>
      <c r="AD342" t="s">
        <v>162</v>
      </c>
      <c r="AE342">
        <v>1.6975849999999999</v>
      </c>
      <c r="AF342" t="s">
        <v>76</v>
      </c>
      <c r="AG342">
        <v>71.262445999999997</v>
      </c>
      <c r="AH342" t="s">
        <v>161</v>
      </c>
      <c r="AI342" t="s">
        <v>163</v>
      </c>
      <c r="AJ342">
        <v>1.866276</v>
      </c>
      <c r="AK342" t="s">
        <v>76</v>
      </c>
      <c r="AL342">
        <v>77.329351000000003</v>
      </c>
      <c r="AM342" s="4" t="s">
        <v>65</v>
      </c>
      <c r="AN342" s="5">
        <v>6250.7046472706916</v>
      </c>
      <c r="AO342" s="4" t="s">
        <v>65</v>
      </c>
      <c r="AP342" s="6">
        <v>2636</v>
      </c>
      <c r="AQ342">
        <v>4</v>
      </c>
      <c r="AR342">
        <v>4609.2287239999996</v>
      </c>
      <c r="AS342" t="s">
        <v>66</v>
      </c>
      <c r="AT342" t="s">
        <v>53</v>
      </c>
    </row>
    <row r="343" spans="1:46">
      <c r="A343">
        <v>245</v>
      </c>
      <c r="B343" t="s">
        <v>46</v>
      </c>
      <c r="C343">
        <v>17</v>
      </c>
      <c r="D343">
        <v>867</v>
      </c>
      <c r="E343" t="s">
        <v>583</v>
      </c>
      <c r="F343" t="s">
        <v>96</v>
      </c>
      <c r="G343">
        <v>17867</v>
      </c>
      <c r="H343">
        <v>17867</v>
      </c>
      <c r="I343" t="s">
        <v>49</v>
      </c>
      <c r="J343">
        <v>1705</v>
      </c>
      <c r="K343" t="s">
        <v>68</v>
      </c>
      <c r="L343" t="s">
        <v>69</v>
      </c>
      <c r="M343" t="s">
        <v>53</v>
      </c>
      <c r="N343">
        <v>10462</v>
      </c>
      <c r="O343" t="s">
        <v>53</v>
      </c>
      <c r="P343" t="s">
        <v>70</v>
      </c>
      <c r="Q343" t="s">
        <v>71</v>
      </c>
      <c r="R343" t="s">
        <v>72</v>
      </c>
      <c r="S343" t="s">
        <v>57</v>
      </c>
      <c r="T343" t="s">
        <v>58</v>
      </c>
      <c r="U343" t="s">
        <v>81</v>
      </c>
      <c r="V343">
        <v>0.48907899999999999</v>
      </c>
      <c r="W343" t="s">
        <v>53</v>
      </c>
      <c r="X343" t="s">
        <v>53</v>
      </c>
      <c r="Y343" t="s">
        <v>82</v>
      </c>
      <c r="Z343" t="str">
        <f t="shared" si="10"/>
        <v>Mayor que 15 - hasta 20</v>
      </c>
      <c r="AA343">
        <f t="shared" si="11"/>
        <v>1</v>
      </c>
      <c r="AB343">
        <v>17867</v>
      </c>
      <c r="AC343" t="s">
        <v>564</v>
      </c>
      <c r="AD343" t="s">
        <v>569</v>
      </c>
      <c r="AE343">
        <v>0.60453500000000004</v>
      </c>
      <c r="AF343" t="s">
        <v>63</v>
      </c>
      <c r="AG343">
        <v>19.199494999999999</v>
      </c>
      <c r="AH343" t="s">
        <v>564</v>
      </c>
      <c r="AI343" t="s">
        <v>565</v>
      </c>
      <c r="AJ343">
        <v>3.1416740000000001</v>
      </c>
      <c r="AK343" t="s">
        <v>84</v>
      </c>
      <c r="AL343">
        <v>139.778088</v>
      </c>
      <c r="AM343" s="4" t="s">
        <v>64</v>
      </c>
      <c r="AN343" s="5">
        <v>28273.948354751352</v>
      </c>
      <c r="AO343" s="4" t="s">
        <v>65</v>
      </c>
      <c r="AP343" s="6">
        <v>1104</v>
      </c>
      <c r="AQ343">
        <v>3</v>
      </c>
      <c r="AR343">
        <v>22707.637374000002</v>
      </c>
      <c r="AS343" t="s">
        <v>66</v>
      </c>
      <c r="AT343" t="s">
        <v>53</v>
      </c>
    </row>
    <row r="344" spans="1:46">
      <c r="A344">
        <v>244</v>
      </c>
      <c r="B344" t="s">
        <v>46</v>
      </c>
      <c r="C344">
        <v>17</v>
      </c>
      <c r="D344">
        <v>873</v>
      </c>
      <c r="E344" t="s">
        <v>584</v>
      </c>
      <c r="F344" t="s">
        <v>96</v>
      </c>
      <c r="G344">
        <v>17873</v>
      </c>
      <c r="H344">
        <v>17873</v>
      </c>
      <c r="I344" t="s">
        <v>49</v>
      </c>
      <c r="J344">
        <v>1704</v>
      </c>
      <c r="K344" t="s">
        <v>409</v>
      </c>
      <c r="L344" t="s">
        <v>51</v>
      </c>
      <c r="M344" t="s">
        <v>53</v>
      </c>
      <c r="N344">
        <v>68601</v>
      </c>
      <c r="O344" t="s">
        <v>53</v>
      </c>
      <c r="P344" t="s">
        <v>92</v>
      </c>
      <c r="Q344" t="s">
        <v>118</v>
      </c>
      <c r="R344" t="s">
        <v>105</v>
      </c>
      <c r="S344" t="s">
        <v>57</v>
      </c>
      <c r="T344" t="s">
        <v>58</v>
      </c>
      <c r="U344" t="s">
        <v>81</v>
      </c>
      <c r="V344">
        <v>0.43477300000000002</v>
      </c>
      <c r="W344">
        <v>2024</v>
      </c>
      <c r="X344" t="s">
        <v>144</v>
      </c>
      <c r="Y344" t="s">
        <v>136</v>
      </c>
      <c r="Z344" t="str">
        <f t="shared" si="10"/>
        <v>Mayor que 100 - hasta 120</v>
      </c>
      <c r="AA344">
        <f t="shared" si="11"/>
        <v>1</v>
      </c>
      <c r="AB344">
        <v>17873</v>
      </c>
      <c r="AC344" t="s">
        <v>161</v>
      </c>
      <c r="AD344" t="s">
        <v>585</v>
      </c>
      <c r="AE344">
        <v>0</v>
      </c>
      <c r="AF344" t="s">
        <v>63</v>
      </c>
      <c r="AG344">
        <v>0</v>
      </c>
      <c r="AH344" t="s">
        <v>161</v>
      </c>
      <c r="AI344" t="s">
        <v>163</v>
      </c>
      <c r="AJ344">
        <v>0.16965</v>
      </c>
      <c r="AK344" t="s">
        <v>63</v>
      </c>
      <c r="AL344">
        <v>3.72132</v>
      </c>
      <c r="AM344" s="4" t="s">
        <v>64</v>
      </c>
      <c r="AN344" s="5">
        <v>8313.1173013248044</v>
      </c>
      <c r="AO344" s="4" t="s">
        <v>65</v>
      </c>
      <c r="AP344" s="6">
        <v>2247</v>
      </c>
      <c r="AQ344">
        <v>4</v>
      </c>
      <c r="AR344">
        <v>8358.668146</v>
      </c>
      <c r="AS344" t="s">
        <v>66</v>
      </c>
      <c r="AT344" t="s">
        <v>53</v>
      </c>
    </row>
    <row r="345" spans="1:46">
      <c r="A345">
        <v>243</v>
      </c>
      <c r="B345" t="s">
        <v>46</v>
      </c>
      <c r="C345">
        <v>17</v>
      </c>
      <c r="D345">
        <v>877</v>
      </c>
      <c r="E345" t="s">
        <v>586</v>
      </c>
      <c r="F345" t="s">
        <v>96</v>
      </c>
      <c r="G345">
        <v>17877</v>
      </c>
      <c r="H345">
        <v>17877</v>
      </c>
      <c r="I345" t="s">
        <v>49</v>
      </c>
      <c r="J345">
        <v>1703</v>
      </c>
      <c r="K345" t="s">
        <v>554</v>
      </c>
      <c r="L345" t="s">
        <v>91</v>
      </c>
      <c r="M345" t="s">
        <v>53</v>
      </c>
      <c r="N345">
        <v>13155</v>
      </c>
      <c r="O345" t="s">
        <v>53</v>
      </c>
      <c r="P345" t="s">
        <v>70</v>
      </c>
      <c r="Q345" t="s">
        <v>71</v>
      </c>
      <c r="R345" t="s">
        <v>122</v>
      </c>
      <c r="S345" t="s">
        <v>57</v>
      </c>
      <c r="T345" t="s">
        <v>58</v>
      </c>
      <c r="U345" t="s">
        <v>81</v>
      </c>
      <c r="V345">
        <v>0.32600200000000001</v>
      </c>
      <c r="W345" t="s">
        <v>53</v>
      </c>
      <c r="X345" t="s">
        <v>53</v>
      </c>
      <c r="Y345" t="s">
        <v>116</v>
      </c>
      <c r="Z345" t="str">
        <f t="shared" si="10"/>
        <v>Mayor que 30 - hasta 40</v>
      </c>
      <c r="AA345">
        <f t="shared" si="11"/>
        <v>1</v>
      </c>
      <c r="AB345">
        <v>17877</v>
      </c>
      <c r="AC345" t="s">
        <v>555</v>
      </c>
      <c r="AD345" t="s">
        <v>556</v>
      </c>
      <c r="AE345">
        <v>0.47538900000000001</v>
      </c>
      <c r="AF345" t="s">
        <v>63</v>
      </c>
      <c r="AG345">
        <v>24.019596</v>
      </c>
      <c r="AH345" t="s">
        <v>555</v>
      </c>
      <c r="AI345" t="s">
        <v>557</v>
      </c>
      <c r="AJ345">
        <v>1.2640530000000001</v>
      </c>
      <c r="AK345" t="s">
        <v>76</v>
      </c>
      <c r="AL345">
        <v>54.410260000000001</v>
      </c>
      <c r="AM345" s="4" t="s">
        <v>64</v>
      </c>
      <c r="AN345" s="5">
        <v>5810.5063564696138</v>
      </c>
      <c r="AO345" s="4" t="s">
        <v>65</v>
      </c>
      <c r="AP345" s="6">
        <v>824</v>
      </c>
      <c r="AQ345">
        <v>1</v>
      </c>
      <c r="AR345">
        <v>3686.1888939999999</v>
      </c>
      <c r="AS345" t="s">
        <v>66</v>
      </c>
      <c r="AT345" t="s">
        <v>53</v>
      </c>
    </row>
    <row r="346" spans="1:46">
      <c r="A346">
        <v>0</v>
      </c>
      <c r="B346" t="s">
        <v>46</v>
      </c>
      <c r="C346">
        <v>18</v>
      </c>
      <c r="D346">
        <v>1</v>
      </c>
      <c r="E346" t="s">
        <v>587</v>
      </c>
      <c r="F346" t="s">
        <v>588</v>
      </c>
      <c r="G346">
        <v>18001</v>
      </c>
      <c r="H346">
        <v>18001</v>
      </c>
      <c r="I346" t="s">
        <v>589</v>
      </c>
      <c r="J346">
        <v>1800</v>
      </c>
      <c r="K346" t="s">
        <v>588</v>
      </c>
      <c r="L346" t="s">
        <v>51</v>
      </c>
      <c r="M346" t="s">
        <v>52</v>
      </c>
      <c r="N346">
        <v>177946</v>
      </c>
      <c r="O346" t="s">
        <v>53</v>
      </c>
      <c r="P346" t="s">
        <v>54</v>
      </c>
      <c r="Q346" t="s">
        <v>210</v>
      </c>
      <c r="R346" t="s">
        <v>294</v>
      </c>
      <c r="S346" t="s">
        <v>590</v>
      </c>
      <c r="T346" t="s">
        <v>73</v>
      </c>
      <c r="U346" t="s">
        <v>101</v>
      </c>
      <c r="V346">
        <v>0.52129700000000001</v>
      </c>
      <c r="W346">
        <v>2024</v>
      </c>
      <c r="X346" t="s">
        <v>217</v>
      </c>
      <c r="Y346" t="s">
        <v>218</v>
      </c>
      <c r="Z346" t="str">
        <f t="shared" si="10"/>
        <v>Mayor que 40 - hasta 50</v>
      </c>
      <c r="AA346">
        <f t="shared" si="11"/>
        <v>0</v>
      </c>
      <c r="AB346">
        <v>18001</v>
      </c>
      <c r="AC346" t="s">
        <v>591</v>
      </c>
      <c r="AD346" t="s">
        <v>587</v>
      </c>
      <c r="AE346">
        <v>0</v>
      </c>
      <c r="AF346" t="s">
        <v>63</v>
      </c>
      <c r="AG346">
        <v>0</v>
      </c>
      <c r="AH346" t="s">
        <v>592</v>
      </c>
      <c r="AI346" t="s">
        <v>587</v>
      </c>
      <c r="AJ346">
        <v>6.7811999999999997E-2</v>
      </c>
      <c r="AK346" t="s">
        <v>63</v>
      </c>
      <c r="AL346">
        <v>0.78284299999999996</v>
      </c>
      <c r="AM346" s="4" t="s">
        <v>64</v>
      </c>
      <c r="AN346" s="5">
        <v>86068.845210132102</v>
      </c>
      <c r="AO346" s="4" t="s">
        <v>65</v>
      </c>
      <c r="AP346" s="6">
        <v>2536</v>
      </c>
      <c r="AQ346">
        <v>4</v>
      </c>
      <c r="AR346">
        <v>130405.61187199999</v>
      </c>
      <c r="AS346" t="s">
        <v>66</v>
      </c>
      <c r="AT346" t="s">
        <v>53</v>
      </c>
    </row>
    <row r="347" spans="1:46">
      <c r="A347">
        <v>1</v>
      </c>
      <c r="B347" t="s">
        <v>46</v>
      </c>
      <c r="C347">
        <v>18</v>
      </c>
      <c r="D347">
        <v>29</v>
      </c>
      <c r="E347" t="s">
        <v>593</v>
      </c>
      <c r="F347" t="s">
        <v>588</v>
      </c>
      <c r="G347">
        <v>18029</v>
      </c>
      <c r="H347">
        <v>18029</v>
      </c>
      <c r="I347" t="s">
        <v>589</v>
      </c>
      <c r="J347">
        <v>1800</v>
      </c>
      <c r="K347" t="s">
        <v>588</v>
      </c>
      <c r="L347" t="s">
        <v>69</v>
      </c>
      <c r="M347" t="s">
        <v>53</v>
      </c>
      <c r="N347">
        <v>4775</v>
      </c>
      <c r="O347" t="s">
        <v>53</v>
      </c>
      <c r="P347" t="s">
        <v>70</v>
      </c>
      <c r="Q347" t="s">
        <v>71</v>
      </c>
      <c r="R347" t="s">
        <v>105</v>
      </c>
      <c r="S347" t="s">
        <v>590</v>
      </c>
      <c r="T347" t="s">
        <v>73</v>
      </c>
      <c r="U347" t="s">
        <v>119</v>
      </c>
      <c r="V347">
        <v>0.61488100000000001</v>
      </c>
      <c r="W347" t="s">
        <v>53</v>
      </c>
      <c r="X347" t="s">
        <v>53</v>
      </c>
      <c r="Y347" t="s">
        <v>277</v>
      </c>
      <c r="Z347" t="str">
        <f t="shared" si="10"/>
        <v>Mayor que 10 - hasta 15</v>
      </c>
      <c r="AA347">
        <f t="shared" si="11"/>
        <v>1</v>
      </c>
      <c r="AB347">
        <v>18029</v>
      </c>
      <c r="AC347" t="s">
        <v>591</v>
      </c>
      <c r="AD347" t="s">
        <v>587</v>
      </c>
      <c r="AE347">
        <v>1.654393</v>
      </c>
      <c r="AF347" t="s">
        <v>76</v>
      </c>
      <c r="AG347">
        <v>77.093817000000001</v>
      </c>
      <c r="AH347" t="s">
        <v>592</v>
      </c>
      <c r="AI347" t="s">
        <v>587</v>
      </c>
      <c r="AJ347">
        <v>1.6384970000000001</v>
      </c>
      <c r="AK347" t="s">
        <v>76</v>
      </c>
      <c r="AL347">
        <v>76.569552999999999</v>
      </c>
      <c r="AM347" s="4" t="s">
        <v>64</v>
      </c>
      <c r="AN347" s="5">
        <v>34530.865725964315</v>
      </c>
      <c r="AO347" s="4" t="s">
        <v>64</v>
      </c>
      <c r="AP347" s="6">
        <v>706</v>
      </c>
      <c r="AQ347">
        <v>4</v>
      </c>
      <c r="AR347">
        <v>30929.379492</v>
      </c>
      <c r="AS347" t="s">
        <v>66</v>
      </c>
      <c r="AT347" t="s">
        <v>53</v>
      </c>
    </row>
    <row r="348" spans="1:46">
      <c r="A348">
        <v>2</v>
      </c>
      <c r="B348" t="s">
        <v>46</v>
      </c>
      <c r="C348">
        <v>18</v>
      </c>
      <c r="D348">
        <v>94</v>
      </c>
      <c r="E348" t="s">
        <v>594</v>
      </c>
      <c r="F348" t="s">
        <v>588</v>
      </c>
      <c r="G348">
        <v>18094</v>
      </c>
      <c r="H348">
        <v>18094</v>
      </c>
      <c r="I348" t="s">
        <v>589</v>
      </c>
      <c r="J348">
        <v>1800</v>
      </c>
      <c r="K348" t="s">
        <v>588</v>
      </c>
      <c r="L348" t="s">
        <v>69</v>
      </c>
      <c r="M348" t="s">
        <v>53</v>
      </c>
      <c r="N348">
        <v>11467</v>
      </c>
      <c r="O348" t="s">
        <v>53</v>
      </c>
      <c r="P348" t="s">
        <v>70</v>
      </c>
      <c r="Q348" t="s">
        <v>71</v>
      </c>
      <c r="R348" t="s">
        <v>56</v>
      </c>
      <c r="S348" t="s">
        <v>590</v>
      </c>
      <c r="T348" t="s">
        <v>73</v>
      </c>
      <c r="U348" t="s">
        <v>101</v>
      </c>
      <c r="V348">
        <v>0.32541900000000001</v>
      </c>
      <c r="W348">
        <v>2024</v>
      </c>
      <c r="X348" t="s">
        <v>310</v>
      </c>
      <c r="Y348" t="s">
        <v>311</v>
      </c>
      <c r="Z348" t="str">
        <f t="shared" si="10"/>
        <v>Mayor que 15 - hasta 20</v>
      </c>
      <c r="AA348">
        <f t="shared" si="11"/>
        <v>0</v>
      </c>
      <c r="AB348">
        <v>18094</v>
      </c>
      <c r="AC348" t="s">
        <v>591</v>
      </c>
      <c r="AD348" t="s">
        <v>587</v>
      </c>
      <c r="AE348">
        <v>1.0239020000000001</v>
      </c>
      <c r="AF348" t="s">
        <v>76</v>
      </c>
      <c r="AG348">
        <v>48.348737</v>
      </c>
      <c r="AH348" t="s">
        <v>592</v>
      </c>
      <c r="AI348" t="s">
        <v>587</v>
      </c>
      <c r="AJ348">
        <v>1.008005</v>
      </c>
      <c r="AK348" t="s">
        <v>76</v>
      </c>
      <c r="AL348">
        <v>47.824472999999998</v>
      </c>
      <c r="AM348" s="4" t="s">
        <v>64</v>
      </c>
      <c r="AN348" s="5">
        <v>27102.544950906253</v>
      </c>
      <c r="AO348" s="4" t="s">
        <v>64</v>
      </c>
      <c r="AP348" s="6">
        <v>495</v>
      </c>
      <c r="AQ348">
        <v>4</v>
      </c>
      <c r="AR348">
        <v>46132.140171999999</v>
      </c>
      <c r="AS348" t="s">
        <v>66</v>
      </c>
      <c r="AT348" t="s">
        <v>53</v>
      </c>
    </row>
    <row r="349" spans="1:46">
      <c r="A349">
        <v>10</v>
      </c>
      <c r="B349" t="s">
        <v>46</v>
      </c>
      <c r="C349">
        <v>18</v>
      </c>
      <c r="D349">
        <v>150</v>
      </c>
      <c r="E349" t="s">
        <v>595</v>
      </c>
      <c r="F349" t="s">
        <v>588</v>
      </c>
      <c r="G349">
        <v>18150</v>
      </c>
      <c r="H349">
        <v>18150</v>
      </c>
      <c r="I349" t="s">
        <v>589</v>
      </c>
      <c r="J349">
        <v>1800</v>
      </c>
      <c r="K349" t="s">
        <v>588</v>
      </c>
      <c r="L349" t="s">
        <v>80</v>
      </c>
      <c r="M349" t="s">
        <v>53</v>
      </c>
      <c r="N349">
        <v>32611</v>
      </c>
      <c r="O349" t="s">
        <v>53</v>
      </c>
      <c r="P349" t="s">
        <v>92</v>
      </c>
      <c r="Q349" t="s">
        <v>71</v>
      </c>
      <c r="R349" t="s">
        <v>56</v>
      </c>
      <c r="S349" t="s">
        <v>590</v>
      </c>
      <c r="T349" t="s">
        <v>73</v>
      </c>
      <c r="U349" t="s">
        <v>115</v>
      </c>
      <c r="V349">
        <v>0.63137600000000005</v>
      </c>
      <c r="W349" t="s">
        <v>53</v>
      </c>
      <c r="X349" t="s">
        <v>53</v>
      </c>
      <c r="Y349" t="s">
        <v>596</v>
      </c>
      <c r="Z349" t="str">
        <f t="shared" si="10"/>
        <v>Mayor que 8 - hasta 10</v>
      </c>
      <c r="AA349">
        <f t="shared" si="11"/>
        <v>1</v>
      </c>
      <c r="AB349">
        <v>18150</v>
      </c>
      <c r="AC349" t="s">
        <v>591</v>
      </c>
      <c r="AD349" t="s">
        <v>587</v>
      </c>
      <c r="AE349">
        <v>3.038322</v>
      </c>
      <c r="AF349" t="s">
        <v>84</v>
      </c>
      <c r="AG349">
        <v>122.933723</v>
      </c>
      <c r="AH349" t="s">
        <v>592</v>
      </c>
      <c r="AI349" t="s">
        <v>587</v>
      </c>
      <c r="AJ349">
        <v>3.0224259999999998</v>
      </c>
      <c r="AK349" t="s">
        <v>84</v>
      </c>
      <c r="AL349">
        <v>122.409459</v>
      </c>
      <c r="AM349" s="4" t="s">
        <v>64</v>
      </c>
      <c r="AN349" s="5">
        <v>189633.78945006657</v>
      </c>
      <c r="AO349" s="4" t="s">
        <v>64</v>
      </c>
      <c r="AP349" s="6">
        <v>2602</v>
      </c>
      <c r="AQ349">
        <v>3</v>
      </c>
      <c r="AR349">
        <v>255848.404927</v>
      </c>
      <c r="AS349" t="s">
        <v>66</v>
      </c>
      <c r="AT349" t="s">
        <v>53</v>
      </c>
    </row>
    <row r="350" spans="1:46">
      <c r="A350">
        <v>14</v>
      </c>
      <c r="B350" t="s">
        <v>46</v>
      </c>
      <c r="C350">
        <v>18</v>
      </c>
      <c r="D350">
        <v>205</v>
      </c>
      <c r="E350" t="s">
        <v>597</v>
      </c>
      <c r="F350" t="s">
        <v>588</v>
      </c>
      <c r="G350">
        <v>18205</v>
      </c>
      <c r="H350">
        <v>18205</v>
      </c>
      <c r="I350" t="s">
        <v>589</v>
      </c>
      <c r="J350">
        <v>1800</v>
      </c>
      <c r="K350" t="s">
        <v>588</v>
      </c>
      <c r="L350" t="s">
        <v>69</v>
      </c>
      <c r="M350" t="s">
        <v>53</v>
      </c>
      <c r="N350">
        <v>8051</v>
      </c>
      <c r="O350" t="s">
        <v>53</v>
      </c>
      <c r="P350" t="s">
        <v>70</v>
      </c>
      <c r="Q350" t="s">
        <v>71</v>
      </c>
      <c r="R350" t="s">
        <v>249</v>
      </c>
      <c r="S350" t="s">
        <v>590</v>
      </c>
      <c r="T350" t="s">
        <v>73</v>
      </c>
      <c r="U350" t="s">
        <v>115</v>
      </c>
      <c r="V350">
        <v>0.82326500000000002</v>
      </c>
      <c r="W350" t="s">
        <v>53</v>
      </c>
      <c r="X350" t="s">
        <v>53</v>
      </c>
      <c r="Y350" t="s">
        <v>277</v>
      </c>
      <c r="Z350" t="str">
        <f t="shared" si="10"/>
        <v>Mayor que 10 - hasta 15</v>
      </c>
      <c r="AA350">
        <f t="shared" si="11"/>
        <v>1</v>
      </c>
      <c r="AB350">
        <v>18205</v>
      </c>
      <c r="AC350" t="s">
        <v>591</v>
      </c>
      <c r="AD350" t="s">
        <v>587</v>
      </c>
      <c r="AE350">
        <v>2.5022139999999999</v>
      </c>
      <c r="AF350" t="s">
        <v>77</v>
      </c>
      <c r="AG350">
        <v>109.875649</v>
      </c>
      <c r="AH350" t="s">
        <v>592</v>
      </c>
      <c r="AI350" t="s">
        <v>587</v>
      </c>
      <c r="AJ350">
        <v>2.4863179999999998</v>
      </c>
      <c r="AK350" t="s">
        <v>77</v>
      </c>
      <c r="AL350">
        <v>109.35138499999999</v>
      </c>
      <c r="AM350" s="4" t="s">
        <v>64</v>
      </c>
      <c r="AN350" s="5">
        <v>32477.414264919054</v>
      </c>
      <c r="AO350" s="4" t="s">
        <v>64</v>
      </c>
      <c r="AP350" s="6">
        <v>618</v>
      </c>
      <c r="AQ350">
        <v>3</v>
      </c>
      <c r="AR350">
        <v>21394.012477</v>
      </c>
      <c r="AS350" t="s">
        <v>66</v>
      </c>
      <c r="AT350" t="s">
        <v>53</v>
      </c>
    </row>
    <row r="351" spans="1:46">
      <c r="A351">
        <v>3</v>
      </c>
      <c r="B351" t="s">
        <v>46</v>
      </c>
      <c r="C351">
        <v>18</v>
      </c>
      <c r="D351">
        <v>247</v>
      </c>
      <c r="E351" t="s">
        <v>598</v>
      </c>
      <c r="F351" t="s">
        <v>588</v>
      </c>
      <c r="G351">
        <v>18247</v>
      </c>
      <c r="H351">
        <v>18247</v>
      </c>
      <c r="I351" t="s">
        <v>589</v>
      </c>
      <c r="J351">
        <v>1800</v>
      </c>
      <c r="K351" t="s">
        <v>588</v>
      </c>
      <c r="L351" t="s">
        <v>69</v>
      </c>
      <c r="M351" t="s">
        <v>53</v>
      </c>
      <c r="N351">
        <v>20195</v>
      </c>
      <c r="O351" t="s">
        <v>53</v>
      </c>
      <c r="P351" t="s">
        <v>70</v>
      </c>
      <c r="Q351" t="s">
        <v>71</v>
      </c>
      <c r="R351" t="s">
        <v>93</v>
      </c>
      <c r="S351" t="s">
        <v>590</v>
      </c>
      <c r="T351" t="s">
        <v>73</v>
      </c>
      <c r="U351" t="s">
        <v>101</v>
      </c>
      <c r="V351">
        <v>0.39850400000000002</v>
      </c>
      <c r="W351" t="s">
        <v>53</v>
      </c>
      <c r="X351" t="s">
        <v>53</v>
      </c>
      <c r="Y351" t="s">
        <v>277</v>
      </c>
      <c r="Z351" t="str">
        <f t="shared" si="10"/>
        <v>Mayor que 10 - hasta 15</v>
      </c>
      <c r="AA351">
        <f t="shared" si="11"/>
        <v>1</v>
      </c>
      <c r="AB351">
        <v>18247</v>
      </c>
      <c r="AC351" t="s">
        <v>591</v>
      </c>
      <c r="AD351" t="s">
        <v>587</v>
      </c>
      <c r="AE351">
        <v>1.606913</v>
      </c>
      <c r="AF351" t="s">
        <v>76</v>
      </c>
      <c r="AG351">
        <v>68.003867</v>
      </c>
      <c r="AH351" t="s">
        <v>592</v>
      </c>
      <c r="AI351" t="s">
        <v>587</v>
      </c>
      <c r="AJ351">
        <v>1.5910169999999999</v>
      </c>
      <c r="AK351" t="s">
        <v>76</v>
      </c>
      <c r="AL351">
        <v>67.479602999999997</v>
      </c>
      <c r="AM351" s="4" t="s">
        <v>64</v>
      </c>
      <c r="AN351" s="5">
        <v>53124.075498774902</v>
      </c>
      <c r="AO351" s="4" t="s">
        <v>64</v>
      </c>
      <c r="AP351" s="6">
        <v>893</v>
      </c>
      <c r="AQ351">
        <v>4</v>
      </c>
      <c r="AR351">
        <v>79590.478447999994</v>
      </c>
      <c r="AS351" t="s">
        <v>66</v>
      </c>
      <c r="AT351" t="s">
        <v>53</v>
      </c>
    </row>
    <row r="352" spans="1:46">
      <c r="A352">
        <v>4</v>
      </c>
      <c r="B352" t="s">
        <v>46</v>
      </c>
      <c r="C352">
        <v>18</v>
      </c>
      <c r="D352">
        <v>256</v>
      </c>
      <c r="E352" t="s">
        <v>599</v>
      </c>
      <c r="F352" t="s">
        <v>588</v>
      </c>
      <c r="G352">
        <v>18256</v>
      </c>
      <c r="H352">
        <v>18256</v>
      </c>
      <c r="I352" t="s">
        <v>589</v>
      </c>
      <c r="J352">
        <v>1800</v>
      </c>
      <c r="K352" t="s">
        <v>588</v>
      </c>
      <c r="L352" t="s">
        <v>69</v>
      </c>
      <c r="M352" t="s">
        <v>53</v>
      </c>
      <c r="N352">
        <v>19137</v>
      </c>
      <c r="O352" t="s">
        <v>53</v>
      </c>
      <c r="P352" t="s">
        <v>70</v>
      </c>
      <c r="Q352" t="s">
        <v>71</v>
      </c>
      <c r="R352" t="s">
        <v>72</v>
      </c>
      <c r="S352" t="s">
        <v>590</v>
      </c>
      <c r="T352" t="s">
        <v>73</v>
      </c>
      <c r="U352" t="s">
        <v>115</v>
      </c>
      <c r="V352">
        <v>0.44068499999999999</v>
      </c>
      <c r="W352" t="s">
        <v>53</v>
      </c>
      <c r="X352" t="s">
        <v>53</v>
      </c>
      <c r="Y352" t="s">
        <v>277</v>
      </c>
      <c r="Z352" t="str">
        <f t="shared" si="10"/>
        <v>Mayor que 10 - hasta 15</v>
      </c>
      <c r="AA352">
        <f t="shared" si="11"/>
        <v>1</v>
      </c>
      <c r="AB352">
        <v>18256</v>
      </c>
      <c r="AC352" t="s">
        <v>591</v>
      </c>
      <c r="AD352" t="s">
        <v>587</v>
      </c>
      <c r="AE352">
        <v>1.2592719999999999</v>
      </c>
      <c r="AF352" t="s">
        <v>76</v>
      </c>
      <c r="AG352">
        <v>53.398485000000001</v>
      </c>
      <c r="AH352" t="s">
        <v>592</v>
      </c>
      <c r="AI352" t="s">
        <v>587</v>
      </c>
      <c r="AJ352">
        <v>1.243376</v>
      </c>
      <c r="AK352" t="s">
        <v>76</v>
      </c>
      <c r="AL352">
        <v>52.874220999999999</v>
      </c>
      <c r="AM352" s="4" t="s">
        <v>64</v>
      </c>
      <c r="AN352" s="5">
        <v>63445.703296200954</v>
      </c>
      <c r="AO352" s="4" t="s">
        <v>64</v>
      </c>
      <c r="AP352" s="6">
        <v>1095</v>
      </c>
      <c r="AQ352">
        <v>4</v>
      </c>
      <c r="AR352">
        <v>90187.955231</v>
      </c>
      <c r="AS352" t="s">
        <v>66</v>
      </c>
      <c r="AT352" t="s">
        <v>53</v>
      </c>
    </row>
    <row r="353" spans="1:46">
      <c r="A353">
        <v>5</v>
      </c>
      <c r="B353" t="s">
        <v>46</v>
      </c>
      <c r="C353">
        <v>18</v>
      </c>
      <c r="D353">
        <v>410</v>
      </c>
      <c r="E353" t="s">
        <v>600</v>
      </c>
      <c r="F353" t="s">
        <v>588</v>
      </c>
      <c r="G353">
        <v>18410</v>
      </c>
      <c r="H353">
        <v>18410</v>
      </c>
      <c r="I353" t="s">
        <v>589</v>
      </c>
      <c r="J353">
        <v>1800</v>
      </c>
      <c r="K353" t="s">
        <v>588</v>
      </c>
      <c r="L353" t="s">
        <v>80</v>
      </c>
      <c r="M353" t="s">
        <v>53</v>
      </c>
      <c r="N353">
        <v>15503</v>
      </c>
      <c r="O353" t="s">
        <v>53</v>
      </c>
      <c r="P353" t="s">
        <v>70</v>
      </c>
      <c r="Q353" t="s">
        <v>71</v>
      </c>
      <c r="R353" t="s">
        <v>72</v>
      </c>
      <c r="S353" t="s">
        <v>590</v>
      </c>
      <c r="T353" t="s">
        <v>73</v>
      </c>
      <c r="U353" t="s">
        <v>115</v>
      </c>
      <c r="V353">
        <v>0.46841100000000002</v>
      </c>
      <c r="W353" t="s">
        <v>53</v>
      </c>
      <c r="X353" t="s">
        <v>53</v>
      </c>
      <c r="Y353" t="s">
        <v>82</v>
      </c>
      <c r="Z353" t="str">
        <f t="shared" si="10"/>
        <v>Mayor que 15 - hasta 20</v>
      </c>
      <c r="AA353">
        <f t="shared" si="11"/>
        <v>1</v>
      </c>
      <c r="AB353">
        <v>18410</v>
      </c>
      <c r="AC353" t="s">
        <v>591</v>
      </c>
      <c r="AD353" t="s">
        <v>587</v>
      </c>
      <c r="AE353">
        <v>0.76660799999999996</v>
      </c>
      <c r="AF353" t="s">
        <v>63</v>
      </c>
      <c r="AG353">
        <v>32.036248000000001</v>
      </c>
      <c r="AH353" t="s">
        <v>592</v>
      </c>
      <c r="AI353" t="s">
        <v>587</v>
      </c>
      <c r="AJ353">
        <v>0.75071100000000002</v>
      </c>
      <c r="AK353" t="s">
        <v>63</v>
      </c>
      <c r="AL353">
        <v>31.511984000000002</v>
      </c>
      <c r="AM353" s="4" t="s">
        <v>64</v>
      </c>
      <c r="AN353" s="5">
        <v>86819.374946539712</v>
      </c>
      <c r="AO353" s="4" t="s">
        <v>64</v>
      </c>
      <c r="AP353" s="6">
        <v>1493</v>
      </c>
      <c r="AQ353">
        <v>4</v>
      </c>
      <c r="AR353">
        <v>154155.483278</v>
      </c>
      <c r="AS353" t="s">
        <v>66</v>
      </c>
      <c r="AT353" t="s">
        <v>53</v>
      </c>
    </row>
    <row r="354" spans="1:46">
      <c r="A354">
        <v>6</v>
      </c>
      <c r="B354" t="s">
        <v>46</v>
      </c>
      <c r="C354">
        <v>18</v>
      </c>
      <c r="D354">
        <v>460</v>
      </c>
      <c r="E354" t="s">
        <v>601</v>
      </c>
      <c r="F354" t="s">
        <v>588</v>
      </c>
      <c r="G354">
        <v>18460</v>
      </c>
      <c r="H354">
        <v>18460</v>
      </c>
      <c r="I354" t="s">
        <v>589</v>
      </c>
      <c r="J354">
        <v>1800</v>
      </c>
      <c r="K354" t="s">
        <v>588</v>
      </c>
      <c r="L354" t="s">
        <v>80</v>
      </c>
      <c r="M354" t="s">
        <v>53</v>
      </c>
      <c r="N354">
        <v>10256</v>
      </c>
      <c r="O354" t="s">
        <v>53</v>
      </c>
      <c r="P354" t="s">
        <v>70</v>
      </c>
      <c r="Q354" t="s">
        <v>71</v>
      </c>
      <c r="R354" t="s">
        <v>93</v>
      </c>
      <c r="S354" t="s">
        <v>590</v>
      </c>
      <c r="T354" t="s">
        <v>73</v>
      </c>
      <c r="U354" t="s">
        <v>115</v>
      </c>
      <c r="V354">
        <v>0.552813</v>
      </c>
      <c r="W354">
        <v>2024</v>
      </c>
      <c r="X354" t="s">
        <v>361</v>
      </c>
      <c r="Y354" t="s">
        <v>362</v>
      </c>
      <c r="Z354" t="str">
        <f t="shared" si="10"/>
        <v>Mayor que 5 - hasta 8</v>
      </c>
      <c r="AA354">
        <f t="shared" si="11"/>
        <v>0</v>
      </c>
      <c r="AB354">
        <v>18460</v>
      </c>
      <c r="AC354" t="s">
        <v>591</v>
      </c>
      <c r="AD354" t="s">
        <v>587</v>
      </c>
      <c r="AE354">
        <v>1.9171959999999999</v>
      </c>
      <c r="AF354" t="s">
        <v>76</v>
      </c>
      <c r="AG354">
        <v>68.442345000000003</v>
      </c>
      <c r="AH354" t="s">
        <v>592</v>
      </c>
      <c r="AI354" t="s">
        <v>587</v>
      </c>
      <c r="AJ354">
        <v>1.9013</v>
      </c>
      <c r="AK354" t="s">
        <v>76</v>
      </c>
      <c r="AL354">
        <v>67.918081000000001</v>
      </c>
      <c r="AM354" s="4" t="s">
        <v>64</v>
      </c>
      <c r="AN354" s="5">
        <v>80369.872507532244</v>
      </c>
      <c r="AO354" s="4" t="s">
        <v>64</v>
      </c>
      <c r="AP354" s="6">
        <v>1239</v>
      </c>
      <c r="AQ354">
        <v>4</v>
      </c>
      <c r="AR354">
        <v>94516.324772000007</v>
      </c>
      <c r="AS354" t="s">
        <v>66</v>
      </c>
      <c r="AT354" t="s">
        <v>53</v>
      </c>
    </row>
    <row r="355" spans="1:46">
      <c r="A355">
        <v>7</v>
      </c>
      <c r="B355" t="s">
        <v>46</v>
      </c>
      <c r="C355">
        <v>18</v>
      </c>
      <c r="D355">
        <v>479</v>
      </c>
      <c r="E355" t="s">
        <v>602</v>
      </c>
      <c r="F355" t="s">
        <v>588</v>
      </c>
      <c r="G355">
        <v>18479</v>
      </c>
      <c r="H355">
        <v>18479</v>
      </c>
      <c r="I355" t="s">
        <v>589</v>
      </c>
      <c r="J355">
        <v>1800</v>
      </c>
      <c r="K355" t="s">
        <v>588</v>
      </c>
      <c r="L355" t="s">
        <v>80</v>
      </c>
      <c r="M355" t="s">
        <v>53</v>
      </c>
      <c r="N355">
        <v>3905</v>
      </c>
      <c r="O355" t="s">
        <v>53</v>
      </c>
      <c r="P355" t="s">
        <v>70</v>
      </c>
      <c r="Q355" t="s">
        <v>71</v>
      </c>
      <c r="R355" t="s">
        <v>72</v>
      </c>
      <c r="S355" t="s">
        <v>590</v>
      </c>
      <c r="T355" t="s">
        <v>73</v>
      </c>
      <c r="U355" t="s">
        <v>101</v>
      </c>
      <c r="V355">
        <v>0.50151100000000004</v>
      </c>
      <c r="W355" t="s">
        <v>53</v>
      </c>
      <c r="X355" t="s">
        <v>53</v>
      </c>
      <c r="Y355" t="s">
        <v>102</v>
      </c>
      <c r="Z355" t="str">
        <f t="shared" si="10"/>
        <v>Mayor que 20 - hasta 30</v>
      </c>
      <c r="AA355">
        <f t="shared" si="11"/>
        <v>1</v>
      </c>
      <c r="AB355">
        <v>18479</v>
      </c>
      <c r="AC355" t="s">
        <v>591</v>
      </c>
      <c r="AD355" t="s">
        <v>587</v>
      </c>
      <c r="AE355">
        <v>0.59016999999999997</v>
      </c>
      <c r="AF355" t="s">
        <v>63</v>
      </c>
      <c r="AG355">
        <v>27.417871999999999</v>
      </c>
      <c r="AH355" t="s">
        <v>592</v>
      </c>
      <c r="AI355" t="s">
        <v>587</v>
      </c>
      <c r="AJ355">
        <v>0.57427399999999995</v>
      </c>
      <c r="AK355" t="s">
        <v>63</v>
      </c>
      <c r="AL355">
        <v>26.893606999999999</v>
      </c>
      <c r="AM355" s="4" t="s">
        <v>64</v>
      </c>
      <c r="AN355" s="5">
        <v>35112.501809985675</v>
      </c>
      <c r="AO355" s="4" t="s">
        <v>64</v>
      </c>
      <c r="AP355" s="6">
        <v>575</v>
      </c>
      <c r="AQ355">
        <v>4</v>
      </c>
      <c r="AR355">
        <v>40237.459556000002</v>
      </c>
      <c r="AS355" t="s">
        <v>66</v>
      </c>
      <c r="AT355" t="s">
        <v>53</v>
      </c>
    </row>
    <row r="356" spans="1:46">
      <c r="A356">
        <v>15</v>
      </c>
      <c r="B356" t="s">
        <v>46</v>
      </c>
      <c r="C356">
        <v>18</v>
      </c>
      <c r="D356">
        <v>592</v>
      </c>
      <c r="E356" t="s">
        <v>603</v>
      </c>
      <c r="F356" t="s">
        <v>588</v>
      </c>
      <c r="G356">
        <v>18592</v>
      </c>
      <c r="H356">
        <v>18592</v>
      </c>
      <c r="I356" t="s">
        <v>589</v>
      </c>
      <c r="J356">
        <v>1800</v>
      </c>
      <c r="K356" t="s">
        <v>588</v>
      </c>
      <c r="L356" t="s">
        <v>69</v>
      </c>
      <c r="M356" t="s">
        <v>53</v>
      </c>
      <c r="N356">
        <v>27683</v>
      </c>
      <c r="O356" t="s">
        <v>53</v>
      </c>
      <c r="P356" t="s">
        <v>70</v>
      </c>
      <c r="Q356" t="s">
        <v>71</v>
      </c>
      <c r="R356" t="s">
        <v>72</v>
      </c>
      <c r="S356" t="s">
        <v>590</v>
      </c>
      <c r="T356" t="s">
        <v>73</v>
      </c>
      <c r="U356" t="s">
        <v>115</v>
      </c>
      <c r="V356">
        <v>0.55513500000000005</v>
      </c>
      <c r="W356" t="s">
        <v>53</v>
      </c>
      <c r="X356" t="s">
        <v>53</v>
      </c>
      <c r="Y356" t="s">
        <v>596</v>
      </c>
      <c r="Z356" t="str">
        <f t="shared" si="10"/>
        <v>Mayor que 8 - hasta 10</v>
      </c>
      <c r="AA356">
        <f t="shared" si="11"/>
        <v>1</v>
      </c>
      <c r="AB356">
        <v>18592</v>
      </c>
      <c r="AC356" t="s">
        <v>591</v>
      </c>
      <c r="AD356" t="s">
        <v>604</v>
      </c>
      <c r="AE356">
        <v>1.2793429999999999</v>
      </c>
      <c r="AF356" t="s">
        <v>76</v>
      </c>
      <c r="AG356">
        <v>59.654119999999999</v>
      </c>
      <c r="AH356" t="s">
        <v>592</v>
      </c>
      <c r="AI356" t="s">
        <v>587</v>
      </c>
      <c r="AJ356">
        <v>2.3029760000000001</v>
      </c>
      <c r="AK356" t="s">
        <v>77</v>
      </c>
      <c r="AL356">
        <v>100.63717200000001</v>
      </c>
      <c r="AM356" s="4" t="s">
        <v>64</v>
      </c>
      <c r="AN356" s="5">
        <v>180157.98807990519</v>
      </c>
      <c r="AO356" s="4" t="s">
        <v>64</v>
      </c>
      <c r="AP356" s="6">
        <v>3027</v>
      </c>
      <c r="AQ356">
        <v>4</v>
      </c>
      <c r="AR356">
        <v>223017.16198</v>
      </c>
      <c r="AS356" t="s">
        <v>66</v>
      </c>
      <c r="AT356" t="s">
        <v>53</v>
      </c>
    </row>
    <row r="357" spans="1:46">
      <c r="A357">
        <v>8</v>
      </c>
      <c r="B357" t="s">
        <v>46</v>
      </c>
      <c r="C357">
        <v>18</v>
      </c>
      <c r="D357">
        <v>610</v>
      </c>
      <c r="E357" t="s">
        <v>605</v>
      </c>
      <c r="F357" t="s">
        <v>588</v>
      </c>
      <c r="G357">
        <v>18610</v>
      </c>
      <c r="H357">
        <v>18610</v>
      </c>
      <c r="I357" t="s">
        <v>589</v>
      </c>
      <c r="J357">
        <v>1800</v>
      </c>
      <c r="K357" t="s">
        <v>588</v>
      </c>
      <c r="L357" t="s">
        <v>69</v>
      </c>
      <c r="M357" t="s">
        <v>53</v>
      </c>
      <c r="N357">
        <v>13711</v>
      </c>
      <c r="O357" t="s">
        <v>53</v>
      </c>
      <c r="P357" t="s">
        <v>70</v>
      </c>
      <c r="Q357" t="s">
        <v>71</v>
      </c>
      <c r="R357" t="s">
        <v>72</v>
      </c>
      <c r="S357" t="s">
        <v>590</v>
      </c>
      <c r="T357" t="s">
        <v>73</v>
      </c>
      <c r="U357" t="s">
        <v>115</v>
      </c>
      <c r="V357">
        <v>0.56729799999999997</v>
      </c>
      <c r="W357" t="s">
        <v>53</v>
      </c>
      <c r="X357" t="s">
        <v>53</v>
      </c>
      <c r="Y357" t="s">
        <v>82</v>
      </c>
      <c r="Z357" t="str">
        <f t="shared" si="10"/>
        <v>Mayor que 15 - hasta 20</v>
      </c>
      <c r="AA357">
        <f t="shared" si="11"/>
        <v>1</v>
      </c>
      <c r="AB357">
        <v>18610</v>
      </c>
      <c r="AC357" t="s">
        <v>591</v>
      </c>
      <c r="AD357" t="s">
        <v>587</v>
      </c>
      <c r="AE357">
        <v>1.413052</v>
      </c>
      <c r="AF357" t="s">
        <v>76</v>
      </c>
      <c r="AG357">
        <v>65.831074999999998</v>
      </c>
      <c r="AH357" t="s">
        <v>592</v>
      </c>
      <c r="AI357" t="s">
        <v>587</v>
      </c>
      <c r="AJ357">
        <v>1.3971560000000001</v>
      </c>
      <c r="AK357" t="s">
        <v>76</v>
      </c>
      <c r="AL357">
        <v>65.306810999999996</v>
      </c>
      <c r="AM357" s="4" t="s">
        <v>64</v>
      </c>
      <c r="AN357" s="5">
        <v>39460.37925627947</v>
      </c>
      <c r="AO357" s="4" t="s">
        <v>65</v>
      </c>
      <c r="AP357" s="6">
        <v>1082</v>
      </c>
      <c r="AQ357">
        <v>4</v>
      </c>
      <c r="AR357">
        <v>22668.645960999998</v>
      </c>
      <c r="AS357" t="s">
        <v>66</v>
      </c>
      <c r="AT357" t="s">
        <v>53</v>
      </c>
    </row>
    <row r="358" spans="1:46">
      <c r="A358">
        <v>11</v>
      </c>
      <c r="B358" t="s">
        <v>46</v>
      </c>
      <c r="C358">
        <v>18</v>
      </c>
      <c r="D358">
        <v>753</v>
      </c>
      <c r="E358" t="s">
        <v>606</v>
      </c>
      <c r="F358" t="s">
        <v>588</v>
      </c>
      <c r="G358">
        <v>18753</v>
      </c>
      <c r="H358">
        <v>18753</v>
      </c>
      <c r="I358" t="s">
        <v>589</v>
      </c>
      <c r="J358">
        <v>1800</v>
      </c>
      <c r="K358" t="s">
        <v>588</v>
      </c>
      <c r="L358" t="s">
        <v>69</v>
      </c>
      <c r="M358" t="s">
        <v>53</v>
      </c>
      <c r="N358">
        <v>54150</v>
      </c>
      <c r="O358" t="s">
        <v>53</v>
      </c>
      <c r="P358" t="s">
        <v>92</v>
      </c>
      <c r="Q358" t="s">
        <v>71</v>
      </c>
      <c r="R358" t="s">
        <v>72</v>
      </c>
      <c r="S358" t="s">
        <v>590</v>
      </c>
      <c r="T358" t="s">
        <v>73</v>
      </c>
      <c r="U358" t="s">
        <v>115</v>
      </c>
      <c r="V358">
        <v>0.68151399999999995</v>
      </c>
      <c r="W358" t="s">
        <v>53</v>
      </c>
      <c r="X358" t="s">
        <v>53</v>
      </c>
      <c r="Y358" t="s">
        <v>82</v>
      </c>
      <c r="Z358" t="str">
        <f t="shared" si="10"/>
        <v>Mayor que 15 - hasta 20</v>
      </c>
      <c r="AA358">
        <f t="shared" si="11"/>
        <v>1</v>
      </c>
      <c r="AB358">
        <v>18753</v>
      </c>
      <c r="AC358" t="s">
        <v>591</v>
      </c>
      <c r="AD358" t="s">
        <v>604</v>
      </c>
      <c r="AE358">
        <v>0</v>
      </c>
      <c r="AF358" t="s">
        <v>63</v>
      </c>
      <c r="AG358">
        <v>0</v>
      </c>
      <c r="AH358" t="s">
        <v>592</v>
      </c>
      <c r="AI358" t="s">
        <v>587</v>
      </c>
      <c r="AJ358">
        <v>3.462291</v>
      </c>
      <c r="AK358" t="s">
        <v>84</v>
      </c>
      <c r="AL358">
        <v>159.49129099999999</v>
      </c>
      <c r="AM358" s="4" t="s">
        <v>64</v>
      </c>
      <c r="AN358" s="5">
        <v>446420.53396054939</v>
      </c>
      <c r="AO358" s="4" t="s">
        <v>64</v>
      </c>
      <c r="AP358" s="6">
        <v>5527</v>
      </c>
      <c r="AQ358">
        <v>4</v>
      </c>
      <c r="AR358">
        <v>371240.49185200001</v>
      </c>
      <c r="AS358" t="s">
        <v>66</v>
      </c>
      <c r="AT358" t="s">
        <v>53</v>
      </c>
    </row>
    <row r="359" spans="1:46">
      <c r="A359">
        <v>12</v>
      </c>
      <c r="B359" t="s">
        <v>46</v>
      </c>
      <c r="C359">
        <v>18</v>
      </c>
      <c r="D359">
        <v>756</v>
      </c>
      <c r="E359" t="s">
        <v>607</v>
      </c>
      <c r="F359" t="s">
        <v>588</v>
      </c>
      <c r="G359">
        <v>18756</v>
      </c>
      <c r="H359">
        <v>18756</v>
      </c>
      <c r="I359" t="s">
        <v>589</v>
      </c>
      <c r="J359">
        <v>1800</v>
      </c>
      <c r="K359" t="s">
        <v>588</v>
      </c>
      <c r="L359" t="s">
        <v>80</v>
      </c>
      <c r="M359" t="s">
        <v>53</v>
      </c>
      <c r="N359">
        <v>12020</v>
      </c>
      <c r="O359" t="s">
        <v>53</v>
      </c>
      <c r="P359" t="s">
        <v>70</v>
      </c>
      <c r="Q359" t="s">
        <v>71</v>
      </c>
      <c r="R359" t="s">
        <v>72</v>
      </c>
      <c r="S359" t="s">
        <v>590</v>
      </c>
      <c r="T359" t="s">
        <v>73</v>
      </c>
      <c r="U359" t="s">
        <v>115</v>
      </c>
      <c r="V359">
        <v>0.80686000000000002</v>
      </c>
      <c r="W359" t="s">
        <v>53</v>
      </c>
      <c r="X359" t="s">
        <v>53</v>
      </c>
      <c r="Y359" t="s">
        <v>608</v>
      </c>
      <c r="Z359" t="str">
        <f t="shared" si="10"/>
        <v>Mayor que 3 - hasta 5</v>
      </c>
      <c r="AA359">
        <f t="shared" si="11"/>
        <v>1</v>
      </c>
      <c r="AB359">
        <v>18756</v>
      </c>
      <c r="AC359" t="s">
        <v>591</v>
      </c>
      <c r="AD359" t="s">
        <v>587</v>
      </c>
      <c r="AE359">
        <v>9.9996399999999994</v>
      </c>
      <c r="AF359" t="s">
        <v>211</v>
      </c>
      <c r="AG359">
        <v>181.59545399999999</v>
      </c>
      <c r="AH359" t="s">
        <v>592</v>
      </c>
      <c r="AI359" t="s">
        <v>587</v>
      </c>
      <c r="AJ359">
        <v>9.9837439999999997</v>
      </c>
      <c r="AK359" t="s">
        <v>221</v>
      </c>
      <c r="AL359">
        <v>181.07119</v>
      </c>
      <c r="AM359" s="4" t="s">
        <v>64</v>
      </c>
      <c r="AN359" s="5">
        <v>59967.873311602423</v>
      </c>
      <c r="AO359" s="4" t="s">
        <v>64</v>
      </c>
      <c r="AP359" s="6">
        <v>858</v>
      </c>
      <c r="AQ359">
        <v>4</v>
      </c>
      <c r="AR359">
        <v>121521.069239</v>
      </c>
      <c r="AS359" t="s">
        <v>66</v>
      </c>
      <c r="AT359" t="s">
        <v>53</v>
      </c>
    </row>
    <row r="360" spans="1:46">
      <c r="A360">
        <v>13</v>
      </c>
      <c r="B360" t="s">
        <v>46</v>
      </c>
      <c r="C360">
        <v>18</v>
      </c>
      <c r="D360">
        <v>785</v>
      </c>
      <c r="E360" t="s">
        <v>609</v>
      </c>
      <c r="F360" t="s">
        <v>588</v>
      </c>
      <c r="G360">
        <v>18785</v>
      </c>
      <c r="H360">
        <v>18785</v>
      </c>
      <c r="I360" t="s">
        <v>589</v>
      </c>
      <c r="J360">
        <v>1800</v>
      </c>
      <c r="K360" t="s">
        <v>588</v>
      </c>
      <c r="L360" t="s">
        <v>69</v>
      </c>
      <c r="M360" t="s">
        <v>53</v>
      </c>
      <c r="N360">
        <v>6352</v>
      </c>
      <c r="O360" t="s">
        <v>53</v>
      </c>
      <c r="P360" t="s">
        <v>70</v>
      </c>
      <c r="Q360" t="s">
        <v>71</v>
      </c>
      <c r="R360" t="s">
        <v>72</v>
      </c>
      <c r="S360" t="s">
        <v>590</v>
      </c>
      <c r="T360" t="s">
        <v>73</v>
      </c>
      <c r="U360" t="s">
        <v>101</v>
      </c>
      <c r="V360">
        <v>0.84797800000000001</v>
      </c>
      <c r="W360" t="s">
        <v>53</v>
      </c>
      <c r="X360" t="s">
        <v>53</v>
      </c>
      <c r="Y360" t="s">
        <v>596</v>
      </c>
      <c r="Z360" t="str">
        <f t="shared" si="10"/>
        <v>Mayor que 8 - hasta 10</v>
      </c>
      <c r="AA360">
        <f t="shared" si="11"/>
        <v>1</v>
      </c>
      <c r="AB360">
        <v>18785</v>
      </c>
      <c r="AC360" t="s">
        <v>591</v>
      </c>
      <c r="AD360" t="s">
        <v>587</v>
      </c>
      <c r="AE360">
        <v>2.7547670000000002</v>
      </c>
      <c r="AF360" t="s">
        <v>77</v>
      </c>
      <c r="AG360">
        <v>110.270267</v>
      </c>
      <c r="AH360" t="s">
        <v>592</v>
      </c>
      <c r="AI360" t="s">
        <v>587</v>
      </c>
      <c r="AJ360">
        <v>2.7388710000000001</v>
      </c>
      <c r="AK360" t="s">
        <v>77</v>
      </c>
      <c r="AL360">
        <v>109.746003</v>
      </c>
      <c r="AM360" s="4" t="s">
        <v>64</v>
      </c>
      <c r="AN360" s="5">
        <v>37970.244877586578</v>
      </c>
      <c r="AO360" s="4" t="s">
        <v>64</v>
      </c>
      <c r="AP360" s="6">
        <v>660</v>
      </c>
      <c r="AQ360">
        <v>3</v>
      </c>
      <c r="AR360">
        <v>33349.504721999998</v>
      </c>
      <c r="AS360" t="s">
        <v>66</v>
      </c>
      <c r="AT360" t="s">
        <v>53</v>
      </c>
    </row>
    <row r="361" spans="1:46">
      <c r="A361">
        <v>9</v>
      </c>
      <c r="B361" t="s">
        <v>46</v>
      </c>
      <c r="C361">
        <v>18</v>
      </c>
      <c r="D361">
        <v>860</v>
      </c>
      <c r="E361" t="s">
        <v>273</v>
      </c>
      <c r="F361" t="s">
        <v>588</v>
      </c>
      <c r="G361">
        <v>18860</v>
      </c>
      <c r="H361">
        <v>18860</v>
      </c>
      <c r="I361" t="s">
        <v>589</v>
      </c>
      <c r="J361">
        <v>1800</v>
      </c>
      <c r="K361" t="s">
        <v>588</v>
      </c>
      <c r="L361" t="s">
        <v>69</v>
      </c>
      <c r="M361" t="s">
        <v>53</v>
      </c>
      <c r="N361">
        <v>7291</v>
      </c>
      <c r="O361" t="s">
        <v>53</v>
      </c>
      <c r="P361" t="s">
        <v>70</v>
      </c>
      <c r="Q361" t="s">
        <v>71</v>
      </c>
      <c r="R361" t="s">
        <v>72</v>
      </c>
      <c r="S361" t="s">
        <v>590</v>
      </c>
      <c r="T361" t="s">
        <v>73</v>
      </c>
      <c r="U361" t="s">
        <v>101</v>
      </c>
      <c r="V361">
        <v>0.58810600000000002</v>
      </c>
      <c r="W361" t="s">
        <v>53</v>
      </c>
      <c r="X361" t="s">
        <v>53</v>
      </c>
      <c r="Y361" t="s">
        <v>82</v>
      </c>
      <c r="Z361" t="str">
        <f t="shared" si="10"/>
        <v>Mayor que 15 - hasta 20</v>
      </c>
      <c r="AA361">
        <f t="shared" si="11"/>
        <v>1</v>
      </c>
      <c r="AB361">
        <v>18860</v>
      </c>
      <c r="AC361" t="s">
        <v>591</v>
      </c>
      <c r="AD361" t="s">
        <v>587</v>
      </c>
      <c r="AE361">
        <v>1.7425600000000001</v>
      </c>
      <c r="AF361" t="s">
        <v>76</v>
      </c>
      <c r="AG361">
        <v>72.834018999999998</v>
      </c>
      <c r="AH361" t="s">
        <v>592</v>
      </c>
      <c r="AI361" t="s">
        <v>587</v>
      </c>
      <c r="AJ361">
        <v>1.726664</v>
      </c>
      <c r="AK361" t="s">
        <v>76</v>
      </c>
      <c r="AL361">
        <v>72.309754999999996</v>
      </c>
      <c r="AM361" s="4" t="s">
        <v>64</v>
      </c>
      <c r="AN361" s="5">
        <v>87732.614256125002</v>
      </c>
      <c r="AO361" s="4" t="s">
        <v>64</v>
      </c>
      <c r="AP361" s="6">
        <v>1603</v>
      </c>
      <c r="AQ361">
        <v>3</v>
      </c>
      <c r="AR361">
        <v>80275.471697999994</v>
      </c>
      <c r="AS361" t="s">
        <v>66</v>
      </c>
      <c r="AT361" t="s">
        <v>53</v>
      </c>
    </row>
    <row r="362" spans="1:46">
      <c r="A362">
        <v>16</v>
      </c>
      <c r="B362" t="s">
        <v>46</v>
      </c>
      <c r="C362">
        <v>19</v>
      </c>
      <c r="D362">
        <v>1</v>
      </c>
      <c r="E362" t="s">
        <v>610</v>
      </c>
      <c r="F362" t="s">
        <v>611</v>
      </c>
      <c r="G362">
        <v>19001</v>
      </c>
      <c r="H362">
        <v>19001</v>
      </c>
      <c r="I362" t="s">
        <v>49</v>
      </c>
      <c r="J362">
        <v>1901</v>
      </c>
      <c r="K362" t="s">
        <v>409</v>
      </c>
      <c r="L362" t="s">
        <v>51</v>
      </c>
      <c r="M362" t="s">
        <v>52</v>
      </c>
      <c r="N362">
        <v>339454</v>
      </c>
      <c r="O362" t="s">
        <v>53</v>
      </c>
      <c r="P362" t="s">
        <v>54</v>
      </c>
      <c r="Q362" t="s">
        <v>138</v>
      </c>
      <c r="R362" t="s">
        <v>105</v>
      </c>
      <c r="S362" t="s">
        <v>57</v>
      </c>
      <c r="T362" t="s">
        <v>58</v>
      </c>
      <c r="U362" t="s">
        <v>119</v>
      </c>
      <c r="V362">
        <v>0.24889600000000001</v>
      </c>
      <c r="W362">
        <v>2023</v>
      </c>
      <c r="X362" t="s">
        <v>106</v>
      </c>
      <c r="Y362" t="s">
        <v>107</v>
      </c>
      <c r="Z362" t="str">
        <f t="shared" si="10"/>
        <v>Mayor que 80 - hasta 100</v>
      </c>
      <c r="AA362">
        <f t="shared" si="11"/>
        <v>0</v>
      </c>
      <c r="AB362">
        <v>19001</v>
      </c>
      <c r="AC362" t="s">
        <v>592</v>
      </c>
      <c r="AD362" t="s">
        <v>612</v>
      </c>
      <c r="AE362">
        <v>0</v>
      </c>
      <c r="AF362" t="s">
        <v>63</v>
      </c>
      <c r="AG362">
        <v>0</v>
      </c>
      <c r="AH362" t="s">
        <v>592</v>
      </c>
      <c r="AI362" t="s">
        <v>612</v>
      </c>
      <c r="AJ362">
        <v>0</v>
      </c>
      <c r="AK362" t="s">
        <v>63</v>
      </c>
      <c r="AL362">
        <v>0</v>
      </c>
      <c r="AM362" t="s">
        <v>65</v>
      </c>
      <c r="AN362" s="7">
        <v>2617.7159249570191</v>
      </c>
      <c r="AO362" t="s">
        <v>65</v>
      </c>
      <c r="AP362" s="3">
        <v>1721</v>
      </c>
      <c r="AQ362">
        <v>3</v>
      </c>
      <c r="AR362">
        <v>2695.3814689999999</v>
      </c>
      <c r="AS362" t="s">
        <v>66</v>
      </c>
      <c r="AT362" t="s">
        <v>613</v>
      </c>
    </row>
    <row r="363" spans="1:46">
      <c r="A363">
        <v>17</v>
      </c>
      <c r="B363" t="s">
        <v>46</v>
      </c>
      <c r="C363">
        <v>19</v>
      </c>
      <c r="D363">
        <v>22</v>
      </c>
      <c r="E363" t="s">
        <v>614</v>
      </c>
      <c r="F363" t="s">
        <v>611</v>
      </c>
      <c r="G363">
        <v>19022</v>
      </c>
      <c r="H363">
        <v>19022</v>
      </c>
      <c r="I363" t="s">
        <v>49</v>
      </c>
      <c r="J363">
        <v>1905</v>
      </c>
      <c r="K363" t="s">
        <v>297</v>
      </c>
      <c r="L363" t="s">
        <v>69</v>
      </c>
      <c r="M363" t="s">
        <v>53</v>
      </c>
      <c r="N363">
        <v>19450</v>
      </c>
      <c r="O363" t="s">
        <v>53</v>
      </c>
      <c r="P363" t="s">
        <v>70</v>
      </c>
      <c r="Q363" t="s">
        <v>71</v>
      </c>
      <c r="R363" t="s">
        <v>72</v>
      </c>
      <c r="S363" t="s">
        <v>57</v>
      </c>
      <c r="T363" t="s">
        <v>58</v>
      </c>
      <c r="U363" t="s">
        <v>119</v>
      </c>
      <c r="V363">
        <v>0.95796499999999996</v>
      </c>
      <c r="W363">
        <v>2023</v>
      </c>
      <c r="X363" t="s">
        <v>310</v>
      </c>
      <c r="Y363" t="s">
        <v>311</v>
      </c>
      <c r="Z363" t="str">
        <f t="shared" si="10"/>
        <v>Mayor que 15 - hasta 20</v>
      </c>
      <c r="AA363">
        <f t="shared" si="11"/>
        <v>0</v>
      </c>
      <c r="AB363">
        <v>19022</v>
      </c>
      <c r="AC363" t="s">
        <v>592</v>
      </c>
      <c r="AD363" t="s">
        <v>612</v>
      </c>
      <c r="AE363">
        <v>3.2494420000000002</v>
      </c>
      <c r="AF363" t="s">
        <v>84</v>
      </c>
      <c r="AG363">
        <v>105.266818</v>
      </c>
      <c r="AH363" t="s">
        <v>592</v>
      </c>
      <c r="AI363" t="s">
        <v>612</v>
      </c>
      <c r="AJ363">
        <v>3.076759</v>
      </c>
      <c r="AK363" t="s">
        <v>84</v>
      </c>
      <c r="AL363">
        <v>98.717071000000004</v>
      </c>
      <c r="AM363" t="s">
        <v>65</v>
      </c>
      <c r="AN363" s="7">
        <v>2014.0968957356949</v>
      </c>
      <c r="AO363" t="s">
        <v>65</v>
      </c>
      <c r="AP363" s="3">
        <v>3599</v>
      </c>
      <c r="AQ363">
        <v>5</v>
      </c>
      <c r="AR363">
        <v>1465.9591459999999</v>
      </c>
      <c r="AS363" t="s">
        <v>66</v>
      </c>
      <c r="AT363" t="s">
        <v>137</v>
      </c>
    </row>
    <row r="364" spans="1:46">
      <c r="A364">
        <v>18</v>
      </c>
      <c r="B364" t="s">
        <v>46</v>
      </c>
      <c r="C364">
        <v>19</v>
      </c>
      <c r="D364">
        <v>50</v>
      </c>
      <c r="E364" t="s">
        <v>132</v>
      </c>
      <c r="F364" t="s">
        <v>611</v>
      </c>
      <c r="G364">
        <v>19050</v>
      </c>
      <c r="H364">
        <v>19050</v>
      </c>
      <c r="I364" t="s">
        <v>49</v>
      </c>
      <c r="J364">
        <v>1905</v>
      </c>
      <c r="K364" t="s">
        <v>297</v>
      </c>
      <c r="L364" t="s">
        <v>80</v>
      </c>
      <c r="M364" t="s">
        <v>53</v>
      </c>
      <c r="N364">
        <v>27823</v>
      </c>
      <c r="O364" t="s">
        <v>53</v>
      </c>
      <c r="P364" t="s">
        <v>70</v>
      </c>
      <c r="Q364" t="s">
        <v>71</v>
      </c>
      <c r="R364" t="s">
        <v>72</v>
      </c>
      <c r="S364" t="s">
        <v>615</v>
      </c>
      <c r="T364" t="s">
        <v>73</v>
      </c>
      <c r="U364" t="s">
        <v>115</v>
      </c>
      <c r="V364">
        <v>0.81927399999999995</v>
      </c>
      <c r="W364">
        <v>2023</v>
      </c>
      <c r="X364" t="s">
        <v>106</v>
      </c>
      <c r="Y364" t="s">
        <v>107</v>
      </c>
      <c r="Z364" t="str">
        <f t="shared" si="10"/>
        <v>Mayor que 80 - hasta 100</v>
      </c>
      <c r="AA364">
        <f t="shared" si="11"/>
        <v>0</v>
      </c>
      <c r="AB364">
        <v>19050</v>
      </c>
      <c r="AC364" t="s">
        <v>592</v>
      </c>
      <c r="AD364" t="s">
        <v>612</v>
      </c>
      <c r="AE364">
        <v>4.3784830000000001</v>
      </c>
      <c r="AF364" t="s">
        <v>85</v>
      </c>
      <c r="AG364">
        <v>132.77758299999999</v>
      </c>
      <c r="AH364" t="s">
        <v>592</v>
      </c>
      <c r="AI364" t="s">
        <v>612</v>
      </c>
      <c r="AJ364">
        <v>4.2057989999999998</v>
      </c>
      <c r="AK364" t="s">
        <v>85</v>
      </c>
      <c r="AL364">
        <v>126.227835</v>
      </c>
      <c r="AM364" t="s">
        <v>65</v>
      </c>
      <c r="AN364" s="7">
        <v>1851.922665804201</v>
      </c>
      <c r="AO364" t="s">
        <v>65</v>
      </c>
      <c r="AP364" s="3">
        <v>1234</v>
      </c>
      <c r="AQ364">
        <v>1</v>
      </c>
      <c r="AR364">
        <v>2440.7261939999999</v>
      </c>
      <c r="AS364" t="s">
        <v>66</v>
      </c>
      <c r="AT364" t="s">
        <v>137</v>
      </c>
    </row>
    <row r="365" spans="1:46">
      <c r="A365">
        <v>19</v>
      </c>
      <c r="B365" t="s">
        <v>46</v>
      </c>
      <c r="C365">
        <v>19</v>
      </c>
      <c r="D365">
        <v>75</v>
      </c>
      <c r="E365" t="s">
        <v>616</v>
      </c>
      <c r="F365" t="s">
        <v>611</v>
      </c>
      <c r="G365">
        <v>19075</v>
      </c>
      <c r="H365">
        <v>19075</v>
      </c>
      <c r="I365" t="s">
        <v>49</v>
      </c>
      <c r="J365">
        <v>1905</v>
      </c>
      <c r="K365" t="s">
        <v>297</v>
      </c>
      <c r="L365" t="s">
        <v>69</v>
      </c>
      <c r="M365" t="s">
        <v>53</v>
      </c>
      <c r="N365">
        <v>22395</v>
      </c>
      <c r="O365" t="s">
        <v>53</v>
      </c>
      <c r="P365" t="s">
        <v>70</v>
      </c>
      <c r="Q365" t="s">
        <v>71</v>
      </c>
      <c r="R365" t="s">
        <v>72</v>
      </c>
      <c r="S365" t="s">
        <v>615</v>
      </c>
      <c r="T365" t="s">
        <v>73</v>
      </c>
      <c r="U365" t="s">
        <v>101</v>
      </c>
      <c r="V365">
        <v>0.74901399999999996</v>
      </c>
      <c r="W365">
        <v>2023</v>
      </c>
      <c r="X365" t="s">
        <v>176</v>
      </c>
      <c r="Y365" t="s">
        <v>177</v>
      </c>
      <c r="Z365" t="str">
        <f t="shared" si="10"/>
        <v>Mayor que 20 - hasta 30</v>
      </c>
      <c r="AA365">
        <f t="shared" si="11"/>
        <v>0</v>
      </c>
      <c r="AB365">
        <v>19075</v>
      </c>
      <c r="AC365" t="s">
        <v>592</v>
      </c>
      <c r="AD365" t="s">
        <v>612</v>
      </c>
      <c r="AE365">
        <v>3.4543409999999999</v>
      </c>
      <c r="AF365" t="s">
        <v>84</v>
      </c>
      <c r="AG365">
        <v>114.026616</v>
      </c>
      <c r="AH365" t="s">
        <v>592</v>
      </c>
      <c r="AI365" t="s">
        <v>612</v>
      </c>
      <c r="AJ365">
        <v>3.281657</v>
      </c>
      <c r="AK365" t="s">
        <v>84</v>
      </c>
      <c r="AL365">
        <v>107.47686899999999</v>
      </c>
      <c r="AM365" t="s">
        <v>97</v>
      </c>
      <c r="AN365" s="7">
        <v>1075.817745965591</v>
      </c>
      <c r="AO365" t="s">
        <v>65</v>
      </c>
      <c r="AP365" s="3">
        <v>350</v>
      </c>
      <c r="AQ365">
        <v>2</v>
      </c>
      <c r="AR365">
        <v>1838.4257560000001</v>
      </c>
      <c r="AS365" t="s">
        <v>66</v>
      </c>
      <c r="AT365" t="s">
        <v>137</v>
      </c>
    </row>
    <row r="366" spans="1:46">
      <c r="A366">
        <v>20</v>
      </c>
      <c r="B366" t="s">
        <v>46</v>
      </c>
      <c r="C366">
        <v>19</v>
      </c>
      <c r="D366">
        <v>100</v>
      </c>
      <c r="E366" t="s">
        <v>334</v>
      </c>
      <c r="F366" t="s">
        <v>611</v>
      </c>
      <c r="G366">
        <v>19100</v>
      </c>
      <c r="H366">
        <v>19100</v>
      </c>
      <c r="I366" t="s">
        <v>49</v>
      </c>
      <c r="J366">
        <v>1905</v>
      </c>
      <c r="K366" t="s">
        <v>297</v>
      </c>
      <c r="L366" t="s">
        <v>69</v>
      </c>
      <c r="M366" t="s">
        <v>53</v>
      </c>
      <c r="N366">
        <v>39359</v>
      </c>
      <c r="O366" t="s">
        <v>53</v>
      </c>
      <c r="P366" t="s">
        <v>92</v>
      </c>
      <c r="Q366" t="s">
        <v>71</v>
      </c>
      <c r="R366" t="s">
        <v>72</v>
      </c>
      <c r="S366" t="s">
        <v>57</v>
      </c>
      <c r="T366" t="s">
        <v>58</v>
      </c>
      <c r="U366" t="s">
        <v>119</v>
      </c>
      <c r="V366">
        <v>0.92603199999999997</v>
      </c>
      <c r="W366">
        <v>2023</v>
      </c>
      <c r="X366" t="s">
        <v>176</v>
      </c>
      <c r="Y366" t="s">
        <v>177</v>
      </c>
      <c r="Z366" t="str">
        <f t="shared" si="10"/>
        <v>Mayor que 20 - hasta 30</v>
      </c>
      <c r="AA366">
        <f t="shared" si="11"/>
        <v>0</v>
      </c>
      <c r="AB366">
        <v>19100</v>
      </c>
      <c r="AC366" t="s">
        <v>592</v>
      </c>
      <c r="AD366" t="s">
        <v>612</v>
      </c>
      <c r="AE366">
        <v>3.6132309999999999</v>
      </c>
      <c r="AF366" t="s">
        <v>84</v>
      </c>
      <c r="AG366">
        <v>123.206515</v>
      </c>
      <c r="AH366" t="s">
        <v>592</v>
      </c>
      <c r="AI366" t="s">
        <v>612</v>
      </c>
      <c r="AJ366">
        <v>3.440547</v>
      </c>
      <c r="AK366" t="s">
        <v>84</v>
      </c>
      <c r="AL366">
        <v>116.656768</v>
      </c>
      <c r="AM366" t="s">
        <v>64</v>
      </c>
      <c r="AN366" s="7">
        <v>8526.0960556298105</v>
      </c>
      <c r="AO366" t="s">
        <v>65</v>
      </c>
      <c r="AP366" s="3">
        <v>889</v>
      </c>
      <c r="AQ366">
        <v>4</v>
      </c>
      <c r="AR366">
        <v>8925.9511220000004</v>
      </c>
      <c r="AS366" t="s">
        <v>66</v>
      </c>
      <c r="AT366" t="s">
        <v>137</v>
      </c>
    </row>
    <row r="367" spans="1:46">
      <c r="A367">
        <v>21</v>
      </c>
      <c r="B367" t="s">
        <v>46</v>
      </c>
      <c r="C367">
        <v>19</v>
      </c>
      <c r="D367">
        <v>110</v>
      </c>
      <c r="E367" t="s">
        <v>617</v>
      </c>
      <c r="F367" t="s">
        <v>611</v>
      </c>
      <c r="G367">
        <v>19110</v>
      </c>
      <c r="H367">
        <v>19110</v>
      </c>
      <c r="I367" t="s">
        <v>49</v>
      </c>
      <c r="J367">
        <v>1902</v>
      </c>
      <c r="K367" t="s">
        <v>112</v>
      </c>
      <c r="L367" t="s">
        <v>69</v>
      </c>
      <c r="M367" t="s">
        <v>53</v>
      </c>
      <c r="N367">
        <v>35168</v>
      </c>
      <c r="O367" t="s">
        <v>53</v>
      </c>
      <c r="P367" t="s">
        <v>92</v>
      </c>
      <c r="Q367" t="s">
        <v>71</v>
      </c>
      <c r="R367" t="s">
        <v>72</v>
      </c>
      <c r="S367" t="s">
        <v>615</v>
      </c>
      <c r="T367" t="s">
        <v>73</v>
      </c>
      <c r="U367" t="s">
        <v>101</v>
      </c>
      <c r="V367">
        <v>0.83708199999999999</v>
      </c>
      <c r="W367">
        <v>2023</v>
      </c>
      <c r="X367" t="s">
        <v>141</v>
      </c>
      <c r="Y367" t="s">
        <v>142</v>
      </c>
      <c r="Z367" t="str">
        <f t="shared" si="10"/>
        <v>Mayor que 60 - hasta 70</v>
      </c>
      <c r="AA367">
        <f t="shared" si="11"/>
        <v>0</v>
      </c>
      <c r="AB367">
        <v>19110</v>
      </c>
      <c r="AC367" t="s">
        <v>592</v>
      </c>
      <c r="AD367" t="s">
        <v>618</v>
      </c>
      <c r="AE367">
        <v>0.81843699999999997</v>
      </c>
      <c r="AF367" t="s">
        <v>63</v>
      </c>
      <c r="AG367">
        <v>25.987719999999999</v>
      </c>
      <c r="AH367" t="s">
        <v>619</v>
      </c>
      <c r="AI367" t="s">
        <v>620</v>
      </c>
      <c r="AJ367">
        <v>1.8603430000000001</v>
      </c>
      <c r="AK367" t="s">
        <v>76</v>
      </c>
      <c r="AL367">
        <v>74.006810999999999</v>
      </c>
      <c r="AM367" t="s">
        <v>64</v>
      </c>
      <c r="AN367" s="7">
        <v>309.61937377150571</v>
      </c>
      <c r="AO367" t="s">
        <v>65</v>
      </c>
      <c r="AP367" s="3">
        <v>178</v>
      </c>
      <c r="AQ367">
        <v>1</v>
      </c>
      <c r="AR367">
        <v>393.662781</v>
      </c>
      <c r="AS367" t="s">
        <v>66</v>
      </c>
      <c r="AT367" t="s">
        <v>137</v>
      </c>
    </row>
    <row r="368" spans="1:46">
      <c r="A368">
        <v>22</v>
      </c>
      <c r="B368" t="s">
        <v>46</v>
      </c>
      <c r="C368">
        <v>19</v>
      </c>
      <c r="D368">
        <v>130</v>
      </c>
      <c r="E368" t="s">
        <v>621</v>
      </c>
      <c r="F368" t="s">
        <v>611</v>
      </c>
      <c r="G368">
        <v>19130</v>
      </c>
      <c r="H368">
        <v>19130</v>
      </c>
      <c r="I368" t="s">
        <v>49</v>
      </c>
      <c r="J368">
        <v>1901</v>
      </c>
      <c r="K368" t="s">
        <v>409</v>
      </c>
      <c r="L368" t="s">
        <v>69</v>
      </c>
      <c r="M368" t="s">
        <v>53</v>
      </c>
      <c r="N368">
        <v>44527</v>
      </c>
      <c r="O368" t="s">
        <v>53</v>
      </c>
      <c r="P368" t="s">
        <v>92</v>
      </c>
      <c r="Q368" t="s">
        <v>71</v>
      </c>
      <c r="R368" t="s">
        <v>122</v>
      </c>
      <c r="S368" t="s">
        <v>615</v>
      </c>
      <c r="T368" t="s">
        <v>73</v>
      </c>
      <c r="U368" t="s">
        <v>119</v>
      </c>
      <c r="V368">
        <v>0.548068</v>
      </c>
      <c r="W368">
        <v>2023</v>
      </c>
      <c r="X368" t="s">
        <v>106</v>
      </c>
      <c r="Y368" t="s">
        <v>107</v>
      </c>
      <c r="Z368" t="str">
        <f t="shared" si="10"/>
        <v>Mayor que 80 - hasta 100</v>
      </c>
      <c r="AA368">
        <f t="shared" si="11"/>
        <v>0</v>
      </c>
      <c r="AB368">
        <v>19130</v>
      </c>
      <c r="AC368" t="s">
        <v>592</v>
      </c>
      <c r="AD368" t="s">
        <v>612</v>
      </c>
      <c r="AE368">
        <v>0.64678800000000003</v>
      </c>
      <c r="AF368" t="s">
        <v>63</v>
      </c>
      <c r="AG368">
        <v>22.542135999999999</v>
      </c>
      <c r="AH368" t="s">
        <v>592</v>
      </c>
      <c r="AI368" t="s">
        <v>612</v>
      </c>
      <c r="AJ368">
        <v>0.78130100000000002</v>
      </c>
      <c r="AK368" t="s">
        <v>63</v>
      </c>
      <c r="AL368">
        <v>28.691883000000001</v>
      </c>
      <c r="AM368" t="s">
        <v>65</v>
      </c>
      <c r="AN368" s="7">
        <v>7008.684725857559</v>
      </c>
      <c r="AO368" t="s">
        <v>65</v>
      </c>
      <c r="AP368" s="3">
        <v>3595</v>
      </c>
      <c r="AQ368">
        <v>2</v>
      </c>
      <c r="AR368">
        <v>9683.9769049999995</v>
      </c>
      <c r="AS368" t="s">
        <v>66</v>
      </c>
      <c r="AT368" t="s">
        <v>613</v>
      </c>
    </row>
    <row r="369" spans="1:46">
      <c r="A369">
        <v>23</v>
      </c>
      <c r="B369" t="s">
        <v>46</v>
      </c>
      <c r="C369">
        <v>19</v>
      </c>
      <c r="D369">
        <v>137</v>
      </c>
      <c r="E369" t="s">
        <v>622</v>
      </c>
      <c r="F369" t="s">
        <v>611</v>
      </c>
      <c r="G369">
        <v>19137</v>
      </c>
      <c r="H369">
        <v>19137</v>
      </c>
      <c r="I369" t="s">
        <v>49</v>
      </c>
      <c r="J369">
        <v>1904</v>
      </c>
      <c r="K369" t="s">
        <v>68</v>
      </c>
      <c r="L369" t="s">
        <v>69</v>
      </c>
      <c r="M369" t="s">
        <v>53</v>
      </c>
      <c r="N369">
        <v>42815</v>
      </c>
      <c r="O369" t="s">
        <v>53</v>
      </c>
      <c r="P369" t="s">
        <v>92</v>
      </c>
      <c r="Q369" t="s">
        <v>71</v>
      </c>
      <c r="R369" t="s">
        <v>122</v>
      </c>
      <c r="S369" t="s">
        <v>615</v>
      </c>
      <c r="T369" t="s">
        <v>73</v>
      </c>
      <c r="U369" t="s">
        <v>101</v>
      </c>
      <c r="V369">
        <v>0.62149500000000002</v>
      </c>
      <c r="W369">
        <v>2023</v>
      </c>
      <c r="X369" t="s">
        <v>109</v>
      </c>
      <c r="Y369" t="s">
        <v>110</v>
      </c>
      <c r="Z369" t="str">
        <f t="shared" si="10"/>
        <v>Mayor que 30 - hasta 40</v>
      </c>
      <c r="AA369">
        <f t="shared" si="11"/>
        <v>0</v>
      </c>
      <c r="AB369">
        <v>19137</v>
      </c>
      <c r="AC369" t="s">
        <v>592</v>
      </c>
      <c r="AD369" t="s">
        <v>618</v>
      </c>
      <c r="AE369">
        <v>1.1898409999999999</v>
      </c>
      <c r="AF369" t="s">
        <v>76</v>
      </c>
      <c r="AG369">
        <v>39.381833</v>
      </c>
      <c r="AH369" t="s">
        <v>592</v>
      </c>
      <c r="AI369" t="s">
        <v>612</v>
      </c>
      <c r="AJ369">
        <v>1.6147849999999999</v>
      </c>
      <c r="AK369" t="s">
        <v>76</v>
      </c>
      <c r="AL369">
        <v>57.809755000000003</v>
      </c>
      <c r="AM369" t="s">
        <v>65</v>
      </c>
      <c r="AN369" s="7">
        <v>1936.4359957760551</v>
      </c>
      <c r="AO369" t="s">
        <v>65</v>
      </c>
      <c r="AP369" s="3">
        <v>1060</v>
      </c>
      <c r="AQ369">
        <v>3</v>
      </c>
      <c r="AR369">
        <v>1710.756271</v>
      </c>
      <c r="AS369" t="s">
        <v>66</v>
      </c>
      <c r="AT369" t="s">
        <v>137</v>
      </c>
    </row>
    <row r="370" spans="1:46">
      <c r="A370">
        <v>24</v>
      </c>
      <c r="B370" t="s">
        <v>46</v>
      </c>
      <c r="C370">
        <v>19</v>
      </c>
      <c r="D370">
        <v>142</v>
      </c>
      <c r="E370" t="s">
        <v>623</v>
      </c>
      <c r="F370" t="s">
        <v>611</v>
      </c>
      <c r="G370">
        <v>19142</v>
      </c>
      <c r="H370">
        <v>19142</v>
      </c>
      <c r="I370" t="s">
        <v>49</v>
      </c>
      <c r="J370">
        <v>1902</v>
      </c>
      <c r="K370" t="s">
        <v>112</v>
      </c>
      <c r="L370" t="s">
        <v>69</v>
      </c>
      <c r="M370" t="s">
        <v>53</v>
      </c>
      <c r="N370">
        <v>31272</v>
      </c>
      <c r="O370" t="s">
        <v>53</v>
      </c>
      <c r="P370" t="s">
        <v>92</v>
      </c>
      <c r="Q370" t="s">
        <v>118</v>
      </c>
      <c r="R370" t="s">
        <v>93</v>
      </c>
      <c r="S370" t="s">
        <v>615</v>
      </c>
      <c r="T370" t="s">
        <v>73</v>
      </c>
      <c r="U370" t="s">
        <v>115</v>
      </c>
      <c r="V370">
        <v>0.60322100000000001</v>
      </c>
      <c r="W370">
        <v>2023</v>
      </c>
      <c r="X370" t="s">
        <v>190</v>
      </c>
      <c r="Y370" t="s">
        <v>191</v>
      </c>
      <c r="Z370" t="str">
        <f t="shared" si="10"/>
        <v>Mayor que 100 - hasta 120</v>
      </c>
      <c r="AA370">
        <f t="shared" si="11"/>
        <v>0</v>
      </c>
      <c r="AB370">
        <v>19142</v>
      </c>
      <c r="AC370" t="s">
        <v>592</v>
      </c>
      <c r="AD370" t="s">
        <v>618</v>
      </c>
      <c r="AE370">
        <v>0.32504899999999998</v>
      </c>
      <c r="AF370" t="s">
        <v>63</v>
      </c>
      <c r="AG370">
        <v>11.115432999999999</v>
      </c>
      <c r="AH370" t="s">
        <v>619</v>
      </c>
      <c r="AI370" t="s">
        <v>620</v>
      </c>
      <c r="AJ370">
        <v>1.2498830000000001</v>
      </c>
      <c r="AK370" t="s">
        <v>76</v>
      </c>
      <c r="AL370">
        <v>51.207315999999999</v>
      </c>
      <c r="AM370" t="s">
        <v>64</v>
      </c>
      <c r="AN370" s="7">
        <v>1680.6802714062169</v>
      </c>
      <c r="AO370" t="s">
        <v>65</v>
      </c>
      <c r="AP370" s="3">
        <v>1160</v>
      </c>
      <c r="AQ370">
        <v>4</v>
      </c>
      <c r="AR370">
        <v>2007.686978</v>
      </c>
      <c r="AS370" t="s">
        <v>66</v>
      </c>
      <c r="AT370" t="s">
        <v>613</v>
      </c>
    </row>
    <row r="371" spans="1:46">
      <c r="A371">
        <v>25</v>
      </c>
      <c r="B371" t="s">
        <v>46</v>
      </c>
      <c r="C371">
        <v>19</v>
      </c>
      <c r="D371">
        <v>212</v>
      </c>
      <c r="E371" t="s">
        <v>624</v>
      </c>
      <c r="F371" t="s">
        <v>611</v>
      </c>
      <c r="G371">
        <v>19212</v>
      </c>
      <c r="H371">
        <v>19212</v>
      </c>
      <c r="I371" t="s">
        <v>49</v>
      </c>
      <c r="J371">
        <v>1902</v>
      </c>
      <c r="K371" t="s">
        <v>112</v>
      </c>
      <c r="L371" t="s">
        <v>91</v>
      </c>
      <c r="M371" t="s">
        <v>53</v>
      </c>
      <c r="N371">
        <v>26810</v>
      </c>
      <c r="O371" t="s">
        <v>53</v>
      </c>
      <c r="P371" t="s">
        <v>70</v>
      </c>
      <c r="Q371" t="s">
        <v>71</v>
      </c>
      <c r="R371" t="s">
        <v>72</v>
      </c>
      <c r="S371" t="s">
        <v>615</v>
      </c>
      <c r="T371" t="s">
        <v>73</v>
      </c>
      <c r="U371" t="s">
        <v>115</v>
      </c>
      <c r="V371">
        <v>0.58441900000000002</v>
      </c>
      <c r="W371">
        <v>2023</v>
      </c>
      <c r="X371" t="s">
        <v>176</v>
      </c>
      <c r="Y371" t="s">
        <v>177</v>
      </c>
      <c r="Z371" t="str">
        <f t="shared" si="10"/>
        <v>Mayor que 20 - hasta 30</v>
      </c>
      <c r="AA371">
        <f t="shared" si="11"/>
        <v>0</v>
      </c>
      <c r="AB371">
        <v>19212</v>
      </c>
      <c r="AC371" t="s">
        <v>619</v>
      </c>
      <c r="AD371" t="s">
        <v>625</v>
      </c>
      <c r="AE371">
        <v>0.46978799999999998</v>
      </c>
      <c r="AF371" t="s">
        <v>63</v>
      </c>
      <c r="AG371">
        <v>19.785281000000001</v>
      </c>
      <c r="AH371" t="s">
        <v>619</v>
      </c>
      <c r="AI371" t="s">
        <v>620</v>
      </c>
      <c r="AJ371">
        <v>1.4176500000000001</v>
      </c>
      <c r="AK371" t="s">
        <v>76</v>
      </c>
      <c r="AL371">
        <v>62.215642000000003</v>
      </c>
      <c r="AM371" t="s">
        <v>65</v>
      </c>
      <c r="AN371" s="7">
        <v>6336.368850260832</v>
      </c>
      <c r="AO371" t="s">
        <v>65</v>
      </c>
      <c r="AP371" s="3">
        <v>1762</v>
      </c>
      <c r="AQ371">
        <v>2</v>
      </c>
      <c r="AR371">
        <v>5815.3431010000004</v>
      </c>
      <c r="AS371" t="s">
        <v>66</v>
      </c>
      <c r="AT371" t="s">
        <v>299</v>
      </c>
    </row>
    <row r="372" spans="1:46">
      <c r="A372">
        <v>52</v>
      </c>
      <c r="B372" t="s">
        <v>46</v>
      </c>
      <c r="C372">
        <v>19</v>
      </c>
      <c r="D372">
        <v>256</v>
      </c>
      <c r="E372" t="s">
        <v>626</v>
      </c>
      <c r="F372" t="s">
        <v>611</v>
      </c>
      <c r="G372">
        <v>19256</v>
      </c>
      <c r="H372">
        <v>19256</v>
      </c>
      <c r="I372" t="s">
        <v>49</v>
      </c>
      <c r="J372">
        <v>1901</v>
      </c>
      <c r="K372" t="s">
        <v>409</v>
      </c>
      <c r="L372" t="s">
        <v>80</v>
      </c>
      <c r="M372" t="s">
        <v>53</v>
      </c>
      <c r="N372">
        <v>57126</v>
      </c>
      <c r="O372" t="s">
        <v>53</v>
      </c>
      <c r="P372" t="s">
        <v>92</v>
      </c>
      <c r="Q372" t="s">
        <v>71</v>
      </c>
      <c r="R372" t="s">
        <v>105</v>
      </c>
      <c r="S372" t="s">
        <v>615</v>
      </c>
      <c r="T372" t="s">
        <v>73</v>
      </c>
      <c r="U372" t="s">
        <v>115</v>
      </c>
      <c r="V372">
        <v>0.82442199999999999</v>
      </c>
      <c r="W372">
        <v>2023</v>
      </c>
      <c r="X372" t="s">
        <v>109</v>
      </c>
      <c r="Y372" t="s">
        <v>110</v>
      </c>
      <c r="Z372" t="str">
        <f t="shared" si="10"/>
        <v>Mayor que 30 - hasta 40</v>
      </c>
      <c r="AA372">
        <f t="shared" si="11"/>
        <v>0</v>
      </c>
      <c r="AB372">
        <v>19256</v>
      </c>
      <c r="AC372" t="s">
        <v>592</v>
      </c>
      <c r="AD372" t="s">
        <v>612</v>
      </c>
      <c r="AE372">
        <v>1.08344</v>
      </c>
      <c r="AF372" t="s">
        <v>76</v>
      </c>
      <c r="AG372">
        <v>36.081833000000003</v>
      </c>
      <c r="AH372" t="s">
        <v>592</v>
      </c>
      <c r="AI372" t="s">
        <v>612</v>
      </c>
      <c r="AJ372">
        <v>0.91075600000000001</v>
      </c>
      <c r="AK372" t="s">
        <v>63</v>
      </c>
      <c r="AL372">
        <v>29.532084999999999</v>
      </c>
      <c r="AM372" t="s">
        <v>65</v>
      </c>
      <c r="AN372" s="7">
        <v>7082.8817366034236</v>
      </c>
      <c r="AO372" t="s">
        <v>65</v>
      </c>
      <c r="AP372" s="3">
        <v>3613</v>
      </c>
      <c r="AQ372">
        <v>1</v>
      </c>
      <c r="AR372">
        <v>4557.9694330000002</v>
      </c>
      <c r="AS372" t="s">
        <v>66</v>
      </c>
      <c r="AT372" t="s">
        <v>299</v>
      </c>
    </row>
    <row r="373" spans="1:46">
      <c r="A373">
        <v>26</v>
      </c>
      <c r="B373" t="s">
        <v>46</v>
      </c>
      <c r="C373">
        <v>19</v>
      </c>
      <c r="D373">
        <v>290</v>
      </c>
      <c r="E373" t="s">
        <v>587</v>
      </c>
      <c r="F373" t="s">
        <v>611</v>
      </c>
      <c r="G373">
        <v>19290</v>
      </c>
      <c r="H373">
        <v>19290</v>
      </c>
      <c r="I373" t="s">
        <v>49</v>
      </c>
      <c r="J373">
        <v>1905</v>
      </c>
      <c r="K373" t="s">
        <v>297</v>
      </c>
      <c r="L373" t="s">
        <v>91</v>
      </c>
      <c r="M373" t="s">
        <v>53</v>
      </c>
      <c r="N373">
        <v>5442</v>
      </c>
      <c r="O373" t="s">
        <v>53</v>
      </c>
      <c r="P373" t="s">
        <v>70</v>
      </c>
      <c r="Q373" t="s">
        <v>71</v>
      </c>
      <c r="R373" t="s">
        <v>72</v>
      </c>
      <c r="S373" t="s">
        <v>57</v>
      </c>
      <c r="T373" t="s">
        <v>73</v>
      </c>
      <c r="U373" t="s">
        <v>119</v>
      </c>
      <c r="V373">
        <v>0.73388500000000001</v>
      </c>
      <c r="W373">
        <v>2023</v>
      </c>
      <c r="X373" t="s">
        <v>109</v>
      </c>
      <c r="Y373" t="s">
        <v>110</v>
      </c>
      <c r="Z373" t="str">
        <f t="shared" si="10"/>
        <v>Mayor que 30 - hasta 40</v>
      </c>
      <c r="AA373">
        <f t="shared" si="11"/>
        <v>0</v>
      </c>
      <c r="AB373">
        <v>19290</v>
      </c>
      <c r="AC373" t="s">
        <v>627</v>
      </c>
      <c r="AD373" t="s">
        <v>628</v>
      </c>
      <c r="AE373">
        <v>2.9580730000000002</v>
      </c>
      <c r="AF373" t="s">
        <v>77</v>
      </c>
      <c r="AG373">
        <v>91.731789000000006</v>
      </c>
      <c r="AH373" t="s">
        <v>627</v>
      </c>
      <c r="AI373" t="s">
        <v>628</v>
      </c>
      <c r="AJ373">
        <v>2.9807730000000001</v>
      </c>
      <c r="AK373" t="s">
        <v>77</v>
      </c>
      <c r="AL373">
        <v>92.273211000000003</v>
      </c>
      <c r="AM373" t="s">
        <v>65</v>
      </c>
      <c r="AN373" s="7">
        <v>1175.712802975364</v>
      </c>
      <c r="AO373" t="s">
        <v>65</v>
      </c>
      <c r="AP373" s="3">
        <v>953</v>
      </c>
      <c r="AQ373">
        <v>4</v>
      </c>
      <c r="AR373">
        <v>1254.7484850000001</v>
      </c>
      <c r="AS373" t="s">
        <v>66</v>
      </c>
      <c r="AT373" t="s">
        <v>137</v>
      </c>
    </row>
    <row r="374" spans="1:46">
      <c r="A374">
        <v>53</v>
      </c>
      <c r="B374" t="s">
        <v>46</v>
      </c>
      <c r="C374">
        <v>19</v>
      </c>
      <c r="D374">
        <v>318</v>
      </c>
      <c r="E374" t="s">
        <v>629</v>
      </c>
      <c r="F374" t="s">
        <v>611</v>
      </c>
      <c r="G374">
        <v>19318</v>
      </c>
      <c r="H374">
        <v>19318</v>
      </c>
      <c r="I374" t="s">
        <v>49</v>
      </c>
      <c r="J374">
        <v>1903</v>
      </c>
      <c r="K374" t="s">
        <v>79</v>
      </c>
      <c r="L374" t="s">
        <v>69</v>
      </c>
      <c r="M374" t="s">
        <v>53</v>
      </c>
      <c r="N374">
        <v>29207</v>
      </c>
      <c r="O374" t="s">
        <v>53</v>
      </c>
      <c r="P374" t="s">
        <v>70</v>
      </c>
      <c r="Q374" t="s">
        <v>71</v>
      </c>
      <c r="R374" t="s">
        <v>249</v>
      </c>
      <c r="S374" t="s">
        <v>630</v>
      </c>
      <c r="T374" t="s">
        <v>73</v>
      </c>
      <c r="U374" t="s">
        <v>115</v>
      </c>
      <c r="V374">
        <v>1.2821000000000001E-2</v>
      </c>
      <c r="W374">
        <v>2023</v>
      </c>
      <c r="X374" t="s">
        <v>310</v>
      </c>
      <c r="Y374" t="s">
        <v>311</v>
      </c>
      <c r="Z374" t="str">
        <f t="shared" si="10"/>
        <v>Mayor que 15 - hasta 20</v>
      </c>
      <c r="AA374">
        <f t="shared" si="11"/>
        <v>0</v>
      </c>
      <c r="AB374" t="e">
        <v>#N/A</v>
      </c>
      <c r="AC374" t="e">
        <v>#N/A</v>
      </c>
      <c r="AD374" t="e">
        <v>#N/A</v>
      </c>
      <c r="AE374">
        <v>0</v>
      </c>
      <c r="AF374" t="s">
        <v>211</v>
      </c>
      <c r="AG374">
        <v>0</v>
      </c>
      <c r="AH374" t="e">
        <v>#N/A</v>
      </c>
      <c r="AI374" t="e">
        <v>#N/A</v>
      </c>
      <c r="AJ374">
        <v>0</v>
      </c>
      <c r="AK374" t="s">
        <v>211</v>
      </c>
      <c r="AL374">
        <v>0</v>
      </c>
      <c r="AM374" s="9" t="s">
        <v>97</v>
      </c>
      <c r="AN374" s="10">
        <v>3757.353174012514</v>
      </c>
      <c r="AO374" s="9" t="s">
        <v>65</v>
      </c>
      <c r="AP374" s="8">
        <v>78</v>
      </c>
      <c r="AQ374">
        <v>3</v>
      </c>
      <c r="AR374">
        <v>3253.3181530000002</v>
      </c>
      <c r="AS374" t="s">
        <v>66</v>
      </c>
      <c r="AT374" t="s">
        <v>137</v>
      </c>
    </row>
    <row r="375" spans="1:46">
      <c r="A375">
        <v>27</v>
      </c>
      <c r="B375" t="s">
        <v>46</v>
      </c>
      <c r="C375">
        <v>19</v>
      </c>
      <c r="D375">
        <v>355</v>
      </c>
      <c r="E375" t="s">
        <v>631</v>
      </c>
      <c r="F375" t="s">
        <v>611</v>
      </c>
      <c r="G375">
        <v>19355</v>
      </c>
      <c r="H375">
        <v>19355</v>
      </c>
      <c r="I375" t="s">
        <v>49</v>
      </c>
      <c r="J375">
        <v>1904</v>
      </c>
      <c r="K375" t="s">
        <v>68</v>
      </c>
      <c r="L375" t="s">
        <v>80</v>
      </c>
      <c r="M375" t="s">
        <v>53</v>
      </c>
      <c r="N375">
        <v>30794</v>
      </c>
      <c r="O375" t="s">
        <v>53</v>
      </c>
      <c r="P375" t="s">
        <v>92</v>
      </c>
      <c r="Q375" t="s">
        <v>71</v>
      </c>
      <c r="R375" t="s">
        <v>56</v>
      </c>
      <c r="S375" t="s">
        <v>57</v>
      </c>
      <c r="T375" t="s">
        <v>58</v>
      </c>
      <c r="U375" t="s">
        <v>119</v>
      </c>
      <c r="V375">
        <v>0.76408299999999996</v>
      </c>
      <c r="W375">
        <v>2023</v>
      </c>
      <c r="X375" t="s">
        <v>176</v>
      </c>
      <c r="Y375" t="s">
        <v>177</v>
      </c>
      <c r="Z375" t="str">
        <f t="shared" si="10"/>
        <v>Mayor que 20 - hasta 30</v>
      </c>
      <c r="AA375">
        <f t="shared" si="11"/>
        <v>0</v>
      </c>
      <c r="AB375">
        <v>19355</v>
      </c>
      <c r="AC375" t="s">
        <v>632</v>
      </c>
      <c r="AD375" t="s">
        <v>633</v>
      </c>
      <c r="AE375">
        <v>1.3868849999999999</v>
      </c>
      <c r="AF375" t="s">
        <v>76</v>
      </c>
      <c r="AG375">
        <v>38.198990000000002</v>
      </c>
      <c r="AH375" t="s">
        <v>592</v>
      </c>
      <c r="AI375" t="s">
        <v>612</v>
      </c>
      <c r="AJ375">
        <v>2.3860239999999999</v>
      </c>
      <c r="AK375" t="s">
        <v>77</v>
      </c>
      <c r="AL375">
        <v>89.580316999999994</v>
      </c>
      <c r="AM375" t="s">
        <v>97</v>
      </c>
      <c r="AN375" s="7">
        <v>2083.9031088941192</v>
      </c>
      <c r="AO375" t="s">
        <v>65</v>
      </c>
      <c r="AP375" s="3">
        <v>764</v>
      </c>
      <c r="AQ375">
        <v>3</v>
      </c>
      <c r="AR375">
        <v>3142.7504640000002</v>
      </c>
      <c r="AS375" t="s">
        <v>66</v>
      </c>
      <c r="AT375" t="s">
        <v>634</v>
      </c>
    </row>
    <row r="376" spans="1:46">
      <c r="A376">
        <v>28</v>
      </c>
      <c r="B376" t="s">
        <v>46</v>
      </c>
      <c r="C376">
        <v>19</v>
      </c>
      <c r="D376">
        <v>364</v>
      </c>
      <c r="E376" t="s">
        <v>635</v>
      </c>
      <c r="F376" t="s">
        <v>611</v>
      </c>
      <c r="G376">
        <v>19364</v>
      </c>
      <c r="H376">
        <v>19364</v>
      </c>
      <c r="I376" t="s">
        <v>49</v>
      </c>
      <c r="J376">
        <v>1904</v>
      </c>
      <c r="K376" t="s">
        <v>68</v>
      </c>
      <c r="L376" t="s">
        <v>69</v>
      </c>
      <c r="M376" t="s">
        <v>53</v>
      </c>
      <c r="N376">
        <v>19101</v>
      </c>
      <c r="O376" t="s">
        <v>53</v>
      </c>
      <c r="P376" t="s">
        <v>70</v>
      </c>
      <c r="Q376" t="s">
        <v>71</v>
      </c>
      <c r="R376" t="s">
        <v>122</v>
      </c>
      <c r="S376" t="s">
        <v>615</v>
      </c>
      <c r="T376" t="s">
        <v>73</v>
      </c>
      <c r="U376" t="s">
        <v>101</v>
      </c>
      <c r="V376">
        <v>0.771065</v>
      </c>
      <c r="W376">
        <v>2023</v>
      </c>
      <c r="X376" t="s">
        <v>310</v>
      </c>
      <c r="Y376" t="s">
        <v>311</v>
      </c>
      <c r="Z376" t="str">
        <f t="shared" si="10"/>
        <v>Mayor que 15 - hasta 20</v>
      </c>
      <c r="AA376">
        <f t="shared" si="11"/>
        <v>0</v>
      </c>
      <c r="AB376">
        <v>19364</v>
      </c>
      <c r="AC376" t="s">
        <v>592</v>
      </c>
      <c r="AD376" t="s">
        <v>618</v>
      </c>
      <c r="AE376">
        <v>1.646193</v>
      </c>
      <c r="AF376" t="s">
        <v>76</v>
      </c>
      <c r="AG376">
        <v>43.358787999999997</v>
      </c>
      <c r="AH376" t="s">
        <v>592</v>
      </c>
      <c r="AI376" t="s">
        <v>612</v>
      </c>
      <c r="AJ376">
        <v>1.908093</v>
      </c>
      <c r="AK376" t="s">
        <v>76</v>
      </c>
      <c r="AL376">
        <v>61.958283000000002</v>
      </c>
      <c r="AM376" t="s">
        <v>97</v>
      </c>
      <c r="AN376" s="7">
        <v>2745.7306634314941</v>
      </c>
      <c r="AO376" t="s">
        <v>97</v>
      </c>
      <c r="AP376" s="3">
        <v>14</v>
      </c>
      <c r="AQ376">
        <v>4</v>
      </c>
      <c r="AR376">
        <v>2834.265519</v>
      </c>
      <c r="AS376" t="s">
        <v>66</v>
      </c>
      <c r="AT376" t="s">
        <v>137</v>
      </c>
    </row>
    <row r="377" spans="1:46">
      <c r="A377">
        <v>29</v>
      </c>
      <c r="B377" t="s">
        <v>46</v>
      </c>
      <c r="C377">
        <v>19</v>
      </c>
      <c r="D377">
        <v>392</v>
      </c>
      <c r="E377" t="s">
        <v>636</v>
      </c>
      <c r="F377" t="s">
        <v>611</v>
      </c>
      <c r="G377">
        <v>19392</v>
      </c>
      <c r="H377">
        <v>19392</v>
      </c>
      <c r="I377" t="s">
        <v>49</v>
      </c>
      <c r="J377">
        <v>1901</v>
      </c>
      <c r="K377" t="s">
        <v>409</v>
      </c>
      <c r="L377" t="s">
        <v>69</v>
      </c>
      <c r="M377" t="s">
        <v>53</v>
      </c>
      <c r="N377">
        <v>11286</v>
      </c>
      <c r="O377" t="s">
        <v>53</v>
      </c>
      <c r="P377" t="s">
        <v>70</v>
      </c>
      <c r="Q377" t="s">
        <v>71</v>
      </c>
      <c r="R377" t="s">
        <v>72</v>
      </c>
      <c r="S377" t="s">
        <v>57</v>
      </c>
      <c r="T377" t="s">
        <v>58</v>
      </c>
      <c r="U377" t="s">
        <v>59</v>
      </c>
      <c r="V377">
        <v>0.89288900000000004</v>
      </c>
      <c r="W377">
        <v>2023</v>
      </c>
      <c r="X377" t="s">
        <v>176</v>
      </c>
      <c r="Y377" t="s">
        <v>177</v>
      </c>
      <c r="Z377" t="str">
        <f t="shared" si="10"/>
        <v>Mayor que 20 - hasta 30</v>
      </c>
      <c r="AA377">
        <f t="shared" si="11"/>
        <v>0</v>
      </c>
      <c r="AB377">
        <v>19392</v>
      </c>
      <c r="AC377" t="s">
        <v>592</v>
      </c>
      <c r="AD377" t="s">
        <v>612</v>
      </c>
      <c r="AE377">
        <v>1.724782</v>
      </c>
      <c r="AF377" t="s">
        <v>76</v>
      </c>
      <c r="AG377">
        <v>54.726911999999999</v>
      </c>
      <c r="AH377" t="s">
        <v>592</v>
      </c>
      <c r="AI377" t="s">
        <v>612</v>
      </c>
      <c r="AJ377">
        <v>1.5520989999999999</v>
      </c>
      <c r="AK377" t="s">
        <v>76</v>
      </c>
      <c r="AL377">
        <v>48.177163999999998</v>
      </c>
      <c r="AM377" t="s">
        <v>65</v>
      </c>
      <c r="AN377" s="7">
        <v>4601.6150710322217</v>
      </c>
      <c r="AO377" t="s">
        <v>65</v>
      </c>
      <c r="AP377" s="3">
        <v>2002</v>
      </c>
      <c r="AQ377">
        <v>3</v>
      </c>
      <c r="AR377">
        <v>5278.5277450000003</v>
      </c>
      <c r="AS377" t="s">
        <v>66</v>
      </c>
      <c r="AT377" t="s">
        <v>634</v>
      </c>
    </row>
    <row r="378" spans="1:46">
      <c r="A378">
        <v>30</v>
      </c>
      <c r="B378" t="s">
        <v>46</v>
      </c>
      <c r="C378">
        <v>19</v>
      </c>
      <c r="D378">
        <v>397</v>
      </c>
      <c r="E378" t="s">
        <v>637</v>
      </c>
      <c r="F378" t="s">
        <v>611</v>
      </c>
      <c r="G378">
        <v>19397</v>
      </c>
      <c r="H378">
        <v>19397</v>
      </c>
      <c r="I378" t="s">
        <v>49</v>
      </c>
      <c r="J378">
        <v>1905</v>
      </c>
      <c r="K378" t="s">
        <v>297</v>
      </c>
      <c r="L378" t="s">
        <v>69</v>
      </c>
      <c r="M378" t="s">
        <v>53</v>
      </c>
      <c r="N378">
        <v>26020</v>
      </c>
      <c r="O378" t="s">
        <v>53</v>
      </c>
      <c r="P378" t="s">
        <v>70</v>
      </c>
      <c r="Q378" t="s">
        <v>71</v>
      </c>
      <c r="R378" t="s">
        <v>72</v>
      </c>
      <c r="S378" t="s">
        <v>57</v>
      </c>
      <c r="T378" t="s">
        <v>58</v>
      </c>
      <c r="U378" t="s">
        <v>119</v>
      </c>
      <c r="V378">
        <v>0.87975800000000004</v>
      </c>
      <c r="W378">
        <v>2023</v>
      </c>
      <c r="X378" t="s">
        <v>310</v>
      </c>
      <c r="Y378" t="s">
        <v>311</v>
      </c>
      <c r="Z378" t="str">
        <f t="shared" si="10"/>
        <v>Mayor que 15 - hasta 20</v>
      </c>
      <c r="AA378">
        <f t="shared" si="11"/>
        <v>0</v>
      </c>
      <c r="AB378">
        <v>19397</v>
      </c>
      <c r="AC378" t="s">
        <v>592</v>
      </c>
      <c r="AD378" t="s">
        <v>612</v>
      </c>
      <c r="AE378">
        <v>2.5582319999999998</v>
      </c>
      <c r="AF378" t="s">
        <v>77</v>
      </c>
      <c r="AG378">
        <v>86.218795</v>
      </c>
      <c r="AH378" t="s">
        <v>592</v>
      </c>
      <c r="AI378" t="s">
        <v>612</v>
      </c>
      <c r="AJ378">
        <v>2.385548</v>
      </c>
      <c r="AK378" t="s">
        <v>77</v>
      </c>
      <c r="AL378">
        <v>79.669048000000004</v>
      </c>
      <c r="AM378" t="s">
        <v>65</v>
      </c>
      <c r="AN378" s="7">
        <v>3766.4186820429991</v>
      </c>
      <c r="AO378" t="s">
        <v>65</v>
      </c>
      <c r="AP378" s="3">
        <v>3477</v>
      </c>
      <c r="AQ378">
        <v>3</v>
      </c>
      <c r="AR378">
        <v>3325.0730720000001</v>
      </c>
      <c r="AS378" t="s">
        <v>66</v>
      </c>
      <c r="AT378" t="s">
        <v>137</v>
      </c>
    </row>
    <row r="379" spans="1:46">
      <c r="A379">
        <v>54</v>
      </c>
      <c r="B379" t="s">
        <v>46</v>
      </c>
      <c r="C379">
        <v>19</v>
      </c>
      <c r="D379">
        <v>418</v>
      </c>
      <c r="E379" t="s">
        <v>638</v>
      </c>
      <c r="F379" t="s">
        <v>611</v>
      </c>
      <c r="G379">
        <v>19418</v>
      </c>
      <c r="H379">
        <v>19418</v>
      </c>
      <c r="I379" t="s">
        <v>49</v>
      </c>
      <c r="J379">
        <v>1903</v>
      </c>
      <c r="K379" t="s">
        <v>79</v>
      </c>
      <c r="L379" t="s">
        <v>80</v>
      </c>
      <c r="M379" t="s">
        <v>53</v>
      </c>
      <c r="N379">
        <v>19749</v>
      </c>
      <c r="O379" t="s">
        <v>53</v>
      </c>
      <c r="P379" t="s">
        <v>70</v>
      </c>
      <c r="Q379" t="s">
        <v>71</v>
      </c>
      <c r="R379" t="s">
        <v>72</v>
      </c>
      <c r="S379" t="s">
        <v>630</v>
      </c>
      <c r="T379" t="s">
        <v>73</v>
      </c>
      <c r="U379" t="s">
        <v>115</v>
      </c>
      <c r="V379">
        <v>1.0463E-2</v>
      </c>
      <c r="W379">
        <v>2023</v>
      </c>
      <c r="X379" t="s">
        <v>310</v>
      </c>
      <c r="Y379" t="s">
        <v>311</v>
      </c>
      <c r="Z379" t="str">
        <f t="shared" si="10"/>
        <v>Mayor que 15 - hasta 20</v>
      </c>
      <c r="AA379">
        <f t="shared" si="11"/>
        <v>0</v>
      </c>
      <c r="AB379" t="e">
        <v>#N/A</v>
      </c>
      <c r="AC379" t="e">
        <v>#N/A</v>
      </c>
      <c r="AD379" t="e">
        <v>#N/A</v>
      </c>
      <c r="AE379">
        <v>0</v>
      </c>
      <c r="AF379" t="s">
        <v>211</v>
      </c>
      <c r="AG379">
        <v>0</v>
      </c>
      <c r="AH379" t="e">
        <v>#N/A</v>
      </c>
      <c r="AI379" t="e">
        <v>#N/A</v>
      </c>
      <c r="AJ379">
        <v>0</v>
      </c>
      <c r="AK379" t="s">
        <v>211</v>
      </c>
      <c r="AL379">
        <v>0</v>
      </c>
      <c r="AM379" s="9" t="s">
        <v>97</v>
      </c>
      <c r="AN379" s="10">
        <v>451.21028389888153</v>
      </c>
      <c r="AO379" s="9" t="s">
        <v>65</v>
      </c>
      <c r="AP379" s="8">
        <v>15</v>
      </c>
      <c r="AQ379">
        <v>2</v>
      </c>
      <c r="AR379">
        <v>52.120199</v>
      </c>
      <c r="AS379" t="s">
        <v>66</v>
      </c>
      <c r="AT379" t="s">
        <v>299</v>
      </c>
    </row>
    <row r="380" spans="1:46">
      <c r="A380">
        <v>31</v>
      </c>
      <c r="B380" t="s">
        <v>46</v>
      </c>
      <c r="C380">
        <v>19</v>
      </c>
      <c r="D380">
        <v>450</v>
      </c>
      <c r="E380" t="s">
        <v>639</v>
      </c>
      <c r="F380" t="s">
        <v>611</v>
      </c>
      <c r="G380">
        <v>19450</v>
      </c>
      <c r="H380">
        <v>19450</v>
      </c>
      <c r="I380" t="s">
        <v>49</v>
      </c>
      <c r="J380">
        <v>1905</v>
      </c>
      <c r="K380" t="s">
        <v>297</v>
      </c>
      <c r="L380" t="s">
        <v>80</v>
      </c>
      <c r="M380" t="s">
        <v>53</v>
      </c>
      <c r="N380">
        <v>24716</v>
      </c>
      <c r="O380" t="s">
        <v>53</v>
      </c>
      <c r="P380" t="s">
        <v>70</v>
      </c>
      <c r="Q380" t="s">
        <v>71</v>
      </c>
      <c r="R380" t="s">
        <v>93</v>
      </c>
      <c r="S380" t="s">
        <v>615</v>
      </c>
      <c r="T380" t="s">
        <v>73</v>
      </c>
      <c r="U380" t="s">
        <v>119</v>
      </c>
      <c r="V380">
        <v>0.73272499999999996</v>
      </c>
      <c r="W380">
        <v>2023</v>
      </c>
      <c r="X380" t="s">
        <v>176</v>
      </c>
      <c r="Y380" t="s">
        <v>177</v>
      </c>
      <c r="Z380" t="str">
        <f t="shared" si="10"/>
        <v>Mayor que 20 - hasta 30</v>
      </c>
      <c r="AA380">
        <f t="shared" si="11"/>
        <v>0</v>
      </c>
      <c r="AB380">
        <v>19450</v>
      </c>
      <c r="AC380" t="s">
        <v>627</v>
      </c>
      <c r="AD380" t="s">
        <v>628</v>
      </c>
      <c r="AE380">
        <v>2.9593880000000001</v>
      </c>
      <c r="AF380" t="s">
        <v>77</v>
      </c>
      <c r="AG380">
        <v>96.418795000000003</v>
      </c>
      <c r="AH380" t="s">
        <v>627</v>
      </c>
      <c r="AI380" t="s">
        <v>628</v>
      </c>
      <c r="AJ380">
        <v>2.9820880000000001</v>
      </c>
      <c r="AK380" t="s">
        <v>77</v>
      </c>
      <c r="AL380">
        <v>96.960216000000003</v>
      </c>
      <c r="AM380" t="s">
        <v>64</v>
      </c>
      <c r="AN380" s="7">
        <v>1833.6497583456951</v>
      </c>
      <c r="AO380" t="s">
        <v>65</v>
      </c>
      <c r="AP380" s="3">
        <v>358</v>
      </c>
      <c r="AQ380">
        <v>2</v>
      </c>
      <c r="AR380">
        <v>2288.5496920000001</v>
      </c>
      <c r="AS380" t="s">
        <v>66</v>
      </c>
      <c r="AT380" t="s">
        <v>634</v>
      </c>
    </row>
    <row r="381" spans="1:46">
      <c r="A381">
        <v>32</v>
      </c>
      <c r="B381" t="s">
        <v>46</v>
      </c>
      <c r="C381">
        <v>19</v>
      </c>
      <c r="D381">
        <v>455</v>
      </c>
      <c r="E381" t="s">
        <v>640</v>
      </c>
      <c r="F381" t="s">
        <v>611</v>
      </c>
      <c r="G381">
        <v>19455</v>
      </c>
      <c r="H381">
        <v>19455</v>
      </c>
      <c r="I381" t="s">
        <v>49</v>
      </c>
      <c r="J381">
        <v>1902</v>
      </c>
      <c r="K381" t="s">
        <v>112</v>
      </c>
      <c r="L381" t="s">
        <v>91</v>
      </c>
      <c r="M381" t="s">
        <v>53</v>
      </c>
      <c r="N381">
        <v>33395</v>
      </c>
      <c r="O381" t="s">
        <v>53</v>
      </c>
      <c r="P381" t="s">
        <v>92</v>
      </c>
      <c r="Q381" t="s">
        <v>118</v>
      </c>
      <c r="R381" t="s">
        <v>105</v>
      </c>
      <c r="S381" t="s">
        <v>615</v>
      </c>
      <c r="T381" t="s">
        <v>73</v>
      </c>
      <c r="U381" t="s">
        <v>101</v>
      </c>
      <c r="V381">
        <v>0.58018999999999998</v>
      </c>
      <c r="W381">
        <v>2023</v>
      </c>
      <c r="X381" t="s">
        <v>217</v>
      </c>
      <c r="Y381" t="s">
        <v>218</v>
      </c>
      <c r="Z381" t="str">
        <f t="shared" si="10"/>
        <v>Mayor que 40 - hasta 50</v>
      </c>
      <c r="AA381">
        <f t="shared" si="11"/>
        <v>0</v>
      </c>
      <c r="AB381">
        <v>19455</v>
      </c>
      <c r="AC381" t="s">
        <v>619</v>
      </c>
      <c r="AD381" t="s">
        <v>625</v>
      </c>
      <c r="AE381">
        <v>0.20847299999999999</v>
      </c>
      <c r="AF381" t="s">
        <v>63</v>
      </c>
      <c r="AG381">
        <v>9.0426409999999997</v>
      </c>
      <c r="AH381" t="s">
        <v>619</v>
      </c>
      <c r="AI381" t="s">
        <v>620</v>
      </c>
      <c r="AJ381">
        <v>1.1563349999999999</v>
      </c>
      <c r="AK381" t="s">
        <v>76</v>
      </c>
      <c r="AL381">
        <v>51.473000999999996</v>
      </c>
      <c r="AM381" t="s">
        <v>64</v>
      </c>
      <c r="AN381" s="7">
        <v>141.87778728730351</v>
      </c>
      <c r="AO381" t="s">
        <v>65</v>
      </c>
      <c r="AP381" s="3">
        <v>90</v>
      </c>
      <c r="AQ381">
        <v>2</v>
      </c>
      <c r="AR381">
        <v>259.65714400000002</v>
      </c>
      <c r="AS381" t="s">
        <v>66</v>
      </c>
      <c r="AT381" t="s">
        <v>137</v>
      </c>
    </row>
    <row r="382" spans="1:46">
      <c r="A382">
        <v>33</v>
      </c>
      <c r="B382" t="s">
        <v>46</v>
      </c>
      <c r="C382">
        <v>19</v>
      </c>
      <c r="D382">
        <v>473</v>
      </c>
      <c r="E382" t="s">
        <v>386</v>
      </c>
      <c r="F382" t="s">
        <v>611</v>
      </c>
      <c r="G382">
        <v>19473</v>
      </c>
      <c r="H382">
        <v>19473</v>
      </c>
      <c r="I382" t="s">
        <v>49</v>
      </c>
      <c r="J382">
        <v>1901</v>
      </c>
      <c r="K382" t="s">
        <v>409</v>
      </c>
      <c r="L382" t="s">
        <v>69</v>
      </c>
      <c r="M382" t="s">
        <v>53</v>
      </c>
      <c r="N382">
        <v>41591</v>
      </c>
      <c r="O382" t="s">
        <v>53</v>
      </c>
      <c r="P382" t="s">
        <v>92</v>
      </c>
      <c r="Q382" t="s">
        <v>71</v>
      </c>
      <c r="R382" t="s">
        <v>122</v>
      </c>
      <c r="S382" t="s">
        <v>615</v>
      </c>
      <c r="T382" t="s">
        <v>73</v>
      </c>
      <c r="U382" t="s">
        <v>101</v>
      </c>
      <c r="V382">
        <v>0.64254599999999995</v>
      </c>
      <c r="W382">
        <v>2023</v>
      </c>
      <c r="X382" t="s">
        <v>141</v>
      </c>
      <c r="Y382" t="s">
        <v>142</v>
      </c>
      <c r="Z382" t="str">
        <f t="shared" si="10"/>
        <v>Mayor que 60 - hasta 70</v>
      </c>
      <c r="AA382">
        <f t="shared" si="11"/>
        <v>0</v>
      </c>
      <c r="AB382">
        <v>19473</v>
      </c>
      <c r="AC382" t="s">
        <v>592</v>
      </c>
      <c r="AD382" t="s">
        <v>612</v>
      </c>
      <c r="AE382">
        <v>1.193446</v>
      </c>
      <c r="AF382" t="s">
        <v>76</v>
      </c>
      <c r="AG382">
        <v>43.857062999999997</v>
      </c>
      <c r="AH382" t="s">
        <v>592</v>
      </c>
      <c r="AI382" t="s">
        <v>612</v>
      </c>
      <c r="AJ382">
        <v>1.3279589999999999</v>
      </c>
      <c r="AK382" t="s">
        <v>76</v>
      </c>
      <c r="AL382">
        <v>50.006810999999999</v>
      </c>
      <c r="AM382" t="s">
        <v>65</v>
      </c>
      <c r="AN382" s="7">
        <v>3665.9748476355139</v>
      </c>
      <c r="AO382" t="s">
        <v>65</v>
      </c>
      <c r="AP382" s="3">
        <v>1969</v>
      </c>
      <c r="AQ382">
        <v>2</v>
      </c>
      <c r="AR382">
        <v>4434.2435219999998</v>
      </c>
      <c r="AS382" t="s">
        <v>66</v>
      </c>
      <c r="AT382" t="s">
        <v>634</v>
      </c>
    </row>
    <row r="383" spans="1:46">
      <c r="A383">
        <v>34</v>
      </c>
      <c r="B383" t="s">
        <v>46</v>
      </c>
      <c r="C383">
        <v>19</v>
      </c>
      <c r="D383">
        <v>513</v>
      </c>
      <c r="E383" t="s">
        <v>641</v>
      </c>
      <c r="F383" t="s">
        <v>611</v>
      </c>
      <c r="G383">
        <v>19513</v>
      </c>
      <c r="H383">
        <v>19513</v>
      </c>
      <c r="I383" t="s">
        <v>49</v>
      </c>
      <c r="J383">
        <v>1902</v>
      </c>
      <c r="K383" t="s">
        <v>112</v>
      </c>
      <c r="L383" t="s">
        <v>51</v>
      </c>
      <c r="M383" t="s">
        <v>53</v>
      </c>
      <c r="N383">
        <v>10510</v>
      </c>
      <c r="O383" t="s">
        <v>53</v>
      </c>
      <c r="P383" t="s">
        <v>70</v>
      </c>
      <c r="Q383" t="s">
        <v>71</v>
      </c>
      <c r="R383" t="s">
        <v>72</v>
      </c>
      <c r="S383" t="s">
        <v>57</v>
      </c>
      <c r="T383" t="s">
        <v>58</v>
      </c>
      <c r="U383" t="s">
        <v>119</v>
      </c>
      <c r="V383">
        <v>0.58042000000000005</v>
      </c>
      <c r="W383">
        <v>2023</v>
      </c>
      <c r="X383" t="s">
        <v>190</v>
      </c>
      <c r="Y383" t="s">
        <v>191</v>
      </c>
      <c r="Z383" t="str">
        <f t="shared" si="10"/>
        <v>Mayor que 100 - hasta 120</v>
      </c>
      <c r="AA383">
        <f t="shared" si="11"/>
        <v>0</v>
      </c>
      <c r="AB383">
        <v>19513</v>
      </c>
      <c r="AC383" t="s">
        <v>592</v>
      </c>
      <c r="AD383" t="s">
        <v>642</v>
      </c>
      <c r="AE383">
        <v>0.43768699999999999</v>
      </c>
      <c r="AF383" t="s">
        <v>63</v>
      </c>
      <c r="AG383">
        <v>14.008326</v>
      </c>
      <c r="AH383" t="s">
        <v>619</v>
      </c>
      <c r="AI383" t="s">
        <v>620</v>
      </c>
      <c r="AJ383">
        <v>1.1390910000000001</v>
      </c>
      <c r="AK383" t="s">
        <v>76</v>
      </c>
      <c r="AL383">
        <v>41.820309999999999</v>
      </c>
      <c r="AM383" t="s">
        <v>65</v>
      </c>
      <c r="AN383" s="7">
        <v>2550.3392858857692</v>
      </c>
      <c r="AO383" t="s">
        <v>65</v>
      </c>
      <c r="AP383" s="3">
        <v>2101</v>
      </c>
      <c r="AQ383">
        <v>1</v>
      </c>
      <c r="AR383">
        <v>4873.2966900000001</v>
      </c>
      <c r="AS383" t="s">
        <v>66</v>
      </c>
      <c r="AT383" t="s">
        <v>613</v>
      </c>
    </row>
    <row r="384" spans="1:46">
      <c r="A384">
        <v>35</v>
      </c>
      <c r="B384" t="s">
        <v>46</v>
      </c>
      <c r="C384">
        <v>19</v>
      </c>
      <c r="D384">
        <v>517</v>
      </c>
      <c r="E384" t="s">
        <v>491</v>
      </c>
      <c r="F384" t="s">
        <v>611</v>
      </c>
      <c r="G384">
        <v>19517</v>
      </c>
      <c r="H384">
        <v>19517</v>
      </c>
      <c r="I384" t="s">
        <v>49</v>
      </c>
      <c r="J384">
        <v>1904</v>
      </c>
      <c r="K384" t="s">
        <v>68</v>
      </c>
      <c r="L384" t="s">
        <v>80</v>
      </c>
      <c r="M384" t="s">
        <v>53</v>
      </c>
      <c r="N384">
        <v>49137</v>
      </c>
      <c r="O384" t="s">
        <v>53</v>
      </c>
      <c r="P384" t="s">
        <v>92</v>
      </c>
      <c r="Q384" t="s">
        <v>71</v>
      </c>
      <c r="R384" t="s">
        <v>93</v>
      </c>
      <c r="S384" t="s">
        <v>57</v>
      </c>
      <c r="T384" t="s">
        <v>58</v>
      </c>
      <c r="U384" t="s">
        <v>119</v>
      </c>
      <c r="V384">
        <v>0.76636700000000002</v>
      </c>
      <c r="W384">
        <v>2023</v>
      </c>
      <c r="X384" t="s">
        <v>109</v>
      </c>
      <c r="Y384" t="s">
        <v>110</v>
      </c>
      <c r="Z384" t="str">
        <f t="shared" si="10"/>
        <v>Mayor que 30 - hasta 40</v>
      </c>
      <c r="AA384">
        <f t="shared" si="11"/>
        <v>0</v>
      </c>
      <c r="AB384">
        <v>19517</v>
      </c>
      <c r="AC384" t="s">
        <v>632</v>
      </c>
      <c r="AD384" t="s">
        <v>633</v>
      </c>
      <c r="AE384">
        <v>1.7098340000000001</v>
      </c>
      <c r="AF384" t="s">
        <v>76</v>
      </c>
      <c r="AG384">
        <v>38.264674999999997</v>
      </c>
      <c r="AH384" t="s">
        <v>592</v>
      </c>
      <c r="AI384" t="s">
        <v>612</v>
      </c>
      <c r="AJ384">
        <v>3.3031609999999998</v>
      </c>
      <c r="AK384" t="s">
        <v>84</v>
      </c>
      <c r="AL384">
        <v>112.969762</v>
      </c>
      <c r="AM384" t="s">
        <v>97</v>
      </c>
      <c r="AN384" s="7">
        <v>2583.221447163935</v>
      </c>
      <c r="AO384" t="s">
        <v>65</v>
      </c>
      <c r="AP384" s="3">
        <v>51</v>
      </c>
      <c r="AQ384">
        <v>4</v>
      </c>
      <c r="AR384">
        <v>2284.5595349999999</v>
      </c>
      <c r="AS384" t="s">
        <v>66</v>
      </c>
      <c r="AT384" t="s">
        <v>643</v>
      </c>
    </row>
    <row r="385" spans="1:46">
      <c r="A385">
        <v>36</v>
      </c>
      <c r="B385" t="s">
        <v>46</v>
      </c>
      <c r="C385">
        <v>19</v>
      </c>
      <c r="D385">
        <v>532</v>
      </c>
      <c r="E385" t="s">
        <v>644</v>
      </c>
      <c r="F385" t="s">
        <v>611</v>
      </c>
      <c r="G385">
        <v>19532</v>
      </c>
      <c r="H385">
        <v>19532</v>
      </c>
      <c r="I385" t="s">
        <v>49</v>
      </c>
      <c r="J385">
        <v>1905</v>
      </c>
      <c r="K385" t="s">
        <v>297</v>
      </c>
      <c r="L385" t="s">
        <v>91</v>
      </c>
      <c r="M385" t="s">
        <v>53</v>
      </c>
      <c r="N385">
        <v>38968</v>
      </c>
      <c r="O385" t="s">
        <v>53</v>
      </c>
      <c r="P385" t="s">
        <v>92</v>
      </c>
      <c r="Q385" t="s">
        <v>71</v>
      </c>
      <c r="R385" t="s">
        <v>72</v>
      </c>
      <c r="S385" t="s">
        <v>615</v>
      </c>
      <c r="T385" t="s">
        <v>73</v>
      </c>
      <c r="U385" t="s">
        <v>101</v>
      </c>
      <c r="V385">
        <v>0.72123000000000004</v>
      </c>
      <c r="W385">
        <v>2023</v>
      </c>
      <c r="X385" t="s">
        <v>109</v>
      </c>
      <c r="Y385" t="s">
        <v>110</v>
      </c>
      <c r="Z385" t="str">
        <f t="shared" si="10"/>
        <v>Mayor que 30 - hasta 40</v>
      </c>
      <c r="AA385">
        <f t="shared" si="11"/>
        <v>0</v>
      </c>
      <c r="AB385">
        <v>19532</v>
      </c>
      <c r="AC385" t="s">
        <v>592</v>
      </c>
      <c r="AD385" t="s">
        <v>612</v>
      </c>
      <c r="AE385">
        <v>2.3766780000000001</v>
      </c>
      <c r="AF385" t="s">
        <v>77</v>
      </c>
      <c r="AG385">
        <v>78.369048000000006</v>
      </c>
      <c r="AH385" t="s">
        <v>592</v>
      </c>
      <c r="AI385" t="s">
        <v>612</v>
      </c>
      <c r="AJ385">
        <v>2.2039939999999998</v>
      </c>
      <c r="AK385" t="s">
        <v>77</v>
      </c>
      <c r="AL385">
        <v>71.819299999999998</v>
      </c>
      <c r="AM385" t="s">
        <v>64</v>
      </c>
      <c r="AN385" s="7">
        <v>1881.4941620676541</v>
      </c>
      <c r="AO385" t="s">
        <v>65</v>
      </c>
      <c r="AP385" s="3">
        <v>290</v>
      </c>
      <c r="AQ385">
        <v>2</v>
      </c>
      <c r="AR385">
        <v>1720.796932</v>
      </c>
      <c r="AS385" t="s">
        <v>66</v>
      </c>
      <c r="AT385" t="s">
        <v>634</v>
      </c>
    </row>
    <row r="386" spans="1:46">
      <c r="A386">
        <v>37</v>
      </c>
      <c r="B386" t="s">
        <v>46</v>
      </c>
      <c r="C386">
        <v>19</v>
      </c>
      <c r="D386">
        <v>533</v>
      </c>
      <c r="E386" t="s">
        <v>645</v>
      </c>
      <c r="F386" t="s">
        <v>611</v>
      </c>
      <c r="G386">
        <v>19533</v>
      </c>
      <c r="H386">
        <v>19533</v>
      </c>
      <c r="I386" t="s">
        <v>49</v>
      </c>
      <c r="J386">
        <v>1905</v>
      </c>
      <c r="K386" t="s">
        <v>297</v>
      </c>
      <c r="L386" t="s">
        <v>80</v>
      </c>
      <c r="M386" t="s">
        <v>53</v>
      </c>
      <c r="N386">
        <v>9715</v>
      </c>
      <c r="O386" t="s">
        <v>53</v>
      </c>
      <c r="P386" t="s">
        <v>70</v>
      </c>
      <c r="Q386" t="s">
        <v>71</v>
      </c>
      <c r="R386" t="s">
        <v>72</v>
      </c>
      <c r="S386" t="s">
        <v>57</v>
      </c>
      <c r="T386" t="s">
        <v>73</v>
      </c>
      <c r="U386" t="s">
        <v>115</v>
      </c>
      <c r="V386">
        <v>0.80300199999999999</v>
      </c>
      <c r="W386">
        <v>2023</v>
      </c>
      <c r="X386" t="s">
        <v>176</v>
      </c>
      <c r="Y386" t="s">
        <v>177</v>
      </c>
      <c r="Z386" t="str">
        <f t="shared" si="10"/>
        <v>Mayor que 20 - hasta 30</v>
      </c>
      <c r="AA386">
        <f t="shared" si="11"/>
        <v>0</v>
      </c>
      <c r="AB386">
        <v>19533</v>
      </c>
      <c r="AC386" t="s">
        <v>646</v>
      </c>
      <c r="AD386" t="s">
        <v>647</v>
      </c>
      <c r="AE386">
        <v>1.432029</v>
      </c>
      <c r="AF386" t="s">
        <v>76</v>
      </c>
      <c r="AG386">
        <v>63.785491</v>
      </c>
      <c r="AH386" t="s">
        <v>646</v>
      </c>
      <c r="AI386" t="s">
        <v>647</v>
      </c>
      <c r="AJ386">
        <v>1.4116820000000001</v>
      </c>
      <c r="AK386" t="s">
        <v>76</v>
      </c>
      <c r="AL386">
        <v>63.078384</v>
      </c>
      <c r="AM386" t="s">
        <v>64</v>
      </c>
      <c r="AN386" s="7">
        <v>4157.9864413093183</v>
      </c>
      <c r="AO386" t="s">
        <v>65</v>
      </c>
      <c r="AP386" s="3">
        <v>194</v>
      </c>
      <c r="AQ386">
        <v>3</v>
      </c>
      <c r="AR386">
        <v>7141.3429509999996</v>
      </c>
      <c r="AS386" t="s">
        <v>66</v>
      </c>
      <c r="AT386" t="s">
        <v>634</v>
      </c>
    </row>
    <row r="387" spans="1:46">
      <c r="A387">
        <v>38</v>
      </c>
      <c r="B387" t="s">
        <v>46</v>
      </c>
      <c r="C387">
        <v>19</v>
      </c>
      <c r="D387">
        <v>548</v>
      </c>
      <c r="E387" t="s">
        <v>648</v>
      </c>
      <c r="F387" t="s">
        <v>611</v>
      </c>
      <c r="G387">
        <v>19548</v>
      </c>
      <c r="H387">
        <v>19548</v>
      </c>
      <c r="I387" t="s">
        <v>49</v>
      </c>
      <c r="J387">
        <v>1901</v>
      </c>
      <c r="K387" t="s">
        <v>409</v>
      </c>
      <c r="L387" t="s">
        <v>91</v>
      </c>
      <c r="M387" t="s">
        <v>53</v>
      </c>
      <c r="N387">
        <v>43495</v>
      </c>
      <c r="O387" t="s">
        <v>53</v>
      </c>
      <c r="P387" t="s">
        <v>92</v>
      </c>
      <c r="Q387" t="s">
        <v>71</v>
      </c>
      <c r="R387" t="s">
        <v>105</v>
      </c>
      <c r="S387" t="s">
        <v>615</v>
      </c>
      <c r="T387" t="s">
        <v>73</v>
      </c>
      <c r="U387" t="s">
        <v>119</v>
      </c>
      <c r="V387">
        <v>0.42401899999999998</v>
      </c>
      <c r="W387">
        <v>2023</v>
      </c>
      <c r="X387" t="s">
        <v>141</v>
      </c>
      <c r="Y387" t="s">
        <v>142</v>
      </c>
      <c r="Z387" t="str">
        <f t="shared" ref="Z387:Z450" si="12">IF(LEFT(Y387,10)="Irradiado_",
   RIGHT(Y387, LEN(Y387)-10),   Y387)</f>
        <v>Mayor que 60 - hasta 70</v>
      </c>
      <c r="AA387">
        <f t="shared" ref="AA387:AA450" si="13">IF(LEFT(Y387,10)="Irradiado_", 1, 0)</f>
        <v>0</v>
      </c>
      <c r="AB387">
        <v>19548</v>
      </c>
      <c r="AC387" t="s">
        <v>592</v>
      </c>
      <c r="AD387" t="s">
        <v>612</v>
      </c>
      <c r="AE387">
        <v>0.72501899999999997</v>
      </c>
      <c r="AF387" t="s">
        <v>63</v>
      </c>
      <c r="AG387">
        <v>25.956348999999999</v>
      </c>
      <c r="AH387" t="s">
        <v>592</v>
      </c>
      <c r="AI387" t="s">
        <v>612</v>
      </c>
      <c r="AJ387">
        <v>0.85953199999999996</v>
      </c>
      <c r="AK387" t="s">
        <v>63</v>
      </c>
      <c r="AL387">
        <v>32.106096999999998</v>
      </c>
      <c r="AM387" t="s">
        <v>65</v>
      </c>
      <c r="AN387" s="7">
        <v>963.51269194062422</v>
      </c>
      <c r="AO387" t="s">
        <v>65</v>
      </c>
      <c r="AP387" s="3">
        <v>872</v>
      </c>
      <c r="AQ387">
        <v>2</v>
      </c>
      <c r="AR387">
        <v>970.14299700000004</v>
      </c>
      <c r="AS387" t="s">
        <v>66</v>
      </c>
      <c r="AT387" t="s">
        <v>299</v>
      </c>
    </row>
    <row r="388" spans="1:46">
      <c r="A388">
        <v>39</v>
      </c>
      <c r="B388" t="s">
        <v>46</v>
      </c>
      <c r="C388">
        <v>19</v>
      </c>
      <c r="D388">
        <v>573</v>
      </c>
      <c r="E388" t="s">
        <v>642</v>
      </c>
      <c r="F388" t="s">
        <v>611</v>
      </c>
      <c r="G388">
        <v>19573</v>
      </c>
      <c r="H388">
        <v>19573</v>
      </c>
      <c r="I388" t="s">
        <v>49</v>
      </c>
      <c r="J388">
        <v>1902</v>
      </c>
      <c r="K388" t="s">
        <v>112</v>
      </c>
      <c r="L388" t="s">
        <v>51</v>
      </c>
      <c r="M388" t="s">
        <v>53</v>
      </c>
      <c r="N388">
        <v>44134</v>
      </c>
      <c r="O388" t="s">
        <v>53</v>
      </c>
      <c r="P388" t="s">
        <v>92</v>
      </c>
      <c r="Q388" t="s">
        <v>71</v>
      </c>
      <c r="R388" t="s">
        <v>72</v>
      </c>
      <c r="S388" t="s">
        <v>57</v>
      </c>
      <c r="T388" t="s">
        <v>58</v>
      </c>
      <c r="U388" t="s">
        <v>59</v>
      </c>
      <c r="V388">
        <v>0.59455100000000005</v>
      </c>
      <c r="W388">
        <v>2023</v>
      </c>
      <c r="X388" t="s">
        <v>94</v>
      </c>
      <c r="Y388" t="s">
        <v>95</v>
      </c>
      <c r="Z388" t="str">
        <f t="shared" si="12"/>
        <v>Mayor que 120 - hasta 140</v>
      </c>
      <c r="AA388">
        <f t="shared" si="13"/>
        <v>0</v>
      </c>
      <c r="AB388">
        <v>19573</v>
      </c>
      <c r="AC388" t="s">
        <v>592</v>
      </c>
      <c r="AD388" t="s">
        <v>642</v>
      </c>
      <c r="AE388">
        <v>0</v>
      </c>
      <c r="AF388" t="s">
        <v>63</v>
      </c>
      <c r="AG388">
        <v>0</v>
      </c>
      <c r="AH388" t="s">
        <v>619</v>
      </c>
      <c r="AI388" t="s">
        <v>620</v>
      </c>
      <c r="AJ388">
        <v>0.78715599999999997</v>
      </c>
      <c r="AK388" t="s">
        <v>63</v>
      </c>
      <c r="AL388">
        <v>28.411984</v>
      </c>
      <c r="AM388" t="s">
        <v>64</v>
      </c>
      <c r="AN388" s="7">
        <v>308.79428031094631</v>
      </c>
      <c r="AO388" t="s">
        <v>65</v>
      </c>
      <c r="AP388" s="3">
        <v>197</v>
      </c>
      <c r="AQ388">
        <v>1</v>
      </c>
      <c r="AR388">
        <v>344.35858100000002</v>
      </c>
      <c r="AS388" t="s">
        <v>66</v>
      </c>
      <c r="AT388" t="s">
        <v>613</v>
      </c>
    </row>
    <row r="389" spans="1:46">
      <c r="A389">
        <v>40</v>
      </c>
      <c r="B389" t="s">
        <v>46</v>
      </c>
      <c r="C389">
        <v>19</v>
      </c>
      <c r="D389">
        <v>585</v>
      </c>
      <c r="E389" t="s">
        <v>649</v>
      </c>
      <c r="F389" t="s">
        <v>611</v>
      </c>
      <c r="G389">
        <v>19585</v>
      </c>
      <c r="H389">
        <v>19585</v>
      </c>
      <c r="I389" t="s">
        <v>49</v>
      </c>
      <c r="J389">
        <v>1904</v>
      </c>
      <c r="K389" t="s">
        <v>68</v>
      </c>
      <c r="L389" t="s">
        <v>80</v>
      </c>
      <c r="M389" t="s">
        <v>53</v>
      </c>
      <c r="N389">
        <v>18428</v>
      </c>
      <c r="O389" t="s">
        <v>53</v>
      </c>
      <c r="P389" t="s">
        <v>70</v>
      </c>
      <c r="Q389" t="s">
        <v>71</v>
      </c>
      <c r="R389" t="s">
        <v>56</v>
      </c>
      <c r="S389" t="s">
        <v>57</v>
      </c>
      <c r="T389" t="s">
        <v>58</v>
      </c>
      <c r="U389" t="s">
        <v>119</v>
      </c>
      <c r="V389">
        <v>0.53004499999999999</v>
      </c>
      <c r="W389">
        <v>2023</v>
      </c>
      <c r="X389" t="s">
        <v>176</v>
      </c>
      <c r="Y389" t="s">
        <v>177</v>
      </c>
      <c r="Z389" t="str">
        <f t="shared" si="12"/>
        <v>Mayor que 20 - hasta 30</v>
      </c>
      <c r="AA389">
        <f t="shared" si="13"/>
        <v>0</v>
      </c>
      <c r="AB389">
        <v>19585</v>
      </c>
      <c r="AC389" t="s">
        <v>592</v>
      </c>
      <c r="AD389" t="s">
        <v>612</v>
      </c>
      <c r="AE389">
        <v>0.98264799999999997</v>
      </c>
      <c r="AF389" t="s">
        <v>63</v>
      </c>
      <c r="AG389">
        <v>24.835028999999999</v>
      </c>
      <c r="AH389" t="s">
        <v>592</v>
      </c>
      <c r="AI389" t="s">
        <v>612</v>
      </c>
      <c r="AJ389">
        <v>0.96757099999999996</v>
      </c>
      <c r="AK389" t="s">
        <v>63</v>
      </c>
      <c r="AL389">
        <v>25.269342999999999</v>
      </c>
      <c r="AM389" t="s">
        <v>97</v>
      </c>
      <c r="AN389" s="7">
        <v>3477.0197790639859</v>
      </c>
      <c r="AO389" t="s">
        <v>65</v>
      </c>
      <c r="AP389" s="3">
        <v>374</v>
      </c>
      <c r="AQ389">
        <v>2</v>
      </c>
      <c r="AR389">
        <v>2572.3637389999999</v>
      </c>
      <c r="AS389" t="s">
        <v>66</v>
      </c>
      <c r="AT389" t="s">
        <v>634</v>
      </c>
    </row>
    <row r="390" spans="1:46">
      <c r="A390">
        <v>41</v>
      </c>
      <c r="B390" t="s">
        <v>46</v>
      </c>
      <c r="C390">
        <v>19</v>
      </c>
      <c r="D390">
        <v>622</v>
      </c>
      <c r="E390" t="s">
        <v>650</v>
      </c>
      <c r="F390" t="s">
        <v>611</v>
      </c>
      <c r="G390">
        <v>19622</v>
      </c>
      <c r="H390">
        <v>19622</v>
      </c>
      <c r="I390" t="s">
        <v>49</v>
      </c>
      <c r="J390">
        <v>1901</v>
      </c>
      <c r="K390" t="s">
        <v>409</v>
      </c>
      <c r="L390" t="s">
        <v>91</v>
      </c>
      <c r="M390" t="s">
        <v>53</v>
      </c>
      <c r="N390">
        <v>12142</v>
      </c>
      <c r="O390" t="s">
        <v>53</v>
      </c>
      <c r="P390" t="s">
        <v>70</v>
      </c>
      <c r="Q390" t="s">
        <v>71</v>
      </c>
      <c r="R390" t="s">
        <v>105</v>
      </c>
      <c r="S390" t="s">
        <v>57</v>
      </c>
      <c r="T390" t="s">
        <v>58</v>
      </c>
      <c r="U390" t="s">
        <v>119</v>
      </c>
      <c r="V390">
        <v>0.76043099999999997</v>
      </c>
      <c r="W390">
        <v>2023</v>
      </c>
      <c r="X390" t="s">
        <v>109</v>
      </c>
      <c r="Y390" t="s">
        <v>110</v>
      </c>
      <c r="Z390" t="str">
        <f t="shared" si="12"/>
        <v>Mayor que 30 - hasta 40</v>
      </c>
      <c r="AA390">
        <f t="shared" si="13"/>
        <v>0</v>
      </c>
      <c r="AB390">
        <v>19622</v>
      </c>
      <c r="AC390" t="s">
        <v>592</v>
      </c>
      <c r="AD390" t="s">
        <v>612</v>
      </c>
      <c r="AE390">
        <v>1.204461</v>
      </c>
      <c r="AF390" t="s">
        <v>76</v>
      </c>
      <c r="AG390">
        <v>40.573000999999998</v>
      </c>
      <c r="AH390" t="s">
        <v>592</v>
      </c>
      <c r="AI390" t="s">
        <v>612</v>
      </c>
      <c r="AJ390">
        <v>1.0317769999999999</v>
      </c>
      <c r="AK390" t="s">
        <v>76</v>
      </c>
      <c r="AL390">
        <v>34.023254000000001</v>
      </c>
      <c r="AM390" t="s">
        <v>65</v>
      </c>
      <c r="AN390" s="7">
        <v>501.49611904608702</v>
      </c>
      <c r="AO390" t="s">
        <v>65</v>
      </c>
      <c r="AP390" s="3">
        <v>376</v>
      </c>
      <c r="AQ390">
        <v>2</v>
      </c>
      <c r="AR390">
        <v>509.89934299999999</v>
      </c>
      <c r="AS390" t="s">
        <v>66</v>
      </c>
      <c r="AT390" t="s">
        <v>634</v>
      </c>
    </row>
    <row r="391" spans="1:46">
      <c r="A391">
        <v>42</v>
      </c>
      <c r="B391" t="s">
        <v>46</v>
      </c>
      <c r="C391">
        <v>19</v>
      </c>
      <c r="D391">
        <v>693</v>
      </c>
      <c r="E391" t="s">
        <v>651</v>
      </c>
      <c r="F391" t="s">
        <v>611</v>
      </c>
      <c r="G391">
        <v>19693</v>
      </c>
      <c r="H391">
        <v>19693</v>
      </c>
      <c r="I391" t="s">
        <v>49</v>
      </c>
      <c r="J391">
        <v>1905</v>
      </c>
      <c r="K391" t="s">
        <v>297</v>
      </c>
      <c r="L391" t="s">
        <v>80</v>
      </c>
      <c r="M391" t="s">
        <v>53</v>
      </c>
      <c r="N391">
        <v>11619</v>
      </c>
      <c r="O391" t="s">
        <v>53</v>
      </c>
      <c r="P391" t="s">
        <v>70</v>
      </c>
      <c r="Q391" t="s">
        <v>71</v>
      </c>
      <c r="R391" t="s">
        <v>72</v>
      </c>
      <c r="S391" t="s">
        <v>57</v>
      </c>
      <c r="T391" t="s">
        <v>58</v>
      </c>
      <c r="U391" t="s">
        <v>119</v>
      </c>
      <c r="V391">
        <v>0.87032799999999999</v>
      </c>
      <c r="W391">
        <v>2023</v>
      </c>
      <c r="X391" t="s">
        <v>310</v>
      </c>
      <c r="Y391" t="s">
        <v>311</v>
      </c>
      <c r="Z391" t="str">
        <f t="shared" si="12"/>
        <v>Mayor que 15 - hasta 20</v>
      </c>
      <c r="AA391">
        <f t="shared" si="13"/>
        <v>0</v>
      </c>
      <c r="AB391">
        <v>19693</v>
      </c>
      <c r="AC391" t="s">
        <v>592</v>
      </c>
      <c r="AD391" t="s">
        <v>612</v>
      </c>
      <c r="AE391">
        <v>3.542008</v>
      </c>
      <c r="AF391" t="s">
        <v>84</v>
      </c>
      <c r="AG391">
        <v>115.209459</v>
      </c>
      <c r="AH391" t="s">
        <v>592</v>
      </c>
      <c r="AI391" t="s">
        <v>612</v>
      </c>
      <c r="AJ391">
        <v>3.3693240000000002</v>
      </c>
      <c r="AK391" t="s">
        <v>84</v>
      </c>
      <c r="AL391">
        <v>108.659711</v>
      </c>
      <c r="AM391" t="s">
        <v>97</v>
      </c>
      <c r="AN391" s="7">
        <v>5727.1397680936316</v>
      </c>
      <c r="AO391" t="s">
        <v>65</v>
      </c>
      <c r="AP391" s="3">
        <v>2836</v>
      </c>
      <c r="AQ391">
        <v>4</v>
      </c>
      <c r="AR391">
        <v>9227.7061119999998</v>
      </c>
      <c r="AS391" t="s">
        <v>66</v>
      </c>
      <c r="AT391" t="s">
        <v>299</v>
      </c>
    </row>
    <row r="392" spans="1:46">
      <c r="A392">
        <v>43</v>
      </c>
      <c r="B392" t="s">
        <v>46</v>
      </c>
      <c r="C392">
        <v>19</v>
      </c>
      <c r="D392">
        <v>698</v>
      </c>
      <c r="E392" t="s">
        <v>618</v>
      </c>
      <c r="F392" t="s">
        <v>611</v>
      </c>
      <c r="G392">
        <v>19698</v>
      </c>
      <c r="H392">
        <v>19698</v>
      </c>
      <c r="I392" t="s">
        <v>49</v>
      </c>
      <c r="J392">
        <v>1902</v>
      </c>
      <c r="K392" t="s">
        <v>112</v>
      </c>
      <c r="L392" t="s">
        <v>91</v>
      </c>
      <c r="M392" t="s">
        <v>53</v>
      </c>
      <c r="N392">
        <v>116885</v>
      </c>
      <c r="O392" t="s">
        <v>53</v>
      </c>
      <c r="P392" t="s">
        <v>54</v>
      </c>
      <c r="Q392" t="s">
        <v>118</v>
      </c>
      <c r="R392" t="s">
        <v>72</v>
      </c>
      <c r="S392" t="s">
        <v>615</v>
      </c>
      <c r="T392" t="s">
        <v>73</v>
      </c>
      <c r="U392" t="s">
        <v>119</v>
      </c>
      <c r="V392">
        <v>0.62828099999999998</v>
      </c>
      <c r="W392">
        <v>2023</v>
      </c>
      <c r="X392" t="s">
        <v>144</v>
      </c>
      <c r="Y392" t="s">
        <v>145</v>
      </c>
      <c r="Z392" t="str">
        <f t="shared" si="12"/>
        <v>Mayor que 70 - hasta 80</v>
      </c>
      <c r="AA392">
        <f t="shared" si="13"/>
        <v>0</v>
      </c>
      <c r="AB392">
        <v>19698</v>
      </c>
      <c r="AC392" t="s">
        <v>592</v>
      </c>
      <c r="AD392" t="s">
        <v>618</v>
      </c>
      <c r="AE392">
        <v>0</v>
      </c>
      <c r="AF392" t="s">
        <v>63</v>
      </c>
      <c r="AG392">
        <v>0</v>
      </c>
      <c r="AH392" t="s">
        <v>619</v>
      </c>
      <c r="AI392" t="s">
        <v>620</v>
      </c>
      <c r="AJ392">
        <v>1.2154879999999999</v>
      </c>
      <c r="AK392" t="s">
        <v>76</v>
      </c>
      <c r="AL392">
        <v>51.974725999999997</v>
      </c>
      <c r="AM392" t="s">
        <v>65</v>
      </c>
      <c r="AN392" s="7">
        <v>4120.2446686913981</v>
      </c>
      <c r="AO392" t="s">
        <v>65</v>
      </c>
      <c r="AP392" s="3">
        <v>3988</v>
      </c>
      <c r="AQ392">
        <v>3</v>
      </c>
      <c r="AR392">
        <v>3025.1257489999998</v>
      </c>
      <c r="AS392" t="s">
        <v>66</v>
      </c>
      <c r="AT392" t="s">
        <v>299</v>
      </c>
    </row>
    <row r="393" spans="1:46">
      <c r="A393">
        <v>44</v>
      </c>
      <c r="B393" t="s">
        <v>46</v>
      </c>
      <c r="C393">
        <v>19</v>
      </c>
      <c r="D393">
        <v>701</v>
      </c>
      <c r="E393" t="s">
        <v>398</v>
      </c>
      <c r="F393" t="s">
        <v>611</v>
      </c>
      <c r="G393">
        <v>19701</v>
      </c>
      <c r="H393">
        <v>19701</v>
      </c>
      <c r="I393" t="s">
        <v>49</v>
      </c>
      <c r="J393">
        <v>1905</v>
      </c>
      <c r="K393" t="s">
        <v>297</v>
      </c>
      <c r="L393" t="s">
        <v>80</v>
      </c>
      <c r="M393" t="s">
        <v>53</v>
      </c>
      <c r="N393">
        <v>5639</v>
      </c>
      <c r="O393" t="s">
        <v>53</v>
      </c>
      <c r="P393" t="s">
        <v>70</v>
      </c>
      <c r="Q393" t="s">
        <v>71</v>
      </c>
      <c r="R393" t="s">
        <v>72</v>
      </c>
      <c r="S393" t="s">
        <v>57</v>
      </c>
      <c r="T393" t="s">
        <v>73</v>
      </c>
      <c r="U393" t="s">
        <v>101</v>
      </c>
      <c r="V393">
        <v>0.64670399999999995</v>
      </c>
      <c r="W393">
        <v>2023</v>
      </c>
      <c r="X393" t="s">
        <v>339</v>
      </c>
      <c r="Y393" t="s">
        <v>340</v>
      </c>
      <c r="Z393" t="str">
        <f t="shared" si="12"/>
        <v>Mayor que 10 - hasta 15</v>
      </c>
      <c r="AA393">
        <f t="shared" si="13"/>
        <v>0</v>
      </c>
      <c r="AB393">
        <v>19701</v>
      </c>
      <c r="AC393" t="s">
        <v>592</v>
      </c>
      <c r="AD393" t="s">
        <v>612</v>
      </c>
      <c r="AE393">
        <v>4.8867260000000003</v>
      </c>
      <c r="AF393" t="s">
        <v>85</v>
      </c>
      <c r="AG393">
        <v>155.264084</v>
      </c>
      <c r="AH393" t="s">
        <v>592</v>
      </c>
      <c r="AI393" t="s">
        <v>612</v>
      </c>
      <c r="AJ393">
        <v>4.7140420000000001</v>
      </c>
      <c r="AK393" t="s">
        <v>85</v>
      </c>
      <c r="AL393">
        <v>148.714336</v>
      </c>
      <c r="AM393" t="s">
        <v>97</v>
      </c>
      <c r="AN393" s="7">
        <v>83.096769350780733</v>
      </c>
      <c r="AO393" t="s">
        <v>64</v>
      </c>
      <c r="AP393" s="3">
        <v>3</v>
      </c>
      <c r="AQ393">
        <v>4</v>
      </c>
      <c r="AR393">
        <v>8889.7947199999999</v>
      </c>
      <c r="AS393" t="s">
        <v>66</v>
      </c>
      <c r="AT393" t="s">
        <v>299</v>
      </c>
    </row>
    <row r="394" spans="1:46">
      <c r="A394">
        <v>45</v>
      </c>
      <c r="B394" t="s">
        <v>46</v>
      </c>
      <c r="C394">
        <v>19</v>
      </c>
      <c r="D394">
        <v>743</v>
      </c>
      <c r="E394" t="s">
        <v>652</v>
      </c>
      <c r="F394" t="s">
        <v>611</v>
      </c>
      <c r="G394">
        <v>19743</v>
      </c>
      <c r="H394">
        <v>19743</v>
      </c>
      <c r="I394" t="s">
        <v>49</v>
      </c>
      <c r="J394">
        <v>1904</v>
      </c>
      <c r="K394" t="s">
        <v>68</v>
      </c>
      <c r="L394" t="s">
        <v>69</v>
      </c>
      <c r="M394" t="s">
        <v>53</v>
      </c>
      <c r="N394">
        <v>39977</v>
      </c>
      <c r="O394" t="s">
        <v>53</v>
      </c>
      <c r="P394" t="s">
        <v>92</v>
      </c>
      <c r="Q394" t="s">
        <v>71</v>
      </c>
      <c r="R394" t="s">
        <v>122</v>
      </c>
      <c r="S394" t="s">
        <v>57</v>
      </c>
      <c r="T394" t="s">
        <v>58</v>
      </c>
      <c r="U394" t="s">
        <v>59</v>
      </c>
      <c r="V394">
        <v>0.43335800000000002</v>
      </c>
      <c r="W394">
        <v>2023</v>
      </c>
      <c r="X394" t="s">
        <v>176</v>
      </c>
      <c r="Y394" t="s">
        <v>177</v>
      </c>
      <c r="Z394" t="str">
        <f t="shared" si="12"/>
        <v>Mayor que 20 - hasta 30</v>
      </c>
      <c r="AA394">
        <f t="shared" si="13"/>
        <v>0</v>
      </c>
      <c r="AB394">
        <v>19743</v>
      </c>
      <c r="AC394" t="s">
        <v>592</v>
      </c>
      <c r="AD394" t="s">
        <v>612</v>
      </c>
      <c r="AE394">
        <v>1.031245</v>
      </c>
      <c r="AF394" t="s">
        <v>76</v>
      </c>
      <c r="AG394">
        <v>32.629140999999997</v>
      </c>
      <c r="AH394" t="s">
        <v>592</v>
      </c>
      <c r="AI394" t="s">
        <v>612</v>
      </c>
      <c r="AJ394">
        <v>1.1657580000000001</v>
      </c>
      <c r="AK394" t="s">
        <v>76</v>
      </c>
      <c r="AL394">
        <v>38.778888999999999</v>
      </c>
      <c r="AM394" t="s">
        <v>65</v>
      </c>
      <c r="AN394" s="7">
        <v>1459.1386872201481</v>
      </c>
      <c r="AO394" t="s">
        <v>65</v>
      </c>
      <c r="AP394" s="3">
        <v>348</v>
      </c>
      <c r="AQ394">
        <v>3</v>
      </c>
      <c r="AR394">
        <v>1680.122926</v>
      </c>
      <c r="AS394" t="s">
        <v>66</v>
      </c>
      <c r="AT394" t="s">
        <v>634</v>
      </c>
    </row>
    <row r="395" spans="1:46">
      <c r="A395">
        <v>46</v>
      </c>
      <c r="B395" t="s">
        <v>46</v>
      </c>
      <c r="C395">
        <v>19</v>
      </c>
      <c r="D395">
        <v>760</v>
      </c>
      <c r="E395" t="s">
        <v>653</v>
      </c>
      <c r="F395" t="s">
        <v>611</v>
      </c>
      <c r="G395">
        <v>19760</v>
      </c>
      <c r="H395">
        <v>19760</v>
      </c>
      <c r="I395" t="s">
        <v>49</v>
      </c>
      <c r="J395">
        <v>1901</v>
      </c>
      <c r="K395" t="s">
        <v>409</v>
      </c>
      <c r="L395" t="s">
        <v>80</v>
      </c>
      <c r="M395" t="s">
        <v>53</v>
      </c>
      <c r="N395">
        <v>14856</v>
      </c>
      <c r="O395" t="s">
        <v>53</v>
      </c>
      <c r="P395" t="s">
        <v>70</v>
      </c>
      <c r="Q395" t="s">
        <v>71</v>
      </c>
      <c r="R395" t="s">
        <v>72</v>
      </c>
      <c r="S395" t="s">
        <v>57</v>
      </c>
      <c r="T395" t="s">
        <v>58</v>
      </c>
      <c r="U395" t="s">
        <v>119</v>
      </c>
      <c r="V395">
        <v>0.60833000000000004</v>
      </c>
      <c r="W395">
        <v>2023</v>
      </c>
      <c r="X395" t="s">
        <v>141</v>
      </c>
      <c r="Y395" t="s">
        <v>142</v>
      </c>
      <c r="Z395" t="str">
        <f t="shared" si="12"/>
        <v>Mayor que 60 - hasta 70</v>
      </c>
      <c r="AA395">
        <f t="shared" si="13"/>
        <v>0</v>
      </c>
      <c r="AB395">
        <v>19760</v>
      </c>
      <c r="AC395" t="s">
        <v>592</v>
      </c>
      <c r="AD395" t="s">
        <v>612</v>
      </c>
      <c r="AE395">
        <v>0.98146</v>
      </c>
      <c r="AF395" t="s">
        <v>63</v>
      </c>
      <c r="AG395">
        <v>31.380613</v>
      </c>
      <c r="AH395" t="s">
        <v>592</v>
      </c>
      <c r="AI395" t="s">
        <v>612</v>
      </c>
      <c r="AJ395">
        <v>0.80877600000000005</v>
      </c>
      <c r="AK395" t="s">
        <v>63</v>
      </c>
      <c r="AL395">
        <v>24.830866</v>
      </c>
      <c r="AM395" t="s">
        <v>64</v>
      </c>
      <c r="AN395" s="7">
        <v>1174.494652072925</v>
      </c>
      <c r="AO395" t="s">
        <v>65</v>
      </c>
      <c r="AP395" s="3">
        <v>482</v>
      </c>
      <c r="AQ395">
        <v>3</v>
      </c>
      <c r="AR395">
        <v>1754.6951730000001</v>
      </c>
      <c r="AS395" t="s">
        <v>66</v>
      </c>
      <c r="AT395" t="s">
        <v>634</v>
      </c>
    </row>
    <row r="396" spans="1:46">
      <c r="A396">
        <v>47</v>
      </c>
      <c r="B396" t="s">
        <v>46</v>
      </c>
      <c r="C396">
        <v>19</v>
      </c>
      <c r="D396">
        <v>780</v>
      </c>
      <c r="E396" t="s">
        <v>654</v>
      </c>
      <c r="F396" t="s">
        <v>611</v>
      </c>
      <c r="G396">
        <v>19780</v>
      </c>
      <c r="H396">
        <v>19780</v>
      </c>
      <c r="I396" t="s">
        <v>49</v>
      </c>
      <c r="J396">
        <v>1902</v>
      </c>
      <c r="K396" t="s">
        <v>112</v>
      </c>
      <c r="L396" t="s">
        <v>69</v>
      </c>
      <c r="M396" t="s">
        <v>53</v>
      </c>
      <c r="N396">
        <v>33762</v>
      </c>
      <c r="O396" t="s">
        <v>53</v>
      </c>
      <c r="P396" t="s">
        <v>92</v>
      </c>
      <c r="Q396" t="s">
        <v>71</v>
      </c>
      <c r="R396" t="s">
        <v>72</v>
      </c>
      <c r="S396" t="s">
        <v>615</v>
      </c>
      <c r="T396" t="s">
        <v>73</v>
      </c>
      <c r="U396" t="s">
        <v>115</v>
      </c>
      <c r="V396">
        <v>0.78517199999999998</v>
      </c>
      <c r="W396">
        <v>2023</v>
      </c>
      <c r="X396" t="s">
        <v>141</v>
      </c>
      <c r="Y396" t="s">
        <v>142</v>
      </c>
      <c r="Z396" t="str">
        <f t="shared" si="12"/>
        <v>Mayor que 60 - hasta 70</v>
      </c>
      <c r="AA396">
        <f t="shared" si="13"/>
        <v>0</v>
      </c>
      <c r="AB396">
        <v>19780</v>
      </c>
      <c r="AC396" t="s">
        <v>592</v>
      </c>
      <c r="AD396" t="s">
        <v>618</v>
      </c>
      <c r="AE396">
        <v>1.2821009999999999</v>
      </c>
      <c r="AF396" t="s">
        <v>76</v>
      </c>
      <c r="AG396">
        <v>38.717365999999998</v>
      </c>
      <c r="AH396" t="s">
        <v>619</v>
      </c>
      <c r="AI396" t="s">
        <v>620</v>
      </c>
      <c r="AJ396">
        <v>2.2764139999999999</v>
      </c>
      <c r="AK396" t="s">
        <v>77</v>
      </c>
      <c r="AL396">
        <v>74.523967999999996</v>
      </c>
      <c r="AM396" t="s">
        <v>64</v>
      </c>
      <c r="AN396" s="7">
        <v>258.72273787604792</v>
      </c>
      <c r="AO396" t="s">
        <v>65</v>
      </c>
      <c r="AP396" s="3">
        <v>161</v>
      </c>
      <c r="AQ396">
        <v>1</v>
      </c>
      <c r="AR396">
        <v>487.23605800000001</v>
      </c>
      <c r="AS396" t="s">
        <v>66</v>
      </c>
      <c r="AT396" t="s">
        <v>634</v>
      </c>
    </row>
    <row r="397" spans="1:46">
      <c r="A397">
        <v>48</v>
      </c>
      <c r="B397" t="s">
        <v>46</v>
      </c>
      <c r="C397">
        <v>19</v>
      </c>
      <c r="D397">
        <v>785</v>
      </c>
      <c r="E397" t="s">
        <v>655</v>
      </c>
      <c r="F397" t="s">
        <v>611</v>
      </c>
      <c r="G397">
        <v>19785</v>
      </c>
      <c r="H397">
        <v>19785</v>
      </c>
      <c r="I397" t="s">
        <v>49</v>
      </c>
      <c r="J397">
        <v>1905</v>
      </c>
      <c r="K397" t="s">
        <v>297</v>
      </c>
      <c r="L397" t="s">
        <v>69</v>
      </c>
      <c r="M397" t="s">
        <v>53</v>
      </c>
      <c r="N397">
        <v>9936</v>
      </c>
      <c r="O397" t="s">
        <v>53</v>
      </c>
      <c r="P397" t="s">
        <v>70</v>
      </c>
      <c r="Q397" t="s">
        <v>71</v>
      </c>
      <c r="R397" t="s">
        <v>72</v>
      </c>
      <c r="S397" t="s">
        <v>57</v>
      </c>
      <c r="T397" t="s">
        <v>58</v>
      </c>
      <c r="U397" t="s">
        <v>119</v>
      </c>
      <c r="V397">
        <v>0.91579600000000005</v>
      </c>
      <c r="W397">
        <v>2023</v>
      </c>
      <c r="X397" t="s">
        <v>176</v>
      </c>
      <c r="Y397" t="s">
        <v>177</v>
      </c>
      <c r="Z397" t="str">
        <f t="shared" si="12"/>
        <v>Mayor que 20 - hasta 30</v>
      </c>
      <c r="AA397">
        <f t="shared" si="13"/>
        <v>0</v>
      </c>
      <c r="AB397">
        <v>19785</v>
      </c>
      <c r="AC397" t="s">
        <v>592</v>
      </c>
      <c r="AD397" t="s">
        <v>612</v>
      </c>
      <c r="AE397">
        <v>2.9291269999999998</v>
      </c>
      <c r="AF397" t="s">
        <v>77</v>
      </c>
      <c r="AG397">
        <v>89.350166000000002</v>
      </c>
      <c r="AH397" t="s">
        <v>592</v>
      </c>
      <c r="AI397" t="s">
        <v>612</v>
      </c>
      <c r="AJ397">
        <v>2.756443</v>
      </c>
      <c r="AK397" t="s">
        <v>77</v>
      </c>
      <c r="AL397">
        <v>82.800417999999993</v>
      </c>
      <c r="AM397" t="s">
        <v>65</v>
      </c>
      <c r="AN397" s="7">
        <v>469.49693011212668</v>
      </c>
      <c r="AO397" t="s">
        <v>65</v>
      </c>
      <c r="AP397" s="3">
        <v>176</v>
      </c>
      <c r="AQ397">
        <v>2</v>
      </c>
      <c r="AR397">
        <v>683.02612999999997</v>
      </c>
      <c r="AS397" t="s">
        <v>66</v>
      </c>
      <c r="AT397" t="s">
        <v>634</v>
      </c>
    </row>
    <row r="398" spans="1:46">
      <c r="A398">
        <v>49</v>
      </c>
      <c r="B398" t="s">
        <v>46</v>
      </c>
      <c r="C398">
        <v>19</v>
      </c>
      <c r="D398">
        <v>807</v>
      </c>
      <c r="E398" t="s">
        <v>656</v>
      </c>
      <c r="F398" t="s">
        <v>611</v>
      </c>
      <c r="G398">
        <v>19807</v>
      </c>
      <c r="H398">
        <v>19807</v>
      </c>
      <c r="I398" t="s">
        <v>49</v>
      </c>
      <c r="J398">
        <v>1901</v>
      </c>
      <c r="K398" t="s">
        <v>409</v>
      </c>
      <c r="L398" t="s">
        <v>91</v>
      </c>
      <c r="M398" t="s">
        <v>53</v>
      </c>
      <c r="N398">
        <v>37682</v>
      </c>
      <c r="O398" t="s">
        <v>53</v>
      </c>
      <c r="P398" t="s">
        <v>92</v>
      </c>
      <c r="Q398" t="s">
        <v>71</v>
      </c>
      <c r="R398" t="s">
        <v>56</v>
      </c>
      <c r="S398" t="s">
        <v>57</v>
      </c>
      <c r="T398" t="s">
        <v>58</v>
      </c>
      <c r="U398" t="s">
        <v>119</v>
      </c>
      <c r="V398">
        <v>0.584592</v>
      </c>
      <c r="W398">
        <v>2023</v>
      </c>
      <c r="X398" t="s">
        <v>109</v>
      </c>
      <c r="Y398" t="s">
        <v>110</v>
      </c>
      <c r="Z398" t="str">
        <f t="shared" si="12"/>
        <v>Mayor que 30 - hasta 40</v>
      </c>
      <c r="AA398">
        <f t="shared" si="13"/>
        <v>0</v>
      </c>
      <c r="AB398">
        <v>19807</v>
      </c>
      <c r="AC398" t="s">
        <v>592</v>
      </c>
      <c r="AD398" t="s">
        <v>612</v>
      </c>
      <c r="AE398">
        <v>0.58688799999999997</v>
      </c>
      <c r="AF398" t="s">
        <v>63</v>
      </c>
      <c r="AG398">
        <v>22.342136</v>
      </c>
      <c r="AH398" t="s">
        <v>592</v>
      </c>
      <c r="AI398" t="s">
        <v>612</v>
      </c>
      <c r="AJ398">
        <v>0.41420400000000002</v>
      </c>
      <c r="AK398" t="s">
        <v>63</v>
      </c>
      <c r="AL398">
        <v>15.792388000000001</v>
      </c>
      <c r="AM398" t="s">
        <v>65</v>
      </c>
      <c r="AN398" s="7">
        <v>6964.0468514423292</v>
      </c>
      <c r="AO398" t="s">
        <v>65</v>
      </c>
      <c r="AP398" s="3">
        <v>4766</v>
      </c>
      <c r="AQ398">
        <v>2</v>
      </c>
      <c r="AR398">
        <v>7216.7359470000001</v>
      </c>
      <c r="AS398" t="s">
        <v>66</v>
      </c>
      <c r="AT398" t="s">
        <v>299</v>
      </c>
    </row>
    <row r="399" spans="1:46">
      <c r="A399">
        <v>55</v>
      </c>
      <c r="B399" t="s">
        <v>46</v>
      </c>
      <c r="C399">
        <v>19</v>
      </c>
      <c r="D399">
        <v>809</v>
      </c>
      <c r="E399" t="s">
        <v>657</v>
      </c>
      <c r="F399" t="s">
        <v>611</v>
      </c>
      <c r="G399">
        <v>19809</v>
      </c>
      <c r="H399">
        <v>19809</v>
      </c>
      <c r="I399" t="s">
        <v>49</v>
      </c>
      <c r="J399">
        <v>1903</v>
      </c>
      <c r="K399" t="s">
        <v>79</v>
      </c>
      <c r="L399" t="s">
        <v>80</v>
      </c>
      <c r="M399" t="s">
        <v>53</v>
      </c>
      <c r="N399">
        <v>27822</v>
      </c>
      <c r="O399" t="s">
        <v>53</v>
      </c>
      <c r="P399" t="s">
        <v>70</v>
      </c>
      <c r="Q399" t="s">
        <v>71</v>
      </c>
      <c r="R399" t="s">
        <v>56</v>
      </c>
      <c r="S399" t="s">
        <v>630</v>
      </c>
      <c r="T399" t="s">
        <v>73</v>
      </c>
      <c r="U399" t="s">
        <v>101</v>
      </c>
      <c r="V399">
        <v>0.37142900000000001</v>
      </c>
      <c r="W399">
        <v>2023</v>
      </c>
      <c r="X399" t="s">
        <v>310</v>
      </c>
      <c r="Y399" t="s">
        <v>311</v>
      </c>
      <c r="Z399" t="str">
        <f t="shared" si="12"/>
        <v>Mayor que 15 - hasta 20</v>
      </c>
      <c r="AA399">
        <f t="shared" si="13"/>
        <v>0</v>
      </c>
      <c r="AB399" t="e">
        <v>#N/A</v>
      </c>
      <c r="AC399" t="e">
        <v>#N/A</v>
      </c>
      <c r="AD399" t="e">
        <v>#N/A</v>
      </c>
      <c r="AE399">
        <v>0</v>
      </c>
      <c r="AF399" t="s">
        <v>211</v>
      </c>
      <c r="AG399">
        <v>0</v>
      </c>
      <c r="AH399" t="e">
        <v>#N/A</v>
      </c>
      <c r="AI399" t="e">
        <v>#N/A</v>
      </c>
      <c r="AJ399">
        <v>0</v>
      </c>
      <c r="AK399" t="s">
        <v>211</v>
      </c>
      <c r="AL399">
        <v>0</v>
      </c>
      <c r="AM399" s="9" t="s">
        <v>97</v>
      </c>
      <c r="AN399" s="10">
        <v>2857.2066658526742</v>
      </c>
      <c r="AO399" s="9" t="s">
        <v>65</v>
      </c>
      <c r="AP399" s="8">
        <v>127</v>
      </c>
      <c r="AQ399">
        <v>4</v>
      </c>
      <c r="AR399">
        <v>1509.1910640000001</v>
      </c>
      <c r="AS399" t="s">
        <v>66</v>
      </c>
      <c r="AT399" t="s">
        <v>299</v>
      </c>
    </row>
    <row r="400" spans="1:46">
      <c r="A400">
        <v>50</v>
      </c>
      <c r="B400" t="s">
        <v>46</v>
      </c>
      <c r="C400">
        <v>19</v>
      </c>
      <c r="D400">
        <v>821</v>
      </c>
      <c r="E400" t="s">
        <v>658</v>
      </c>
      <c r="F400" t="s">
        <v>611</v>
      </c>
      <c r="G400">
        <v>19821</v>
      </c>
      <c r="H400">
        <v>19821</v>
      </c>
      <c r="I400" t="s">
        <v>49</v>
      </c>
      <c r="J400">
        <v>1904</v>
      </c>
      <c r="K400" t="s">
        <v>68</v>
      </c>
      <c r="L400" t="s">
        <v>69</v>
      </c>
      <c r="M400" t="s">
        <v>53</v>
      </c>
      <c r="N400">
        <v>37166</v>
      </c>
      <c r="O400" t="s">
        <v>53</v>
      </c>
      <c r="P400" t="s">
        <v>92</v>
      </c>
      <c r="Q400" t="s">
        <v>71</v>
      </c>
      <c r="R400" t="s">
        <v>93</v>
      </c>
      <c r="S400" t="s">
        <v>615</v>
      </c>
      <c r="T400" t="s">
        <v>73</v>
      </c>
      <c r="U400" t="s">
        <v>115</v>
      </c>
      <c r="V400">
        <v>0.497942</v>
      </c>
      <c r="W400">
        <v>2023</v>
      </c>
      <c r="X400" t="s">
        <v>176</v>
      </c>
      <c r="Y400" t="s">
        <v>177</v>
      </c>
      <c r="Z400" t="str">
        <f t="shared" si="12"/>
        <v>Mayor que 20 - hasta 30</v>
      </c>
      <c r="AA400">
        <f t="shared" si="13"/>
        <v>0</v>
      </c>
      <c r="AB400">
        <v>19821</v>
      </c>
      <c r="AC400" t="s">
        <v>592</v>
      </c>
      <c r="AD400" t="s">
        <v>618</v>
      </c>
      <c r="AE400">
        <v>1.2500629999999999</v>
      </c>
      <c r="AF400" t="s">
        <v>76</v>
      </c>
      <c r="AG400">
        <v>39.254624999999997</v>
      </c>
      <c r="AH400" t="s">
        <v>619</v>
      </c>
      <c r="AI400" t="s">
        <v>620</v>
      </c>
      <c r="AJ400">
        <v>2.1497039999999998</v>
      </c>
      <c r="AK400" t="s">
        <v>77</v>
      </c>
      <c r="AL400">
        <v>76.863664999999997</v>
      </c>
      <c r="AM400" t="s">
        <v>97</v>
      </c>
      <c r="AN400" s="7">
        <v>13620.06358064187</v>
      </c>
      <c r="AO400" t="s">
        <v>65</v>
      </c>
      <c r="AP400" s="3">
        <v>69</v>
      </c>
      <c r="AQ400">
        <v>2</v>
      </c>
      <c r="AR400">
        <v>5162.8504709999997</v>
      </c>
      <c r="AS400" t="s">
        <v>66</v>
      </c>
      <c r="AT400" t="s">
        <v>659</v>
      </c>
    </row>
    <row r="401" spans="1:46">
      <c r="A401">
        <v>51</v>
      </c>
      <c r="B401" t="s">
        <v>46</v>
      </c>
      <c r="C401">
        <v>19</v>
      </c>
      <c r="D401">
        <v>824</v>
      </c>
      <c r="E401" t="s">
        <v>660</v>
      </c>
      <c r="F401" t="s">
        <v>611</v>
      </c>
      <c r="G401">
        <v>19824</v>
      </c>
      <c r="H401">
        <v>19824</v>
      </c>
      <c r="I401" t="s">
        <v>49</v>
      </c>
      <c r="J401">
        <v>1904</v>
      </c>
      <c r="K401" t="s">
        <v>68</v>
      </c>
      <c r="L401" t="s">
        <v>69</v>
      </c>
      <c r="M401" t="s">
        <v>53</v>
      </c>
      <c r="N401">
        <v>26336</v>
      </c>
      <c r="O401" t="s">
        <v>53</v>
      </c>
      <c r="P401" t="s">
        <v>70</v>
      </c>
      <c r="Q401" t="s">
        <v>71</v>
      </c>
      <c r="R401" t="s">
        <v>93</v>
      </c>
      <c r="S401" t="s">
        <v>57</v>
      </c>
      <c r="T401" t="s">
        <v>58</v>
      </c>
      <c r="U401" t="s">
        <v>119</v>
      </c>
      <c r="V401">
        <v>0.32284400000000002</v>
      </c>
      <c r="W401">
        <v>2023</v>
      </c>
      <c r="X401" t="s">
        <v>217</v>
      </c>
      <c r="Y401" t="s">
        <v>218</v>
      </c>
      <c r="Z401" t="str">
        <f t="shared" si="12"/>
        <v>Mayor que 40 - hasta 50</v>
      </c>
      <c r="AA401">
        <f t="shared" si="13"/>
        <v>0</v>
      </c>
      <c r="AB401">
        <v>19824</v>
      </c>
      <c r="AC401" t="s">
        <v>592</v>
      </c>
      <c r="AD401" t="s">
        <v>612</v>
      </c>
      <c r="AE401">
        <v>0.69819699999999996</v>
      </c>
      <c r="AF401" t="s">
        <v>63</v>
      </c>
      <c r="AG401">
        <v>25.086500999999998</v>
      </c>
      <c r="AH401" t="s">
        <v>592</v>
      </c>
      <c r="AI401" t="s">
        <v>612</v>
      </c>
      <c r="AJ401">
        <v>0.83270900000000003</v>
      </c>
      <c r="AK401" t="s">
        <v>63</v>
      </c>
      <c r="AL401">
        <v>31.236248</v>
      </c>
      <c r="AM401" t="s">
        <v>65</v>
      </c>
      <c r="AN401" s="7">
        <v>1070.6934863478559</v>
      </c>
      <c r="AO401" t="s">
        <v>65</v>
      </c>
      <c r="AP401" s="3">
        <v>440</v>
      </c>
      <c r="AQ401">
        <v>3</v>
      </c>
      <c r="AR401">
        <v>2066.2084479999999</v>
      </c>
      <c r="AS401" t="s">
        <v>66</v>
      </c>
      <c r="AT401" t="s">
        <v>661</v>
      </c>
    </row>
    <row r="402" spans="1:46">
      <c r="A402">
        <v>56</v>
      </c>
      <c r="B402" t="s">
        <v>46</v>
      </c>
      <c r="C402">
        <v>19</v>
      </c>
      <c r="D402">
        <v>845</v>
      </c>
      <c r="E402" t="s">
        <v>662</v>
      </c>
      <c r="F402" t="s">
        <v>611</v>
      </c>
      <c r="G402">
        <v>19845</v>
      </c>
      <c r="H402">
        <v>19845</v>
      </c>
      <c r="I402" t="s">
        <v>49</v>
      </c>
      <c r="J402">
        <v>1902</v>
      </c>
      <c r="K402" t="s">
        <v>112</v>
      </c>
      <c r="L402" t="s">
        <v>51</v>
      </c>
      <c r="M402" t="s">
        <v>53</v>
      </c>
      <c r="N402">
        <v>21935</v>
      </c>
      <c r="O402" t="s">
        <v>53</v>
      </c>
      <c r="P402" t="s">
        <v>70</v>
      </c>
      <c r="Q402" t="s">
        <v>71</v>
      </c>
      <c r="R402" t="s">
        <v>56</v>
      </c>
      <c r="S402" t="s">
        <v>57</v>
      </c>
      <c r="T402" t="s">
        <v>58</v>
      </c>
      <c r="U402" t="s">
        <v>59</v>
      </c>
      <c r="V402">
        <v>0.72995200000000005</v>
      </c>
      <c r="W402">
        <v>2023</v>
      </c>
      <c r="X402" t="s">
        <v>190</v>
      </c>
      <c r="Y402" t="s">
        <v>191</v>
      </c>
      <c r="Z402" t="str">
        <f t="shared" si="12"/>
        <v>Mayor que 100 - hasta 120</v>
      </c>
      <c r="AA402">
        <f t="shared" si="13"/>
        <v>0</v>
      </c>
      <c r="AB402">
        <v>19845</v>
      </c>
      <c r="AC402" t="s">
        <v>592</v>
      </c>
      <c r="AD402" t="s">
        <v>642</v>
      </c>
      <c r="AE402">
        <v>0.29238700000000001</v>
      </c>
      <c r="AF402" t="s">
        <v>63</v>
      </c>
      <c r="AG402">
        <v>8.3982759999999992</v>
      </c>
      <c r="AH402" t="s">
        <v>619</v>
      </c>
      <c r="AI402" t="s">
        <v>620</v>
      </c>
      <c r="AJ402">
        <v>0.82526500000000003</v>
      </c>
      <c r="AK402" t="s">
        <v>63</v>
      </c>
      <c r="AL402">
        <v>34.432085000000001</v>
      </c>
      <c r="AM402" t="s">
        <v>97</v>
      </c>
      <c r="AN402" s="7">
        <v>2627.7308993256138</v>
      </c>
      <c r="AO402" t="s">
        <v>65</v>
      </c>
      <c r="AP402" s="3">
        <v>753</v>
      </c>
      <c r="AQ402">
        <v>4</v>
      </c>
      <c r="AR402">
        <v>3880.9907880000001</v>
      </c>
      <c r="AS402" t="s">
        <v>66</v>
      </c>
      <c r="AT402" t="s">
        <v>663</v>
      </c>
    </row>
    <row r="403" spans="1:46">
      <c r="A403">
        <v>546</v>
      </c>
      <c r="B403" t="s">
        <v>46</v>
      </c>
      <c r="C403">
        <v>20</v>
      </c>
      <c r="D403">
        <v>1</v>
      </c>
      <c r="E403" t="s">
        <v>376</v>
      </c>
      <c r="F403" t="s">
        <v>664</v>
      </c>
      <c r="G403">
        <v>20001</v>
      </c>
      <c r="H403">
        <v>20001</v>
      </c>
      <c r="I403" t="s">
        <v>288</v>
      </c>
      <c r="J403">
        <v>2003</v>
      </c>
      <c r="K403" t="s">
        <v>112</v>
      </c>
      <c r="L403" t="s">
        <v>51</v>
      </c>
      <c r="M403" t="s">
        <v>52</v>
      </c>
      <c r="N403">
        <v>558938</v>
      </c>
      <c r="O403" t="s">
        <v>53</v>
      </c>
      <c r="P403" t="s">
        <v>54</v>
      </c>
      <c r="Q403" t="s">
        <v>138</v>
      </c>
      <c r="R403" t="s">
        <v>56</v>
      </c>
      <c r="S403" t="s">
        <v>665</v>
      </c>
      <c r="T403" t="s">
        <v>58</v>
      </c>
      <c r="U403" t="s">
        <v>119</v>
      </c>
      <c r="V403">
        <v>0.41017500000000001</v>
      </c>
      <c r="W403">
        <v>2023</v>
      </c>
      <c r="X403" t="s">
        <v>147</v>
      </c>
      <c r="Y403" t="s">
        <v>148</v>
      </c>
      <c r="Z403" t="str">
        <f t="shared" si="12"/>
        <v>Mayor que 50 - hasta 60</v>
      </c>
      <c r="AA403">
        <f t="shared" si="13"/>
        <v>0</v>
      </c>
      <c r="AB403">
        <v>20001</v>
      </c>
      <c r="AC403" t="s">
        <v>352</v>
      </c>
      <c r="AD403" t="s">
        <v>376</v>
      </c>
      <c r="AE403">
        <v>0</v>
      </c>
      <c r="AF403" t="s">
        <v>63</v>
      </c>
      <c r="AG403">
        <v>0</v>
      </c>
      <c r="AH403" t="s">
        <v>352</v>
      </c>
      <c r="AI403" t="s">
        <v>376</v>
      </c>
      <c r="AJ403">
        <v>0</v>
      </c>
      <c r="AK403" t="s">
        <v>63</v>
      </c>
      <c r="AL403">
        <v>0</v>
      </c>
      <c r="AM403" t="s">
        <v>64</v>
      </c>
      <c r="AN403" s="7">
        <v>20265.83600079047</v>
      </c>
      <c r="AO403" t="s">
        <v>65</v>
      </c>
      <c r="AP403" s="3">
        <v>781</v>
      </c>
      <c r="AQ403">
        <v>1</v>
      </c>
      <c r="AR403">
        <v>26933.755811999999</v>
      </c>
      <c r="AS403" t="s">
        <v>66</v>
      </c>
      <c r="AT403" t="s">
        <v>137</v>
      </c>
    </row>
    <row r="404" spans="1:46">
      <c r="A404">
        <v>552</v>
      </c>
      <c r="B404" t="s">
        <v>46</v>
      </c>
      <c r="C404">
        <v>20</v>
      </c>
      <c r="D404">
        <v>11</v>
      </c>
      <c r="E404" t="s">
        <v>353</v>
      </c>
      <c r="F404" t="s">
        <v>664</v>
      </c>
      <c r="G404">
        <v>20011</v>
      </c>
      <c r="H404">
        <v>20011</v>
      </c>
      <c r="I404" t="s">
        <v>288</v>
      </c>
      <c r="J404">
        <v>2004</v>
      </c>
      <c r="K404" t="s">
        <v>297</v>
      </c>
      <c r="L404" t="s">
        <v>91</v>
      </c>
      <c r="M404" t="s">
        <v>53</v>
      </c>
      <c r="N404">
        <v>126377</v>
      </c>
      <c r="O404" t="s">
        <v>53</v>
      </c>
      <c r="P404" t="s">
        <v>54</v>
      </c>
      <c r="Q404" t="s">
        <v>134</v>
      </c>
      <c r="R404" t="s">
        <v>72</v>
      </c>
      <c r="S404" t="s">
        <v>57</v>
      </c>
      <c r="T404" t="s">
        <v>73</v>
      </c>
      <c r="U404" t="s">
        <v>119</v>
      </c>
      <c r="V404">
        <v>0.75681399999999999</v>
      </c>
      <c r="W404">
        <v>2023</v>
      </c>
      <c r="X404" t="s">
        <v>176</v>
      </c>
      <c r="Y404" t="s">
        <v>177</v>
      </c>
      <c r="Z404" t="str">
        <f t="shared" si="12"/>
        <v>Mayor que 20 - hasta 30</v>
      </c>
      <c r="AA404">
        <f t="shared" si="13"/>
        <v>0</v>
      </c>
      <c r="AB404">
        <v>20011</v>
      </c>
      <c r="AC404" t="s">
        <v>352</v>
      </c>
      <c r="AD404" t="s">
        <v>353</v>
      </c>
      <c r="AE404">
        <v>0</v>
      </c>
      <c r="AF404" t="s">
        <v>63</v>
      </c>
      <c r="AG404">
        <v>0</v>
      </c>
      <c r="AH404" t="s">
        <v>282</v>
      </c>
      <c r="AI404" t="s">
        <v>284</v>
      </c>
      <c r="AJ404">
        <v>4.0537840000000003</v>
      </c>
      <c r="AK404" t="s">
        <v>85</v>
      </c>
      <c r="AL404">
        <v>168.93860000000001</v>
      </c>
      <c r="AM404" t="s">
        <v>64</v>
      </c>
      <c r="AN404" s="7">
        <v>8439.1005760717326</v>
      </c>
      <c r="AO404" t="s">
        <v>65</v>
      </c>
      <c r="AP404" s="3">
        <v>753</v>
      </c>
      <c r="AQ404">
        <v>3</v>
      </c>
      <c r="AR404">
        <v>6122.7743</v>
      </c>
      <c r="AS404" t="s">
        <v>66</v>
      </c>
      <c r="AT404" t="s">
        <v>666</v>
      </c>
    </row>
    <row r="405" spans="1:46">
      <c r="A405">
        <v>547</v>
      </c>
      <c r="B405" t="s">
        <v>46</v>
      </c>
      <c r="C405">
        <v>20</v>
      </c>
      <c r="D405">
        <v>13</v>
      </c>
      <c r="E405" t="s">
        <v>667</v>
      </c>
      <c r="F405" t="s">
        <v>664</v>
      </c>
      <c r="G405">
        <v>20013</v>
      </c>
      <c r="H405">
        <v>20013</v>
      </c>
      <c r="I405" t="s">
        <v>288</v>
      </c>
      <c r="J405">
        <v>2003</v>
      </c>
      <c r="K405" t="s">
        <v>112</v>
      </c>
      <c r="L405" t="s">
        <v>91</v>
      </c>
      <c r="M405" t="s">
        <v>53</v>
      </c>
      <c r="N405">
        <v>69759</v>
      </c>
      <c r="O405" t="s">
        <v>53</v>
      </c>
      <c r="P405" t="s">
        <v>92</v>
      </c>
      <c r="Q405" t="s">
        <v>71</v>
      </c>
      <c r="R405" t="s">
        <v>122</v>
      </c>
      <c r="S405" t="s">
        <v>665</v>
      </c>
      <c r="T405" t="s">
        <v>73</v>
      </c>
      <c r="U405" t="s">
        <v>119</v>
      </c>
      <c r="V405">
        <v>0.57599100000000003</v>
      </c>
      <c r="W405">
        <v>2023</v>
      </c>
      <c r="X405" t="s">
        <v>176</v>
      </c>
      <c r="Y405" t="s">
        <v>177</v>
      </c>
      <c r="Z405" t="str">
        <f t="shared" si="12"/>
        <v>Mayor que 20 - hasta 30</v>
      </c>
      <c r="AA405">
        <f t="shared" si="13"/>
        <v>0</v>
      </c>
      <c r="AB405">
        <v>20013</v>
      </c>
      <c r="AC405" t="s">
        <v>352</v>
      </c>
      <c r="AD405" t="s">
        <v>668</v>
      </c>
      <c r="AE405">
        <v>0</v>
      </c>
      <c r="AF405" t="s">
        <v>63</v>
      </c>
      <c r="AG405">
        <v>0</v>
      </c>
      <c r="AH405" t="s">
        <v>352</v>
      </c>
      <c r="AI405" t="s">
        <v>376</v>
      </c>
      <c r="AJ405">
        <v>1.2896270000000001</v>
      </c>
      <c r="AK405" t="s">
        <v>76</v>
      </c>
      <c r="AL405">
        <v>64.124472999999995</v>
      </c>
      <c r="AM405" t="s">
        <v>97</v>
      </c>
      <c r="AN405" s="7">
        <v>22710.216042983899</v>
      </c>
      <c r="AO405" t="s">
        <v>64</v>
      </c>
      <c r="AP405" s="3">
        <v>163</v>
      </c>
      <c r="AQ405">
        <v>1</v>
      </c>
      <c r="AR405">
        <v>29168.336764</v>
      </c>
      <c r="AS405" t="s">
        <v>66</v>
      </c>
      <c r="AT405" t="s">
        <v>137</v>
      </c>
    </row>
    <row r="406" spans="1:46">
      <c r="A406">
        <v>528</v>
      </c>
      <c r="B406" t="s">
        <v>46</v>
      </c>
      <c r="C406">
        <v>20</v>
      </c>
      <c r="D406">
        <v>32</v>
      </c>
      <c r="E406" t="s">
        <v>669</v>
      </c>
      <c r="F406" t="s">
        <v>664</v>
      </c>
      <c r="G406">
        <v>20032</v>
      </c>
      <c r="H406">
        <v>20032</v>
      </c>
      <c r="I406" t="s">
        <v>288</v>
      </c>
      <c r="J406">
        <v>2002</v>
      </c>
      <c r="K406" t="s">
        <v>670</v>
      </c>
      <c r="L406" t="s">
        <v>69</v>
      </c>
      <c r="M406" t="s">
        <v>53</v>
      </c>
      <c r="N406">
        <v>22921</v>
      </c>
      <c r="O406" t="s">
        <v>53</v>
      </c>
      <c r="P406" t="s">
        <v>70</v>
      </c>
      <c r="Q406" t="s">
        <v>71</v>
      </c>
      <c r="R406" t="s">
        <v>72</v>
      </c>
      <c r="S406" t="s">
        <v>57</v>
      </c>
      <c r="T406" t="s">
        <v>58</v>
      </c>
      <c r="U406" t="s">
        <v>59</v>
      </c>
      <c r="V406">
        <v>0.42046299999999998</v>
      </c>
      <c r="W406">
        <v>2023</v>
      </c>
      <c r="X406" t="s">
        <v>310</v>
      </c>
      <c r="Y406" t="s">
        <v>311</v>
      </c>
      <c r="Z406" t="str">
        <f t="shared" si="12"/>
        <v>Mayor que 15 - hasta 20</v>
      </c>
      <c r="AA406">
        <f t="shared" si="13"/>
        <v>0</v>
      </c>
      <c r="AB406">
        <v>20032</v>
      </c>
      <c r="AC406" t="s">
        <v>352</v>
      </c>
      <c r="AD406" t="s">
        <v>671</v>
      </c>
      <c r="AE406">
        <v>1.5956109999999999</v>
      </c>
      <c r="AF406" t="s">
        <v>76</v>
      </c>
      <c r="AG406">
        <v>78.830065000000005</v>
      </c>
      <c r="AH406" t="s">
        <v>352</v>
      </c>
      <c r="AI406" t="s">
        <v>376</v>
      </c>
      <c r="AJ406">
        <v>3.351804</v>
      </c>
      <c r="AK406" t="s">
        <v>84</v>
      </c>
      <c r="AL406">
        <v>176.09688299999999</v>
      </c>
      <c r="AM406" t="s">
        <v>64</v>
      </c>
      <c r="AN406" s="7">
        <v>9706.9974100734707</v>
      </c>
      <c r="AO406" t="s">
        <v>64</v>
      </c>
      <c r="AP406" s="3">
        <v>242</v>
      </c>
      <c r="AQ406">
        <v>2</v>
      </c>
      <c r="AR406">
        <v>9458.2365900000004</v>
      </c>
      <c r="AS406" t="s">
        <v>66</v>
      </c>
      <c r="AT406" t="s">
        <v>137</v>
      </c>
    </row>
    <row r="407" spans="1:46">
      <c r="A407">
        <v>548</v>
      </c>
      <c r="B407" t="s">
        <v>46</v>
      </c>
      <c r="C407">
        <v>20</v>
      </c>
      <c r="D407">
        <v>45</v>
      </c>
      <c r="E407" t="s">
        <v>672</v>
      </c>
      <c r="F407" t="s">
        <v>664</v>
      </c>
      <c r="G407">
        <v>20045</v>
      </c>
      <c r="H407">
        <v>20045</v>
      </c>
      <c r="I407" t="s">
        <v>288</v>
      </c>
      <c r="J407">
        <v>2001</v>
      </c>
      <c r="K407" t="s">
        <v>673</v>
      </c>
      <c r="L407" t="s">
        <v>69</v>
      </c>
      <c r="M407" t="s">
        <v>53</v>
      </c>
      <c r="N407">
        <v>24797</v>
      </c>
      <c r="O407" t="s">
        <v>53</v>
      </c>
      <c r="P407" t="s">
        <v>70</v>
      </c>
      <c r="Q407" t="s">
        <v>71</v>
      </c>
      <c r="R407" t="s">
        <v>122</v>
      </c>
      <c r="S407" t="s">
        <v>665</v>
      </c>
      <c r="T407" t="s">
        <v>73</v>
      </c>
      <c r="U407" t="s">
        <v>119</v>
      </c>
      <c r="V407">
        <v>0.61038199999999998</v>
      </c>
      <c r="W407">
        <v>2023</v>
      </c>
      <c r="X407" t="s">
        <v>176</v>
      </c>
      <c r="Y407" t="s">
        <v>177</v>
      </c>
      <c r="Z407" t="str">
        <f t="shared" si="12"/>
        <v>Mayor que 20 - hasta 30</v>
      </c>
      <c r="AA407">
        <f t="shared" si="13"/>
        <v>0</v>
      </c>
      <c r="AB407">
        <v>20045</v>
      </c>
      <c r="AC407" t="s">
        <v>352</v>
      </c>
      <c r="AD407" t="s">
        <v>674</v>
      </c>
      <c r="AE407">
        <v>0.49467</v>
      </c>
      <c r="AF407" t="s">
        <v>63</v>
      </c>
      <c r="AG407">
        <v>18.885280999999999</v>
      </c>
      <c r="AH407" t="s">
        <v>352</v>
      </c>
      <c r="AI407" t="s">
        <v>376</v>
      </c>
      <c r="AJ407">
        <v>1.9402349999999999</v>
      </c>
      <c r="AK407" t="s">
        <v>76</v>
      </c>
      <c r="AL407">
        <v>103.512698</v>
      </c>
      <c r="AM407" t="s">
        <v>97</v>
      </c>
      <c r="AN407" s="7">
        <v>15184.17095277742</v>
      </c>
      <c r="AO407" t="s">
        <v>64</v>
      </c>
      <c r="AP407" s="3">
        <v>114</v>
      </c>
      <c r="AQ407">
        <v>1</v>
      </c>
      <c r="AR407">
        <v>8153.2077490000001</v>
      </c>
      <c r="AS407" t="s">
        <v>66</v>
      </c>
      <c r="AT407" t="s">
        <v>137</v>
      </c>
    </row>
    <row r="408" spans="1:46">
      <c r="A408">
        <v>529</v>
      </c>
      <c r="B408" t="s">
        <v>46</v>
      </c>
      <c r="C408">
        <v>20</v>
      </c>
      <c r="D408">
        <v>60</v>
      </c>
      <c r="E408" t="s">
        <v>671</v>
      </c>
      <c r="F408" t="s">
        <v>664</v>
      </c>
      <c r="G408">
        <v>20060</v>
      </c>
      <c r="H408">
        <v>20060</v>
      </c>
      <c r="I408" t="s">
        <v>288</v>
      </c>
      <c r="J408">
        <v>2002</v>
      </c>
      <c r="K408" t="s">
        <v>670</v>
      </c>
      <c r="L408" t="s">
        <v>91</v>
      </c>
      <c r="M408" t="s">
        <v>53</v>
      </c>
      <c r="N408">
        <v>46093</v>
      </c>
      <c r="O408" t="s">
        <v>53</v>
      </c>
      <c r="P408" t="s">
        <v>92</v>
      </c>
      <c r="Q408" t="s">
        <v>71</v>
      </c>
      <c r="R408" t="s">
        <v>93</v>
      </c>
      <c r="S408" t="s">
        <v>57</v>
      </c>
      <c r="T408" t="s">
        <v>73</v>
      </c>
      <c r="U408" t="s">
        <v>59</v>
      </c>
      <c r="V408">
        <v>0.57381599999999999</v>
      </c>
      <c r="W408">
        <v>2023</v>
      </c>
      <c r="X408" t="s">
        <v>310</v>
      </c>
      <c r="Y408" t="s">
        <v>311</v>
      </c>
      <c r="Z408" t="str">
        <f t="shared" si="12"/>
        <v>Mayor que 15 - hasta 20</v>
      </c>
      <c r="AA408">
        <f t="shared" si="13"/>
        <v>0</v>
      </c>
      <c r="AB408">
        <v>20060</v>
      </c>
      <c r="AC408" t="s">
        <v>352</v>
      </c>
      <c r="AD408" t="s">
        <v>671</v>
      </c>
      <c r="AE408">
        <v>0</v>
      </c>
      <c r="AF408" t="s">
        <v>63</v>
      </c>
      <c r="AG408">
        <v>0</v>
      </c>
      <c r="AH408" t="s">
        <v>352</v>
      </c>
      <c r="AI408" t="s">
        <v>376</v>
      </c>
      <c r="AJ408">
        <v>1.7697229999999999</v>
      </c>
      <c r="AK408" t="s">
        <v>76</v>
      </c>
      <c r="AL408">
        <v>98.032504000000003</v>
      </c>
      <c r="AM408" t="s">
        <v>97</v>
      </c>
      <c r="AN408" s="7">
        <v>19883.573454946039</v>
      </c>
      <c r="AO408" t="s">
        <v>64</v>
      </c>
      <c r="AP408" s="3">
        <v>143</v>
      </c>
      <c r="AQ408">
        <v>2</v>
      </c>
      <c r="AR408">
        <v>23594.250725999998</v>
      </c>
      <c r="AS408" t="s">
        <v>66</v>
      </c>
      <c r="AT408" t="s">
        <v>137</v>
      </c>
    </row>
    <row r="409" spans="1:46">
      <c r="A409">
        <v>530</v>
      </c>
      <c r="B409" t="s">
        <v>46</v>
      </c>
      <c r="C409">
        <v>20</v>
      </c>
      <c r="D409">
        <v>175</v>
      </c>
      <c r="E409" t="s">
        <v>675</v>
      </c>
      <c r="F409" t="s">
        <v>664</v>
      </c>
      <c r="G409">
        <v>20175</v>
      </c>
      <c r="H409">
        <v>20175</v>
      </c>
      <c r="I409" t="s">
        <v>288</v>
      </c>
      <c r="J409">
        <v>2001</v>
      </c>
      <c r="K409" t="s">
        <v>673</v>
      </c>
      <c r="L409" t="s">
        <v>69</v>
      </c>
      <c r="M409" t="s">
        <v>53</v>
      </c>
      <c r="N409">
        <v>39045</v>
      </c>
      <c r="O409" t="s">
        <v>53</v>
      </c>
      <c r="P409" t="s">
        <v>92</v>
      </c>
      <c r="Q409" t="s">
        <v>71</v>
      </c>
      <c r="R409" t="s">
        <v>93</v>
      </c>
      <c r="S409" t="s">
        <v>57</v>
      </c>
      <c r="T409" t="s">
        <v>58</v>
      </c>
      <c r="U409" t="s">
        <v>59</v>
      </c>
      <c r="V409">
        <v>0.70177500000000004</v>
      </c>
      <c r="W409">
        <v>2023</v>
      </c>
      <c r="X409" t="s">
        <v>339</v>
      </c>
      <c r="Y409" t="s">
        <v>340</v>
      </c>
      <c r="Z409" t="str">
        <f t="shared" si="12"/>
        <v>Mayor que 10 - hasta 15</v>
      </c>
      <c r="AA409">
        <f t="shared" si="13"/>
        <v>0</v>
      </c>
      <c r="AB409">
        <v>20175</v>
      </c>
      <c r="AC409" t="s">
        <v>347</v>
      </c>
      <c r="AD409" t="s">
        <v>348</v>
      </c>
      <c r="AE409">
        <v>0.85101800000000005</v>
      </c>
      <c r="AF409" t="s">
        <v>63</v>
      </c>
      <c r="AG409">
        <v>40.388939000000001</v>
      </c>
      <c r="AH409" t="s">
        <v>352</v>
      </c>
      <c r="AI409" t="s">
        <v>376</v>
      </c>
      <c r="AJ409">
        <v>3.7968449999999998</v>
      </c>
      <c r="AK409" t="s">
        <v>84</v>
      </c>
      <c r="AL409">
        <v>207.39049</v>
      </c>
      <c r="AM409" t="s">
        <v>64</v>
      </c>
      <c r="AN409" s="7">
        <v>34409.860558774293</v>
      </c>
      <c r="AO409" t="s">
        <v>65</v>
      </c>
      <c r="AP409" s="3">
        <v>1195</v>
      </c>
      <c r="AQ409">
        <v>3</v>
      </c>
      <c r="AR409">
        <v>37859.505278999997</v>
      </c>
      <c r="AS409" t="s">
        <v>66</v>
      </c>
      <c r="AT409" t="s">
        <v>137</v>
      </c>
    </row>
    <row r="410" spans="1:46">
      <c r="A410">
        <v>531</v>
      </c>
      <c r="B410" t="s">
        <v>46</v>
      </c>
      <c r="C410">
        <v>20</v>
      </c>
      <c r="D410">
        <v>178</v>
      </c>
      <c r="E410" t="s">
        <v>676</v>
      </c>
      <c r="F410" t="s">
        <v>664</v>
      </c>
      <c r="G410">
        <v>20178</v>
      </c>
      <c r="H410">
        <v>20178</v>
      </c>
      <c r="I410" t="s">
        <v>288</v>
      </c>
      <c r="J410">
        <v>2001</v>
      </c>
      <c r="K410" t="s">
        <v>673</v>
      </c>
      <c r="L410" t="s">
        <v>69</v>
      </c>
      <c r="M410" t="s">
        <v>53</v>
      </c>
      <c r="N410">
        <v>31771</v>
      </c>
      <c r="O410" t="s">
        <v>53</v>
      </c>
      <c r="P410" t="s">
        <v>92</v>
      </c>
      <c r="Q410" t="s">
        <v>71</v>
      </c>
      <c r="R410" t="s">
        <v>122</v>
      </c>
      <c r="S410" t="s">
        <v>57</v>
      </c>
      <c r="T410" t="s">
        <v>73</v>
      </c>
      <c r="U410" t="s">
        <v>59</v>
      </c>
      <c r="V410">
        <v>0.62081600000000003</v>
      </c>
      <c r="W410">
        <v>2023</v>
      </c>
      <c r="X410" t="s">
        <v>310</v>
      </c>
      <c r="Y410" t="s">
        <v>311</v>
      </c>
      <c r="Z410" t="str">
        <f t="shared" si="12"/>
        <v>Mayor que 15 - hasta 20</v>
      </c>
      <c r="AA410">
        <f t="shared" si="13"/>
        <v>0</v>
      </c>
      <c r="AB410">
        <v>20178</v>
      </c>
      <c r="AC410" t="s">
        <v>352</v>
      </c>
      <c r="AD410" t="s">
        <v>677</v>
      </c>
      <c r="AE410">
        <v>0.73615799999999998</v>
      </c>
      <c r="AF410" t="s">
        <v>63</v>
      </c>
      <c r="AG410">
        <v>29.882338000000001</v>
      </c>
      <c r="AH410" t="s">
        <v>352</v>
      </c>
      <c r="AI410" t="s">
        <v>376</v>
      </c>
      <c r="AJ410">
        <v>3.4608270000000001</v>
      </c>
      <c r="AK410" t="s">
        <v>84</v>
      </c>
      <c r="AL410">
        <v>165.01829000000001</v>
      </c>
      <c r="AM410" t="s">
        <v>97</v>
      </c>
      <c r="AN410" s="7">
        <v>29747.929920006591</v>
      </c>
      <c r="AO410" t="s">
        <v>65</v>
      </c>
      <c r="AP410" s="3">
        <v>561</v>
      </c>
      <c r="AQ410">
        <v>2</v>
      </c>
      <c r="AR410">
        <v>21700.312806000002</v>
      </c>
      <c r="AS410" t="s">
        <v>66</v>
      </c>
      <c r="AT410" t="s">
        <v>137</v>
      </c>
    </row>
    <row r="411" spans="1:46">
      <c r="A411">
        <v>532</v>
      </c>
      <c r="B411" t="s">
        <v>46</v>
      </c>
      <c r="C411">
        <v>20</v>
      </c>
      <c r="D411">
        <v>228</v>
      </c>
      <c r="E411" t="s">
        <v>678</v>
      </c>
      <c r="F411" t="s">
        <v>664</v>
      </c>
      <c r="G411">
        <v>20228</v>
      </c>
      <c r="H411">
        <v>20228</v>
      </c>
      <c r="I411" t="s">
        <v>288</v>
      </c>
      <c r="J411">
        <v>2001</v>
      </c>
      <c r="K411" t="s">
        <v>673</v>
      </c>
      <c r="L411" t="s">
        <v>69</v>
      </c>
      <c r="M411" t="s">
        <v>53</v>
      </c>
      <c r="N411">
        <v>42836</v>
      </c>
      <c r="O411" t="s">
        <v>53</v>
      </c>
      <c r="P411" t="s">
        <v>92</v>
      </c>
      <c r="Q411" t="s">
        <v>71</v>
      </c>
      <c r="R411" t="s">
        <v>105</v>
      </c>
      <c r="S411" t="s">
        <v>57</v>
      </c>
      <c r="T411" t="s">
        <v>73</v>
      </c>
      <c r="U411" t="s">
        <v>119</v>
      </c>
      <c r="V411">
        <v>0.53656700000000002</v>
      </c>
      <c r="W411">
        <v>2023</v>
      </c>
      <c r="X411" t="s">
        <v>339</v>
      </c>
      <c r="Y411" t="s">
        <v>340</v>
      </c>
      <c r="Z411" t="str">
        <f t="shared" si="12"/>
        <v>Mayor que 10 - hasta 15</v>
      </c>
      <c r="AA411">
        <f t="shared" si="13"/>
        <v>0</v>
      </c>
      <c r="AB411">
        <v>20228</v>
      </c>
      <c r="AC411" t="s">
        <v>352</v>
      </c>
      <c r="AD411" t="s">
        <v>677</v>
      </c>
      <c r="AE411">
        <v>0</v>
      </c>
      <c r="AF411" t="s">
        <v>63</v>
      </c>
      <c r="AG411">
        <v>0</v>
      </c>
      <c r="AH411" t="s">
        <v>352</v>
      </c>
      <c r="AI411" t="s">
        <v>376</v>
      </c>
      <c r="AJ411">
        <v>3.3647749999999998</v>
      </c>
      <c r="AK411" t="s">
        <v>84</v>
      </c>
      <c r="AL411">
        <v>176.29230200000001</v>
      </c>
      <c r="AM411" t="s">
        <v>64</v>
      </c>
      <c r="AN411" s="7">
        <v>14203.246580921719</v>
      </c>
      <c r="AO411" t="s">
        <v>65</v>
      </c>
      <c r="AP411" s="3">
        <v>973</v>
      </c>
      <c r="AQ411">
        <v>1</v>
      </c>
      <c r="AR411">
        <v>13138.158196</v>
      </c>
      <c r="AS411" t="s">
        <v>66</v>
      </c>
      <c r="AT411" t="s">
        <v>137</v>
      </c>
    </row>
    <row r="412" spans="1:46">
      <c r="A412">
        <v>533</v>
      </c>
      <c r="B412" t="s">
        <v>46</v>
      </c>
      <c r="C412">
        <v>20</v>
      </c>
      <c r="D412">
        <v>238</v>
      </c>
      <c r="E412" t="s">
        <v>679</v>
      </c>
      <c r="F412" t="s">
        <v>664</v>
      </c>
      <c r="G412">
        <v>20238</v>
      </c>
      <c r="H412">
        <v>20238</v>
      </c>
      <c r="I412" t="s">
        <v>288</v>
      </c>
      <c r="J412">
        <v>2002</v>
      </c>
      <c r="K412" t="s">
        <v>670</v>
      </c>
      <c r="L412" t="s">
        <v>69</v>
      </c>
      <c r="M412" t="s">
        <v>53</v>
      </c>
      <c r="N412">
        <v>34418</v>
      </c>
      <c r="O412" t="s">
        <v>53</v>
      </c>
      <c r="P412" t="s">
        <v>92</v>
      </c>
      <c r="Q412" t="s">
        <v>71</v>
      </c>
      <c r="R412" t="s">
        <v>72</v>
      </c>
      <c r="S412" t="s">
        <v>57</v>
      </c>
      <c r="T412" t="s">
        <v>73</v>
      </c>
      <c r="U412" t="s">
        <v>119</v>
      </c>
      <c r="V412">
        <v>0.67945900000000004</v>
      </c>
      <c r="W412">
        <v>2023</v>
      </c>
      <c r="X412" t="s">
        <v>310</v>
      </c>
      <c r="Y412" t="s">
        <v>311</v>
      </c>
      <c r="Z412" t="str">
        <f t="shared" si="12"/>
        <v>Mayor que 15 - hasta 20</v>
      </c>
      <c r="AA412">
        <f t="shared" si="13"/>
        <v>0</v>
      </c>
      <c r="AB412">
        <v>20238</v>
      </c>
      <c r="AC412" t="s">
        <v>352</v>
      </c>
      <c r="AD412" t="s">
        <v>679</v>
      </c>
      <c r="AE412">
        <v>0</v>
      </c>
      <c r="AF412" t="s">
        <v>63</v>
      </c>
      <c r="AG412">
        <v>0</v>
      </c>
      <c r="AH412" t="s">
        <v>352</v>
      </c>
      <c r="AI412" t="s">
        <v>376</v>
      </c>
      <c r="AJ412">
        <v>2.2781259999999999</v>
      </c>
      <c r="AK412" t="s">
        <v>77</v>
      </c>
      <c r="AL412">
        <v>121.28052700000001</v>
      </c>
      <c r="AM412" t="s">
        <v>97</v>
      </c>
      <c r="AN412" s="7">
        <v>14339.024886288669</v>
      </c>
      <c r="AO412" t="s">
        <v>64</v>
      </c>
      <c r="AP412" s="3">
        <v>212</v>
      </c>
      <c r="AQ412">
        <v>1</v>
      </c>
      <c r="AR412">
        <v>14776.569407999999</v>
      </c>
      <c r="AS412" t="s">
        <v>66</v>
      </c>
      <c r="AT412" t="s">
        <v>137</v>
      </c>
    </row>
    <row r="413" spans="1:46">
      <c r="A413">
        <v>534</v>
      </c>
      <c r="B413" t="s">
        <v>46</v>
      </c>
      <c r="C413">
        <v>20</v>
      </c>
      <c r="D413">
        <v>250</v>
      </c>
      <c r="E413" t="s">
        <v>680</v>
      </c>
      <c r="F413" t="s">
        <v>664</v>
      </c>
      <c r="G413">
        <v>20250</v>
      </c>
      <c r="H413">
        <v>20250</v>
      </c>
      <c r="I413" t="s">
        <v>288</v>
      </c>
      <c r="J413">
        <v>2002</v>
      </c>
      <c r="K413" t="s">
        <v>670</v>
      </c>
      <c r="L413" t="s">
        <v>80</v>
      </c>
      <c r="M413" t="s">
        <v>53</v>
      </c>
      <c r="N413">
        <v>42960</v>
      </c>
      <c r="O413" t="s">
        <v>53</v>
      </c>
      <c r="P413" t="s">
        <v>92</v>
      </c>
      <c r="Q413" t="s">
        <v>71</v>
      </c>
      <c r="R413" t="s">
        <v>72</v>
      </c>
      <c r="S413" t="s">
        <v>57</v>
      </c>
      <c r="T413" t="s">
        <v>58</v>
      </c>
      <c r="U413" t="s">
        <v>119</v>
      </c>
      <c r="V413">
        <v>0.72208300000000003</v>
      </c>
      <c r="W413">
        <v>2023</v>
      </c>
      <c r="X413" t="s">
        <v>310</v>
      </c>
      <c r="Y413" t="s">
        <v>311</v>
      </c>
      <c r="Z413" t="str">
        <f t="shared" si="12"/>
        <v>Mayor que 15 - hasta 20</v>
      </c>
      <c r="AA413">
        <f t="shared" si="13"/>
        <v>0</v>
      </c>
      <c r="AB413">
        <v>20250</v>
      </c>
      <c r="AC413" t="s">
        <v>352</v>
      </c>
      <c r="AD413" t="s">
        <v>671</v>
      </c>
      <c r="AE413">
        <v>0.76993400000000001</v>
      </c>
      <c r="AF413" t="s">
        <v>63</v>
      </c>
      <c r="AG413">
        <v>43.385491000000002</v>
      </c>
      <c r="AH413" t="s">
        <v>352</v>
      </c>
      <c r="AI413" t="s">
        <v>376</v>
      </c>
      <c r="AJ413">
        <v>2.5261269999999998</v>
      </c>
      <c r="AK413" t="s">
        <v>77</v>
      </c>
      <c r="AL413">
        <v>140.652309</v>
      </c>
      <c r="AM413" t="s">
        <v>97</v>
      </c>
      <c r="AN413" s="7">
        <v>4018.481728696303</v>
      </c>
      <c r="AO413" t="s">
        <v>64</v>
      </c>
      <c r="AP413" s="3">
        <v>117</v>
      </c>
      <c r="AQ413">
        <v>2</v>
      </c>
      <c r="AR413">
        <v>5684.4478669999999</v>
      </c>
      <c r="AS413" t="s">
        <v>66</v>
      </c>
      <c r="AT413" t="s">
        <v>681</v>
      </c>
    </row>
    <row r="414" spans="1:46">
      <c r="A414">
        <v>535</v>
      </c>
      <c r="B414" t="s">
        <v>46</v>
      </c>
      <c r="C414">
        <v>20</v>
      </c>
      <c r="D414">
        <v>295</v>
      </c>
      <c r="E414" t="s">
        <v>682</v>
      </c>
      <c r="F414" t="s">
        <v>664</v>
      </c>
      <c r="G414">
        <v>20295</v>
      </c>
      <c r="H414">
        <v>20295</v>
      </c>
      <c r="I414" t="s">
        <v>288</v>
      </c>
      <c r="J414">
        <v>2004</v>
      </c>
      <c r="K414" t="s">
        <v>297</v>
      </c>
      <c r="L414" t="s">
        <v>69</v>
      </c>
      <c r="M414" t="s">
        <v>53</v>
      </c>
      <c r="N414">
        <v>17143</v>
      </c>
      <c r="O414" t="s">
        <v>53</v>
      </c>
      <c r="P414" t="s">
        <v>70</v>
      </c>
      <c r="Q414" t="s">
        <v>71</v>
      </c>
      <c r="R414" t="s">
        <v>72</v>
      </c>
      <c r="S414" t="s">
        <v>57</v>
      </c>
      <c r="T414" t="s">
        <v>58</v>
      </c>
      <c r="U414" t="s">
        <v>81</v>
      </c>
      <c r="V414">
        <v>0.66524099999999997</v>
      </c>
      <c r="W414">
        <v>2023</v>
      </c>
      <c r="X414" t="s">
        <v>176</v>
      </c>
      <c r="Y414" t="s">
        <v>177</v>
      </c>
      <c r="Z414" t="str">
        <f t="shared" si="12"/>
        <v>Mayor que 20 - hasta 30</v>
      </c>
      <c r="AA414">
        <f t="shared" si="13"/>
        <v>0</v>
      </c>
      <c r="AB414">
        <v>20295</v>
      </c>
      <c r="AC414" t="s">
        <v>352</v>
      </c>
      <c r="AD414" t="s">
        <v>353</v>
      </c>
      <c r="AE414">
        <v>0.73014299999999999</v>
      </c>
      <c r="AF414" t="s">
        <v>63</v>
      </c>
      <c r="AG414">
        <v>17.998276000000001</v>
      </c>
      <c r="AH414" t="s">
        <v>282</v>
      </c>
      <c r="AI414" t="s">
        <v>284</v>
      </c>
      <c r="AJ414">
        <v>4.7633650000000003</v>
      </c>
      <c r="AK414" t="s">
        <v>85</v>
      </c>
      <c r="AL414">
        <v>186.736876</v>
      </c>
      <c r="AM414" t="s">
        <v>64</v>
      </c>
      <c r="AN414" s="7">
        <v>1777.998546551428</v>
      </c>
      <c r="AO414" t="s">
        <v>64</v>
      </c>
      <c r="AP414" s="3">
        <v>38</v>
      </c>
      <c r="AQ414">
        <v>1</v>
      </c>
      <c r="AR414">
        <v>677.788814</v>
      </c>
      <c r="AS414" t="s">
        <v>66</v>
      </c>
      <c r="AT414" t="s">
        <v>683</v>
      </c>
    </row>
    <row r="415" spans="1:46">
      <c r="A415">
        <v>536</v>
      </c>
      <c r="B415" t="s">
        <v>46</v>
      </c>
      <c r="C415">
        <v>20</v>
      </c>
      <c r="D415">
        <v>310</v>
      </c>
      <c r="E415" t="s">
        <v>684</v>
      </c>
      <c r="F415" t="s">
        <v>664</v>
      </c>
      <c r="G415">
        <v>20310</v>
      </c>
      <c r="H415">
        <v>20310</v>
      </c>
      <c r="I415" t="s">
        <v>288</v>
      </c>
      <c r="J415">
        <v>2004</v>
      </c>
      <c r="K415" t="s">
        <v>297</v>
      </c>
      <c r="L415" t="s">
        <v>69</v>
      </c>
      <c r="M415" t="s">
        <v>53</v>
      </c>
      <c r="N415">
        <v>4819</v>
      </c>
      <c r="O415" t="s">
        <v>53</v>
      </c>
      <c r="P415" t="s">
        <v>70</v>
      </c>
      <c r="Q415" t="s">
        <v>71</v>
      </c>
      <c r="R415" t="s">
        <v>105</v>
      </c>
      <c r="S415" t="s">
        <v>57</v>
      </c>
      <c r="T415" t="s">
        <v>58</v>
      </c>
      <c r="U415" t="s">
        <v>59</v>
      </c>
      <c r="V415">
        <v>0.328814</v>
      </c>
      <c r="W415">
        <v>2023</v>
      </c>
      <c r="X415" t="s">
        <v>176</v>
      </c>
      <c r="Y415" t="s">
        <v>177</v>
      </c>
      <c r="Z415" t="str">
        <f t="shared" si="12"/>
        <v>Mayor que 20 - hasta 30</v>
      </c>
      <c r="AA415">
        <f t="shared" si="13"/>
        <v>0</v>
      </c>
      <c r="AB415">
        <v>20310</v>
      </c>
      <c r="AC415" t="s">
        <v>685</v>
      </c>
      <c r="AD415" t="s">
        <v>686</v>
      </c>
      <c r="AE415">
        <v>0.84750000000000003</v>
      </c>
      <c r="AF415" t="s">
        <v>63</v>
      </c>
      <c r="AG415">
        <v>20.230865999999999</v>
      </c>
      <c r="AH415" t="s">
        <v>282</v>
      </c>
      <c r="AI415" t="s">
        <v>284</v>
      </c>
      <c r="AJ415">
        <v>6.0037060000000002</v>
      </c>
      <c r="AK415" t="s">
        <v>354</v>
      </c>
      <c r="AL415">
        <v>216.51576499999999</v>
      </c>
      <c r="AM415" t="s">
        <v>65</v>
      </c>
      <c r="AN415" s="7">
        <v>1658.3746683771631</v>
      </c>
      <c r="AO415" t="s">
        <v>65</v>
      </c>
      <c r="AP415" s="3">
        <v>317</v>
      </c>
      <c r="AQ415">
        <v>4</v>
      </c>
      <c r="AR415">
        <v>3057.761962</v>
      </c>
      <c r="AS415" t="s">
        <v>66</v>
      </c>
      <c r="AT415" t="s">
        <v>681</v>
      </c>
    </row>
    <row r="416" spans="1:46">
      <c r="A416">
        <v>537</v>
      </c>
      <c r="B416" t="s">
        <v>46</v>
      </c>
      <c r="C416">
        <v>20</v>
      </c>
      <c r="D416">
        <v>383</v>
      </c>
      <c r="E416" t="s">
        <v>687</v>
      </c>
      <c r="F416" t="s">
        <v>664</v>
      </c>
      <c r="G416">
        <v>20383</v>
      </c>
      <c r="H416">
        <v>20383</v>
      </c>
      <c r="I416" t="s">
        <v>288</v>
      </c>
      <c r="J416">
        <v>2004</v>
      </c>
      <c r="K416" t="s">
        <v>297</v>
      </c>
      <c r="L416" t="s">
        <v>69</v>
      </c>
      <c r="M416" t="s">
        <v>53</v>
      </c>
      <c r="N416">
        <v>19644</v>
      </c>
      <c r="O416" t="s">
        <v>53</v>
      </c>
      <c r="P416" t="s">
        <v>70</v>
      </c>
      <c r="Q416" t="s">
        <v>71</v>
      </c>
      <c r="R416" t="s">
        <v>72</v>
      </c>
      <c r="S416" t="s">
        <v>57</v>
      </c>
      <c r="T416" t="s">
        <v>73</v>
      </c>
      <c r="U416" t="s">
        <v>119</v>
      </c>
      <c r="V416">
        <v>0.28497699999999998</v>
      </c>
      <c r="W416">
        <v>2023</v>
      </c>
      <c r="X416" t="s">
        <v>176</v>
      </c>
      <c r="Y416" t="s">
        <v>177</v>
      </c>
      <c r="Z416" t="str">
        <f t="shared" si="12"/>
        <v>Mayor que 20 - hasta 30</v>
      </c>
      <c r="AA416">
        <f t="shared" si="13"/>
        <v>0</v>
      </c>
      <c r="AB416">
        <v>20383</v>
      </c>
      <c r="AC416" t="s">
        <v>352</v>
      </c>
      <c r="AD416" t="s">
        <v>353</v>
      </c>
      <c r="AE416">
        <v>1.5907519999999999</v>
      </c>
      <c r="AF416" t="s">
        <v>76</v>
      </c>
      <c r="AG416">
        <v>59.370562999999997</v>
      </c>
      <c r="AH416" t="s">
        <v>282</v>
      </c>
      <c r="AI416" t="s">
        <v>284</v>
      </c>
      <c r="AJ416">
        <v>5.6085450000000003</v>
      </c>
      <c r="AK416" t="s">
        <v>181</v>
      </c>
      <c r="AL416">
        <v>227.767742</v>
      </c>
      <c r="AM416" t="s">
        <v>64</v>
      </c>
      <c r="AN416" s="7">
        <v>9132.2418568323192</v>
      </c>
      <c r="AO416" t="s">
        <v>64</v>
      </c>
      <c r="AP416" s="3">
        <v>244</v>
      </c>
      <c r="AQ416">
        <v>1</v>
      </c>
      <c r="AR416">
        <v>9260.9098389999999</v>
      </c>
      <c r="AS416" t="s">
        <v>66</v>
      </c>
      <c r="AT416" t="s">
        <v>137</v>
      </c>
    </row>
    <row r="417" spans="1:46">
      <c r="A417">
        <v>538</v>
      </c>
      <c r="B417" t="s">
        <v>46</v>
      </c>
      <c r="C417">
        <v>20</v>
      </c>
      <c r="D417">
        <v>400</v>
      </c>
      <c r="E417" t="s">
        <v>674</v>
      </c>
      <c r="F417" t="s">
        <v>664</v>
      </c>
      <c r="G417">
        <v>20400</v>
      </c>
      <c r="H417">
        <v>20400</v>
      </c>
      <c r="I417" t="s">
        <v>288</v>
      </c>
      <c r="J417">
        <v>2001</v>
      </c>
      <c r="K417" t="s">
        <v>673</v>
      </c>
      <c r="L417" t="s">
        <v>69</v>
      </c>
      <c r="M417" t="s">
        <v>53</v>
      </c>
      <c r="N417">
        <v>53557</v>
      </c>
      <c r="O417" t="s">
        <v>53</v>
      </c>
      <c r="P417" t="s">
        <v>92</v>
      </c>
      <c r="Q417" t="s">
        <v>134</v>
      </c>
      <c r="R417" t="s">
        <v>72</v>
      </c>
      <c r="S417" t="s">
        <v>665</v>
      </c>
      <c r="T417" t="s">
        <v>73</v>
      </c>
      <c r="U417" t="s">
        <v>119</v>
      </c>
      <c r="V417">
        <v>0.757911</v>
      </c>
      <c r="W417">
        <v>2023</v>
      </c>
      <c r="X417" t="s">
        <v>176</v>
      </c>
      <c r="Y417" t="s">
        <v>177</v>
      </c>
      <c r="Z417" t="str">
        <f t="shared" si="12"/>
        <v>Mayor que 20 - hasta 30</v>
      </c>
      <c r="AA417">
        <f t="shared" si="13"/>
        <v>0</v>
      </c>
      <c r="AB417">
        <v>20400</v>
      </c>
      <c r="AC417" t="s">
        <v>352</v>
      </c>
      <c r="AD417" t="s">
        <v>674</v>
      </c>
      <c r="AE417">
        <v>0</v>
      </c>
      <c r="AF417" t="s">
        <v>63</v>
      </c>
      <c r="AG417">
        <v>0</v>
      </c>
      <c r="AH417" t="s">
        <v>352</v>
      </c>
      <c r="AI417" t="s">
        <v>376</v>
      </c>
      <c r="AJ417">
        <v>2.3831380000000002</v>
      </c>
      <c r="AK417" t="s">
        <v>77</v>
      </c>
      <c r="AL417">
        <v>121.99798</v>
      </c>
      <c r="AM417" t="s">
        <v>97</v>
      </c>
      <c r="AN417" s="7">
        <v>8966.569129948537</v>
      </c>
      <c r="AO417" t="s">
        <v>64</v>
      </c>
      <c r="AP417" s="3">
        <v>211</v>
      </c>
      <c r="AQ417">
        <v>2</v>
      </c>
      <c r="AR417">
        <v>11687.971724000001</v>
      </c>
      <c r="AS417" t="s">
        <v>66</v>
      </c>
      <c r="AT417" t="s">
        <v>137</v>
      </c>
    </row>
    <row r="418" spans="1:46">
      <c r="A418">
        <v>539</v>
      </c>
      <c r="B418" t="s">
        <v>46</v>
      </c>
      <c r="C418">
        <v>20</v>
      </c>
      <c r="D418">
        <v>443</v>
      </c>
      <c r="E418" t="s">
        <v>688</v>
      </c>
      <c r="F418" t="s">
        <v>664</v>
      </c>
      <c r="G418">
        <v>20443</v>
      </c>
      <c r="H418">
        <v>20443</v>
      </c>
      <c r="I418" t="s">
        <v>288</v>
      </c>
      <c r="J418">
        <v>2003</v>
      </c>
      <c r="K418" t="s">
        <v>112</v>
      </c>
      <c r="L418" t="s">
        <v>91</v>
      </c>
      <c r="M418" t="s">
        <v>53</v>
      </c>
      <c r="N418">
        <v>11577</v>
      </c>
      <c r="O418" t="s">
        <v>53</v>
      </c>
      <c r="P418" t="s">
        <v>70</v>
      </c>
      <c r="Q418" t="s">
        <v>71</v>
      </c>
      <c r="R418" t="s">
        <v>105</v>
      </c>
      <c r="S418" t="s">
        <v>665</v>
      </c>
      <c r="T418" t="s">
        <v>73</v>
      </c>
      <c r="U418" t="s">
        <v>119</v>
      </c>
      <c r="V418">
        <v>0.54224300000000003</v>
      </c>
      <c r="W418">
        <v>2023</v>
      </c>
      <c r="X418" t="s">
        <v>176</v>
      </c>
      <c r="Y418" t="s">
        <v>177</v>
      </c>
      <c r="Z418" t="str">
        <f t="shared" si="12"/>
        <v>Mayor que 20 - hasta 30</v>
      </c>
      <c r="AA418">
        <f t="shared" si="13"/>
        <v>0</v>
      </c>
      <c r="AB418">
        <v>20443</v>
      </c>
      <c r="AC418" t="s">
        <v>689</v>
      </c>
      <c r="AD418" t="s">
        <v>405</v>
      </c>
      <c r="AE418">
        <v>1.0887929999999999</v>
      </c>
      <c r="AF418" t="s">
        <v>76</v>
      </c>
      <c r="AG418">
        <v>42.054625000000001</v>
      </c>
      <c r="AH418" t="s">
        <v>352</v>
      </c>
      <c r="AI418" t="s">
        <v>376</v>
      </c>
      <c r="AJ418">
        <v>1.351</v>
      </c>
      <c r="AK418" t="s">
        <v>76</v>
      </c>
      <c r="AL418">
        <v>39.959293000000002</v>
      </c>
      <c r="AM418" t="s">
        <v>64</v>
      </c>
      <c r="AN418" s="7">
        <v>412.12416763159729</v>
      </c>
      <c r="AO418" t="s">
        <v>65</v>
      </c>
      <c r="AP418" s="3">
        <v>201</v>
      </c>
      <c r="AQ418">
        <v>3</v>
      </c>
      <c r="AR418">
        <v>536.53013699999997</v>
      </c>
      <c r="AS418" t="s">
        <v>66</v>
      </c>
      <c r="AT418" t="s">
        <v>690</v>
      </c>
    </row>
    <row r="419" spans="1:46">
      <c r="A419">
        <v>540</v>
      </c>
      <c r="B419" t="s">
        <v>46</v>
      </c>
      <c r="C419">
        <v>20</v>
      </c>
      <c r="D419">
        <v>517</v>
      </c>
      <c r="E419" t="s">
        <v>691</v>
      </c>
      <c r="F419" t="s">
        <v>664</v>
      </c>
      <c r="G419">
        <v>20517</v>
      </c>
      <c r="H419">
        <v>20517</v>
      </c>
      <c r="I419" t="s">
        <v>288</v>
      </c>
      <c r="J419">
        <v>2001</v>
      </c>
      <c r="K419" t="s">
        <v>673</v>
      </c>
      <c r="L419" t="s">
        <v>69</v>
      </c>
      <c r="M419" t="s">
        <v>53</v>
      </c>
      <c r="N419">
        <v>21284</v>
      </c>
      <c r="O419" t="s">
        <v>53</v>
      </c>
      <c r="P419" t="s">
        <v>70</v>
      </c>
      <c r="Q419" t="s">
        <v>71</v>
      </c>
      <c r="R419" t="s">
        <v>105</v>
      </c>
      <c r="S419" t="s">
        <v>57</v>
      </c>
      <c r="T419" t="s">
        <v>73</v>
      </c>
      <c r="U419" t="s">
        <v>119</v>
      </c>
      <c r="V419">
        <v>0.51877399999999996</v>
      </c>
      <c r="W419">
        <v>2023</v>
      </c>
      <c r="X419" t="s">
        <v>176</v>
      </c>
      <c r="Y419" t="s">
        <v>177</v>
      </c>
      <c r="Z419" t="str">
        <f t="shared" si="12"/>
        <v>Mayor que 20 - hasta 30</v>
      </c>
      <c r="AA419">
        <f t="shared" si="13"/>
        <v>0</v>
      </c>
      <c r="AB419">
        <v>20517</v>
      </c>
      <c r="AC419" t="s">
        <v>352</v>
      </c>
      <c r="AD419" t="s">
        <v>677</v>
      </c>
      <c r="AE419">
        <v>0.7238</v>
      </c>
      <c r="AF419" t="s">
        <v>63</v>
      </c>
      <c r="AG419">
        <v>37.680613000000001</v>
      </c>
      <c r="AH419" t="s">
        <v>352</v>
      </c>
      <c r="AI419" t="s">
        <v>376</v>
      </c>
      <c r="AJ419">
        <v>4.0885759999999998</v>
      </c>
      <c r="AK419" t="s">
        <v>85</v>
      </c>
      <c r="AL419">
        <v>213.972915</v>
      </c>
      <c r="AM419" t="s">
        <v>97</v>
      </c>
      <c r="AN419" s="7">
        <v>1683.0447047572479</v>
      </c>
      <c r="AO419" t="s">
        <v>65</v>
      </c>
      <c r="AP419" s="3">
        <v>56</v>
      </c>
      <c r="AQ419">
        <v>2</v>
      </c>
      <c r="AR419">
        <v>2534.285249</v>
      </c>
      <c r="AS419" t="s">
        <v>66</v>
      </c>
      <c r="AT419" t="s">
        <v>692</v>
      </c>
    </row>
    <row r="420" spans="1:46">
      <c r="A420">
        <v>541</v>
      </c>
      <c r="B420" t="s">
        <v>46</v>
      </c>
      <c r="C420">
        <v>20</v>
      </c>
      <c r="D420">
        <v>550</v>
      </c>
      <c r="E420" t="s">
        <v>693</v>
      </c>
      <c r="F420" t="s">
        <v>664</v>
      </c>
      <c r="G420">
        <v>20550</v>
      </c>
      <c r="H420">
        <v>20550</v>
      </c>
      <c r="I420" t="s">
        <v>288</v>
      </c>
      <c r="J420">
        <v>2004</v>
      </c>
      <c r="K420" t="s">
        <v>297</v>
      </c>
      <c r="L420" t="s">
        <v>69</v>
      </c>
      <c r="M420" t="s">
        <v>53</v>
      </c>
      <c r="N420">
        <v>23779</v>
      </c>
      <c r="O420" t="s">
        <v>53</v>
      </c>
      <c r="P420" t="s">
        <v>70</v>
      </c>
      <c r="Q420" t="s">
        <v>71</v>
      </c>
      <c r="R420" t="s">
        <v>72</v>
      </c>
      <c r="S420" t="s">
        <v>57</v>
      </c>
      <c r="T420" t="s">
        <v>73</v>
      </c>
      <c r="U420" t="s">
        <v>119</v>
      </c>
      <c r="V420">
        <v>0.33197100000000002</v>
      </c>
      <c r="W420">
        <v>2023</v>
      </c>
      <c r="X420" t="s">
        <v>176</v>
      </c>
      <c r="Y420" t="s">
        <v>177</v>
      </c>
      <c r="Z420" t="str">
        <f t="shared" si="12"/>
        <v>Mayor que 20 - hasta 30</v>
      </c>
      <c r="AA420">
        <f t="shared" si="13"/>
        <v>0</v>
      </c>
      <c r="AB420">
        <v>20550</v>
      </c>
      <c r="AC420" t="s">
        <v>352</v>
      </c>
      <c r="AD420" t="s">
        <v>353</v>
      </c>
      <c r="AE420">
        <v>0.87487400000000004</v>
      </c>
      <c r="AF420" t="s">
        <v>63</v>
      </c>
      <c r="AG420">
        <v>46.759293</v>
      </c>
      <c r="AH420" t="s">
        <v>352</v>
      </c>
      <c r="AI420" t="s">
        <v>376</v>
      </c>
      <c r="AJ420">
        <v>4.7253059999999998</v>
      </c>
      <c r="AK420" t="s">
        <v>85</v>
      </c>
      <c r="AL420">
        <v>247.16652199999999</v>
      </c>
      <c r="AM420" t="s">
        <v>64</v>
      </c>
      <c r="AN420" s="7">
        <v>3509.642045855755</v>
      </c>
      <c r="AO420" t="s">
        <v>65</v>
      </c>
      <c r="AP420" s="3">
        <v>174</v>
      </c>
      <c r="AQ420">
        <v>2</v>
      </c>
      <c r="AR420">
        <v>3636.737001</v>
      </c>
      <c r="AS420" t="s">
        <v>66</v>
      </c>
      <c r="AT420" t="s">
        <v>681</v>
      </c>
    </row>
    <row r="421" spans="1:46">
      <c r="A421">
        <v>550</v>
      </c>
      <c r="B421" t="s">
        <v>46</v>
      </c>
      <c r="C421">
        <v>20</v>
      </c>
      <c r="D421">
        <v>570</v>
      </c>
      <c r="E421" t="s">
        <v>694</v>
      </c>
      <c r="F421" t="s">
        <v>664</v>
      </c>
      <c r="G421">
        <v>20570</v>
      </c>
      <c r="H421">
        <v>20570</v>
      </c>
      <c r="I421" t="s">
        <v>288</v>
      </c>
      <c r="J421">
        <v>2003</v>
      </c>
      <c r="K421" t="s">
        <v>112</v>
      </c>
      <c r="L421" t="s">
        <v>80</v>
      </c>
      <c r="M421" t="s">
        <v>53</v>
      </c>
      <c r="N421">
        <v>30844</v>
      </c>
      <c r="O421" t="s">
        <v>53</v>
      </c>
      <c r="P421" t="s">
        <v>92</v>
      </c>
      <c r="Q421" t="s">
        <v>71</v>
      </c>
      <c r="R421" t="s">
        <v>105</v>
      </c>
      <c r="S421" t="s">
        <v>665</v>
      </c>
      <c r="T421" t="s">
        <v>73</v>
      </c>
      <c r="U421" t="s">
        <v>119</v>
      </c>
      <c r="V421">
        <v>0.50708399999999998</v>
      </c>
      <c r="W421">
        <v>2023</v>
      </c>
      <c r="X421" t="s">
        <v>339</v>
      </c>
      <c r="Y421" t="s">
        <v>340</v>
      </c>
      <c r="Z421" t="str">
        <f t="shared" si="12"/>
        <v>Mayor que 10 - hasta 15</v>
      </c>
      <c r="AA421">
        <f t="shared" si="13"/>
        <v>0</v>
      </c>
      <c r="AB421">
        <v>20570</v>
      </c>
      <c r="AC421" t="s">
        <v>352</v>
      </c>
      <c r="AD421" t="s">
        <v>376</v>
      </c>
      <c r="AE421">
        <v>2.5454500000000002</v>
      </c>
      <c r="AF421" t="s">
        <v>77</v>
      </c>
      <c r="AG421">
        <v>53.206811000000002</v>
      </c>
      <c r="AH421" t="s">
        <v>352</v>
      </c>
      <c r="AI421" t="s">
        <v>376</v>
      </c>
      <c r="AJ421">
        <v>2.5050750000000002</v>
      </c>
      <c r="AK421" t="s">
        <v>77</v>
      </c>
      <c r="AL421">
        <v>53.306811000000003</v>
      </c>
      <c r="AM421" t="s">
        <v>64</v>
      </c>
      <c r="AN421" s="7">
        <v>10705.44230052228</v>
      </c>
      <c r="AO421" t="s">
        <v>64</v>
      </c>
      <c r="AP421" s="3">
        <v>231</v>
      </c>
      <c r="AQ421">
        <v>4</v>
      </c>
      <c r="AR421">
        <v>14083.812078999999</v>
      </c>
      <c r="AS421" t="s">
        <v>66</v>
      </c>
      <c r="AT421" t="s">
        <v>137</v>
      </c>
    </row>
    <row r="422" spans="1:46">
      <c r="A422">
        <v>542</v>
      </c>
      <c r="B422" t="s">
        <v>46</v>
      </c>
      <c r="C422">
        <v>20</v>
      </c>
      <c r="D422">
        <v>614</v>
      </c>
      <c r="E422" t="s">
        <v>695</v>
      </c>
      <c r="F422" t="s">
        <v>664</v>
      </c>
      <c r="G422">
        <v>20614</v>
      </c>
      <c r="H422">
        <v>20614</v>
      </c>
      <c r="I422" t="s">
        <v>288</v>
      </c>
      <c r="J422">
        <v>2004</v>
      </c>
      <c r="K422" t="s">
        <v>297</v>
      </c>
      <c r="L422" t="s">
        <v>69</v>
      </c>
      <c r="M422" t="s">
        <v>53</v>
      </c>
      <c r="N422">
        <v>19252</v>
      </c>
      <c r="O422" t="s">
        <v>53</v>
      </c>
      <c r="P422" t="s">
        <v>70</v>
      </c>
      <c r="Q422" t="s">
        <v>71</v>
      </c>
      <c r="R422" t="s">
        <v>105</v>
      </c>
      <c r="S422" t="s">
        <v>57</v>
      </c>
      <c r="T422" t="s">
        <v>58</v>
      </c>
      <c r="U422" t="s">
        <v>59</v>
      </c>
      <c r="V422">
        <v>0.62570999999999999</v>
      </c>
      <c r="W422">
        <v>2023</v>
      </c>
      <c r="X422" t="s">
        <v>176</v>
      </c>
      <c r="Y422" t="s">
        <v>177</v>
      </c>
      <c r="Z422" t="str">
        <f t="shared" si="12"/>
        <v>Mayor que 20 - hasta 30</v>
      </c>
      <c r="AA422">
        <f t="shared" si="13"/>
        <v>0</v>
      </c>
      <c r="AB422">
        <v>20614</v>
      </c>
      <c r="AC422" t="s">
        <v>685</v>
      </c>
      <c r="AD422" t="s">
        <v>686</v>
      </c>
      <c r="AE422">
        <v>0.25075700000000001</v>
      </c>
      <c r="AF422" t="s">
        <v>63</v>
      </c>
      <c r="AG422">
        <v>7.0183770000000001</v>
      </c>
      <c r="AH422" t="s">
        <v>282</v>
      </c>
      <c r="AI422" t="s">
        <v>284</v>
      </c>
      <c r="AJ422">
        <v>5.2870179999999998</v>
      </c>
      <c r="AK422" t="s">
        <v>181</v>
      </c>
      <c r="AL422">
        <v>200.630483</v>
      </c>
      <c r="AM422" t="s">
        <v>64</v>
      </c>
      <c r="AN422" s="7">
        <v>4730.8751331571557</v>
      </c>
      <c r="AO422" t="s">
        <v>65</v>
      </c>
      <c r="AP422" s="3">
        <v>170</v>
      </c>
      <c r="AQ422">
        <v>2</v>
      </c>
      <c r="AR422">
        <v>3918.0505050000002</v>
      </c>
      <c r="AS422" t="s">
        <v>66</v>
      </c>
      <c r="AT422" t="s">
        <v>681</v>
      </c>
    </row>
    <row r="423" spans="1:46">
      <c r="A423">
        <v>549</v>
      </c>
      <c r="B423" t="s">
        <v>46</v>
      </c>
      <c r="C423">
        <v>20</v>
      </c>
      <c r="D423">
        <v>621</v>
      </c>
      <c r="E423" t="s">
        <v>696</v>
      </c>
      <c r="F423" t="s">
        <v>664</v>
      </c>
      <c r="G423">
        <v>20621</v>
      </c>
      <c r="H423">
        <v>20621</v>
      </c>
      <c r="I423" t="s">
        <v>288</v>
      </c>
      <c r="J423">
        <v>2003</v>
      </c>
      <c r="K423" t="s">
        <v>112</v>
      </c>
      <c r="L423" t="s">
        <v>69</v>
      </c>
      <c r="M423" t="s">
        <v>53</v>
      </c>
      <c r="N423">
        <v>31829</v>
      </c>
      <c r="O423" t="s">
        <v>53</v>
      </c>
      <c r="P423" t="s">
        <v>92</v>
      </c>
      <c r="Q423" t="s">
        <v>71</v>
      </c>
      <c r="R423" t="s">
        <v>56</v>
      </c>
      <c r="S423" t="s">
        <v>665</v>
      </c>
      <c r="T423" t="s">
        <v>73</v>
      </c>
      <c r="U423" t="s">
        <v>119</v>
      </c>
      <c r="V423">
        <v>0.67672299999999996</v>
      </c>
      <c r="W423">
        <v>2023</v>
      </c>
      <c r="X423" t="s">
        <v>176</v>
      </c>
      <c r="Y423" t="s">
        <v>177</v>
      </c>
      <c r="Z423" t="str">
        <f t="shared" si="12"/>
        <v>Mayor que 20 - hasta 30</v>
      </c>
      <c r="AA423">
        <f t="shared" si="13"/>
        <v>0</v>
      </c>
      <c r="AB423">
        <v>20621</v>
      </c>
      <c r="AC423" t="s">
        <v>352</v>
      </c>
      <c r="AD423" t="s">
        <v>376</v>
      </c>
      <c r="AE423">
        <v>0.45931899999999998</v>
      </c>
      <c r="AF423" t="s">
        <v>63</v>
      </c>
      <c r="AG423">
        <v>19.142641000000001</v>
      </c>
      <c r="AH423" t="s">
        <v>352</v>
      </c>
      <c r="AI423" t="s">
        <v>376</v>
      </c>
      <c r="AJ423">
        <v>0.40123500000000001</v>
      </c>
      <c r="AK423" t="s">
        <v>63</v>
      </c>
      <c r="AL423">
        <v>18.559798000000001</v>
      </c>
      <c r="AM423" t="s">
        <v>64</v>
      </c>
      <c r="AN423" s="7">
        <v>12003.023849050051</v>
      </c>
      <c r="AO423" t="s">
        <v>65</v>
      </c>
      <c r="AP423" s="3">
        <v>563</v>
      </c>
      <c r="AQ423">
        <v>1</v>
      </c>
      <c r="AR423">
        <v>9845.8473720000002</v>
      </c>
      <c r="AS423" t="s">
        <v>66</v>
      </c>
      <c r="AT423" t="s">
        <v>137</v>
      </c>
    </row>
    <row r="424" spans="1:46">
      <c r="A424">
        <v>543</v>
      </c>
      <c r="B424" t="s">
        <v>46</v>
      </c>
      <c r="C424">
        <v>20</v>
      </c>
      <c r="D424">
        <v>710</v>
      </c>
      <c r="E424" t="s">
        <v>697</v>
      </c>
      <c r="F424" t="s">
        <v>664</v>
      </c>
      <c r="G424">
        <v>20710</v>
      </c>
      <c r="H424">
        <v>20710</v>
      </c>
      <c r="I424" t="s">
        <v>288</v>
      </c>
      <c r="J424">
        <v>2004</v>
      </c>
      <c r="K424" t="s">
        <v>297</v>
      </c>
      <c r="L424" t="s">
        <v>69</v>
      </c>
      <c r="M424" t="s">
        <v>53</v>
      </c>
      <c r="N424">
        <v>30145</v>
      </c>
      <c r="O424" t="s">
        <v>53</v>
      </c>
      <c r="P424" t="s">
        <v>92</v>
      </c>
      <c r="Q424" t="s">
        <v>71</v>
      </c>
      <c r="R424" t="s">
        <v>122</v>
      </c>
      <c r="S424" t="s">
        <v>57</v>
      </c>
      <c r="T424" t="s">
        <v>58</v>
      </c>
      <c r="U424" t="s">
        <v>59</v>
      </c>
      <c r="V424">
        <v>0.25826700000000002</v>
      </c>
      <c r="W424">
        <v>2023</v>
      </c>
      <c r="X424" t="s">
        <v>176</v>
      </c>
      <c r="Y424" t="s">
        <v>177</v>
      </c>
      <c r="Z424" t="str">
        <f t="shared" si="12"/>
        <v>Mayor que 20 - hasta 30</v>
      </c>
      <c r="AA424">
        <f t="shared" si="13"/>
        <v>0</v>
      </c>
      <c r="AB424">
        <v>20710</v>
      </c>
      <c r="AC424" t="s">
        <v>282</v>
      </c>
      <c r="AD424" t="s">
        <v>698</v>
      </c>
      <c r="AE424">
        <v>1.248159</v>
      </c>
      <c r="AF424" t="s">
        <v>76</v>
      </c>
      <c r="AG424">
        <v>61.211478999999997</v>
      </c>
      <c r="AH424" t="s">
        <v>282</v>
      </c>
      <c r="AI424" t="s">
        <v>284</v>
      </c>
      <c r="AJ424">
        <v>2.7878790000000002</v>
      </c>
      <c r="AK424" t="s">
        <v>77</v>
      </c>
      <c r="AL424">
        <v>97.444783000000001</v>
      </c>
      <c r="AM424" t="s">
        <v>64</v>
      </c>
      <c r="AN424" s="7">
        <v>5745.028062579574</v>
      </c>
      <c r="AO424" t="s">
        <v>65</v>
      </c>
      <c r="AP424" s="3">
        <v>300</v>
      </c>
      <c r="AQ424">
        <v>2</v>
      </c>
      <c r="AR424">
        <v>5610.4867960000001</v>
      </c>
      <c r="AS424" t="s">
        <v>66</v>
      </c>
      <c r="AT424" t="s">
        <v>137</v>
      </c>
    </row>
    <row r="425" spans="1:46">
      <c r="A425">
        <v>544</v>
      </c>
      <c r="B425" t="s">
        <v>46</v>
      </c>
      <c r="C425">
        <v>20</v>
      </c>
      <c r="D425">
        <v>750</v>
      </c>
      <c r="E425" t="s">
        <v>699</v>
      </c>
      <c r="F425" t="s">
        <v>664</v>
      </c>
      <c r="G425">
        <v>20750</v>
      </c>
      <c r="H425">
        <v>20750</v>
      </c>
      <c r="I425" t="s">
        <v>288</v>
      </c>
      <c r="J425">
        <v>2003</v>
      </c>
      <c r="K425" t="s">
        <v>112</v>
      </c>
      <c r="L425" t="s">
        <v>69</v>
      </c>
      <c r="M425" t="s">
        <v>53</v>
      </c>
      <c r="N425">
        <v>21730</v>
      </c>
      <c r="O425" t="s">
        <v>53</v>
      </c>
      <c r="P425" t="s">
        <v>70</v>
      </c>
      <c r="Q425" t="s">
        <v>71</v>
      </c>
      <c r="R425" t="s">
        <v>105</v>
      </c>
      <c r="S425" t="s">
        <v>665</v>
      </c>
      <c r="T425" t="s">
        <v>73</v>
      </c>
      <c r="U425" t="s">
        <v>119</v>
      </c>
      <c r="V425">
        <v>0.57955699999999999</v>
      </c>
      <c r="W425">
        <v>2023</v>
      </c>
      <c r="X425" t="s">
        <v>176</v>
      </c>
      <c r="Y425" t="s">
        <v>177</v>
      </c>
      <c r="Z425" t="str">
        <f t="shared" si="12"/>
        <v>Mayor que 20 - hasta 30</v>
      </c>
      <c r="AA425">
        <f t="shared" si="13"/>
        <v>0</v>
      </c>
      <c r="AB425">
        <v>20750</v>
      </c>
      <c r="AC425" t="s">
        <v>352</v>
      </c>
      <c r="AD425" t="s">
        <v>376</v>
      </c>
      <c r="AE425">
        <v>0.56614900000000001</v>
      </c>
      <c r="AF425" t="s">
        <v>63</v>
      </c>
      <c r="AG425">
        <v>25.346803999999999</v>
      </c>
      <c r="AH425" t="s">
        <v>352</v>
      </c>
      <c r="AI425" t="s">
        <v>376</v>
      </c>
      <c r="AJ425">
        <v>0.50806499999999999</v>
      </c>
      <c r="AK425" t="s">
        <v>63</v>
      </c>
      <c r="AL425">
        <v>24.763960999999998</v>
      </c>
      <c r="AM425" t="s">
        <v>64</v>
      </c>
      <c r="AN425" s="7">
        <v>9178.3773741019759</v>
      </c>
      <c r="AO425" t="s">
        <v>65</v>
      </c>
      <c r="AP425" s="3">
        <v>189</v>
      </c>
      <c r="AQ425">
        <v>2</v>
      </c>
      <c r="AR425">
        <v>5933.912249</v>
      </c>
      <c r="AS425" t="s">
        <v>66</v>
      </c>
      <c r="AT425" t="s">
        <v>137</v>
      </c>
    </row>
    <row r="426" spans="1:46">
      <c r="A426">
        <v>551</v>
      </c>
      <c r="B426" t="s">
        <v>46</v>
      </c>
      <c r="C426">
        <v>20</v>
      </c>
      <c r="D426">
        <v>770</v>
      </c>
      <c r="E426" t="s">
        <v>700</v>
      </c>
      <c r="F426" t="s">
        <v>664</v>
      </c>
      <c r="G426">
        <v>20770</v>
      </c>
      <c r="H426">
        <v>20770</v>
      </c>
      <c r="I426" t="s">
        <v>288</v>
      </c>
      <c r="J426">
        <v>2004</v>
      </c>
      <c r="K426" t="s">
        <v>297</v>
      </c>
      <c r="L426" t="s">
        <v>69</v>
      </c>
      <c r="M426" t="s">
        <v>53</v>
      </c>
      <c r="N426">
        <v>30559</v>
      </c>
      <c r="O426" t="s">
        <v>53</v>
      </c>
      <c r="P426" t="s">
        <v>92</v>
      </c>
      <c r="Q426" t="s">
        <v>71</v>
      </c>
      <c r="R426" t="s">
        <v>105</v>
      </c>
      <c r="S426" t="s">
        <v>57</v>
      </c>
      <c r="T426" t="s">
        <v>58</v>
      </c>
      <c r="U426" t="s">
        <v>59</v>
      </c>
      <c r="V426">
        <v>0.49001400000000001</v>
      </c>
      <c r="W426">
        <v>2023</v>
      </c>
      <c r="X426" t="s">
        <v>176</v>
      </c>
      <c r="Y426" t="s">
        <v>177</v>
      </c>
      <c r="Z426" t="str">
        <f t="shared" si="12"/>
        <v>Mayor que 20 - hasta 30</v>
      </c>
      <c r="AA426">
        <f t="shared" si="13"/>
        <v>0</v>
      </c>
      <c r="AB426">
        <v>20770</v>
      </c>
      <c r="AC426" t="s">
        <v>352</v>
      </c>
      <c r="AD426" t="s">
        <v>353</v>
      </c>
      <c r="AE426">
        <v>0.73201000000000005</v>
      </c>
      <c r="AF426" t="s">
        <v>63</v>
      </c>
      <c r="AG426">
        <v>40.167619000000002</v>
      </c>
      <c r="AH426" t="s">
        <v>282</v>
      </c>
      <c r="AI426" t="s">
        <v>284</v>
      </c>
      <c r="AJ426">
        <v>3.3377089999999998</v>
      </c>
      <c r="AK426" t="s">
        <v>84</v>
      </c>
      <c r="AL426">
        <v>128.82955999999999</v>
      </c>
      <c r="AM426" t="s">
        <v>64</v>
      </c>
      <c r="AN426" s="7">
        <v>8374.6788868081039</v>
      </c>
      <c r="AO426" t="s">
        <v>65</v>
      </c>
      <c r="AP426" s="3">
        <v>564</v>
      </c>
      <c r="AQ426">
        <v>2</v>
      </c>
      <c r="AR426">
        <v>8995.804768</v>
      </c>
      <c r="AS426" t="s">
        <v>66</v>
      </c>
      <c r="AT426" t="s">
        <v>137</v>
      </c>
    </row>
    <row r="427" spans="1:46">
      <c r="A427">
        <v>545</v>
      </c>
      <c r="B427" t="s">
        <v>46</v>
      </c>
      <c r="C427">
        <v>20</v>
      </c>
      <c r="D427">
        <v>787</v>
      </c>
      <c r="E427" t="s">
        <v>701</v>
      </c>
      <c r="F427" t="s">
        <v>664</v>
      </c>
      <c r="G427">
        <v>20787</v>
      </c>
      <c r="H427">
        <v>20787</v>
      </c>
      <c r="I427" t="s">
        <v>288</v>
      </c>
      <c r="J427">
        <v>2001</v>
      </c>
      <c r="K427" t="s">
        <v>673</v>
      </c>
      <c r="L427" t="s">
        <v>69</v>
      </c>
      <c r="M427" t="s">
        <v>53</v>
      </c>
      <c r="N427">
        <v>17504</v>
      </c>
      <c r="O427" t="s">
        <v>53</v>
      </c>
      <c r="P427" t="s">
        <v>70</v>
      </c>
      <c r="Q427" t="s">
        <v>71</v>
      </c>
      <c r="R427" t="s">
        <v>105</v>
      </c>
      <c r="S427" t="s">
        <v>57</v>
      </c>
      <c r="T427" t="s">
        <v>58</v>
      </c>
      <c r="U427" t="s">
        <v>59</v>
      </c>
      <c r="V427">
        <v>0.46748499999999998</v>
      </c>
      <c r="W427">
        <v>2023</v>
      </c>
      <c r="X427" t="s">
        <v>176</v>
      </c>
      <c r="Y427" t="s">
        <v>177</v>
      </c>
      <c r="Z427" t="str">
        <f t="shared" si="12"/>
        <v>Mayor que 20 - hasta 30</v>
      </c>
      <c r="AA427">
        <f t="shared" si="13"/>
        <v>0</v>
      </c>
      <c r="AB427">
        <v>20787</v>
      </c>
      <c r="AC427" t="s">
        <v>347</v>
      </c>
      <c r="AD427" t="s">
        <v>348</v>
      </c>
      <c r="AE427">
        <v>0.64178999999999997</v>
      </c>
      <c r="AF427" t="s">
        <v>63</v>
      </c>
      <c r="AG427">
        <v>31.704877</v>
      </c>
      <c r="AH427" t="s">
        <v>352</v>
      </c>
      <c r="AI427" t="s">
        <v>376</v>
      </c>
      <c r="AJ427">
        <v>4.646439</v>
      </c>
      <c r="AK427" t="s">
        <v>85</v>
      </c>
      <c r="AL427">
        <v>241.57535300000001</v>
      </c>
      <c r="AM427" t="s">
        <v>64</v>
      </c>
      <c r="AN427" s="7">
        <v>2460.660836259075</v>
      </c>
      <c r="AO427" t="s">
        <v>65</v>
      </c>
      <c r="AP427" s="3">
        <v>188</v>
      </c>
      <c r="AQ427">
        <v>2</v>
      </c>
      <c r="AR427">
        <v>5605.1290870000003</v>
      </c>
      <c r="AS427" t="s">
        <v>66</v>
      </c>
      <c r="AT427" t="s">
        <v>137</v>
      </c>
    </row>
    <row r="428" spans="1:46">
      <c r="A428">
        <v>435</v>
      </c>
      <c r="B428" t="s">
        <v>46</v>
      </c>
      <c r="C428">
        <v>23</v>
      </c>
      <c r="D428">
        <v>1</v>
      </c>
      <c r="E428" t="s">
        <v>702</v>
      </c>
      <c r="F428" t="s">
        <v>366</v>
      </c>
      <c r="G428">
        <v>23001</v>
      </c>
      <c r="H428">
        <v>23001</v>
      </c>
      <c r="I428" t="s">
        <v>288</v>
      </c>
      <c r="J428">
        <v>2303</v>
      </c>
      <c r="K428" t="s">
        <v>409</v>
      </c>
      <c r="L428" t="s">
        <v>51</v>
      </c>
      <c r="M428" t="s">
        <v>52</v>
      </c>
      <c r="N428">
        <v>523150</v>
      </c>
      <c r="O428" t="s">
        <v>53</v>
      </c>
      <c r="P428" t="s">
        <v>54</v>
      </c>
      <c r="Q428" t="s">
        <v>138</v>
      </c>
      <c r="R428" t="s">
        <v>56</v>
      </c>
      <c r="S428" t="s">
        <v>57</v>
      </c>
      <c r="T428" t="s">
        <v>58</v>
      </c>
      <c r="U428" t="s">
        <v>59</v>
      </c>
      <c r="V428">
        <v>0.33925699999999998</v>
      </c>
      <c r="W428">
        <v>2023</v>
      </c>
      <c r="X428" t="s">
        <v>217</v>
      </c>
      <c r="Y428" t="s">
        <v>74</v>
      </c>
      <c r="Z428" t="str">
        <f t="shared" si="12"/>
        <v>Mayor que 140 - hasta 160</v>
      </c>
      <c r="AA428">
        <f t="shared" si="13"/>
        <v>1</v>
      </c>
      <c r="AB428">
        <v>23001</v>
      </c>
      <c r="AC428" t="s">
        <v>129</v>
      </c>
      <c r="AD428" t="s">
        <v>130</v>
      </c>
      <c r="AE428">
        <v>0</v>
      </c>
      <c r="AF428" t="s">
        <v>63</v>
      </c>
      <c r="AG428">
        <v>0</v>
      </c>
      <c r="AH428" t="s">
        <v>129</v>
      </c>
      <c r="AI428" t="s">
        <v>130</v>
      </c>
      <c r="AJ428">
        <v>0</v>
      </c>
      <c r="AK428" t="s">
        <v>63</v>
      </c>
      <c r="AL428">
        <v>0</v>
      </c>
      <c r="AM428" t="s">
        <v>64</v>
      </c>
      <c r="AN428" s="7">
        <v>29299.911555241881</v>
      </c>
      <c r="AO428" t="s">
        <v>65</v>
      </c>
      <c r="AP428" s="3">
        <v>2426</v>
      </c>
      <c r="AQ428">
        <v>1</v>
      </c>
      <c r="AR428">
        <v>26520.291762000001</v>
      </c>
      <c r="AS428" t="s">
        <v>66</v>
      </c>
      <c r="AT428" t="s">
        <v>137</v>
      </c>
    </row>
    <row r="429" spans="1:46">
      <c r="A429">
        <v>436</v>
      </c>
      <c r="B429" t="s">
        <v>46</v>
      </c>
      <c r="C429">
        <v>23</v>
      </c>
      <c r="D429">
        <v>68</v>
      </c>
      <c r="E429" t="s">
        <v>703</v>
      </c>
      <c r="F429" t="s">
        <v>366</v>
      </c>
      <c r="G429">
        <v>23068</v>
      </c>
      <c r="H429">
        <v>23068</v>
      </c>
      <c r="I429" t="s">
        <v>288</v>
      </c>
      <c r="J429">
        <v>2306</v>
      </c>
      <c r="K429" t="s">
        <v>704</v>
      </c>
      <c r="L429" t="s">
        <v>91</v>
      </c>
      <c r="M429" t="s">
        <v>53</v>
      </c>
      <c r="N429">
        <v>48756</v>
      </c>
      <c r="O429" t="s">
        <v>53</v>
      </c>
      <c r="P429" t="s">
        <v>92</v>
      </c>
      <c r="Q429" t="s">
        <v>71</v>
      </c>
      <c r="R429" t="s">
        <v>93</v>
      </c>
      <c r="S429" t="s">
        <v>57</v>
      </c>
      <c r="T429" t="s">
        <v>58</v>
      </c>
      <c r="U429" t="s">
        <v>59</v>
      </c>
      <c r="V429">
        <v>0.43412800000000001</v>
      </c>
      <c r="W429">
        <v>2023</v>
      </c>
      <c r="X429" t="s">
        <v>339</v>
      </c>
      <c r="Y429" t="s">
        <v>340</v>
      </c>
      <c r="Z429" t="str">
        <f t="shared" si="12"/>
        <v>Mayor que 10 - hasta 15</v>
      </c>
      <c r="AA429">
        <f t="shared" si="13"/>
        <v>0</v>
      </c>
      <c r="AB429">
        <v>23068</v>
      </c>
      <c r="AC429" t="s">
        <v>129</v>
      </c>
      <c r="AD429" t="s">
        <v>703</v>
      </c>
      <c r="AE429">
        <v>0</v>
      </c>
      <c r="AF429" t="s">
        <v>63</v>
      </c>
      <c r="AG429">
        <v>0</v>
      </c>
      <c r="AH429" t="s">
        <v>129</v>
      </c>
      <c r="AI429" t="s">
        <v>130</v>
      </c>
      <c r="AJ429">
        <v>3.2097099999999998</v>
      </c>
      <c r="AK429" t="s">
        <v>84</v>
      </c>
      <c r="AL429">
        <v>147.22459599999999</v>
      </c>
      <c r="AM429" t="s">
        <v>97</v>
      </c>
      <c r="AN429" s="7">
        <v>14267.91929008734</v>
      </c>
      <c r="AO429" t="s">
        <v>65</v>
      </c>
      <c r="AP429" s="3">
        <v>219</v>
      </c>
      <c r="AQ429">
        <v>2</v>
      </c>
      <c r="AR429">
        <v>13914.697931999999</v>
      </c>
      <c r="AS429" t="s">
        <v>66</v>
      </c>
      <c r="AT429" t="s">
        <v>137</v>
      </c>
    </row>
    <row r="430" spans="1:46">
      <c r="A430">
        <v>437</v>
      </c>
      <c r="B430" t="s">
        <v>46</v>
      </c>
      <c r="C430">
        <v>23</v>
      </c>
      <c r="D430">
        <v>79</v>
      </c>
      <c r="E430" t="s">
        <v>429</v>
      </c>
      <c r="F430" t="s">
        <v>366</v>
      </c>
      <c r="G430">
        <v>23079</v>
      </c>
      <c r="H430">
        <v>23079</v>
      </c>
      <c r="I430" t="s">
        <v>288</v>
      </c>
      <c r="J430">
        <v>2306</v>
      </c>
      <c r="K430" t="s">
        <v>704</v>
      </c>
      <c r="L430" t="s">
        <v>69</v>
      </c>
      <c r="M430" t="s">
        <v>53</v>
      </c>
      <c r="N430">
        <v>22596</v>
      </c>
      <c r="O430" t="s">
        <v>53</v>
      </c>
      <c r="P430" t="s">
        <v>70</v>
      </c>
      <c r="Q430" t="s">
        <v>71</v>
      </c>
      <c r="R430" t="s">
        <v>122</v>
      </c>
      <c r="S430" t="s">
        <v>57</v>
      </c>
      <c r="T430" t="s">
        <v>58</v>
      </c>
      <c r="U430" t="s">
        <v>119</v>
      </c>
      <c r="V430">
        <v>0.47483399999999998</v>
      </c>
      <c r="W430">
        <v>2023</v>
      </c>
      <c r="X430" t="s">
        <v>176</v>
      </c>
      <c r="Y430" t="s">
        <v>177</v>
      </c>
      <c r="Z430" t="str">
        <f t="shared" si="12"/>
        <v>Mayor que 20 - hasta 30</v>
      </c>
      <c r="AA430">
        <f t="shared" si="13"/>
        <v>0</v>
      </c>
      <c r="AB430">
        <v>23079</v>
      </c>
      <c r="AC430" t="s">
        <v>129</v>
      </c>
      <c r="AD430" t="s">
        <v>705</v>
      </c>
      <c r="AE430">
        <v>0.46888800000000003</v>
      </c>
      <c r="AF430" t="s">
        <v>63</v>
      </c>
      <c r="AG430">
        <v>25.714928</v>
      </c>
      <c r="AH430" t="s">
        <v>129</v>
      </c>
      <c r="AI430" t="s">
        <v>130</v>
      </c>
      <c r="AJ430">
        <v>1.5195000000000001</v>
      </c>
      <c r="AK430" t="s">
        <v>76</v>
      </c>
      <c r="AL430">
        <v>80.158491999999995</v>
      </c>
      <c r="AM430" t="s">
        <v>64</v>
      </c>
      <c r="AN430" s="7">
        <v>3243.477488574194</v>
      </c>
      <c r="AO430" t="s">
        <v>65</v>
      </c>
      <c r="AP430" s="3">
        <v>132</v>
      </c>
      <c r="AQ430">
        <v>2</v>
      </c>
      <c r="AR430">
        <v>5462.2203209999998</v>
      </c>
      <c r="AS430" t="s">
        <v>66</v>
      </c>
      <c r="AT430" t="s">
        <v>706</v>
      </c>
    </row>
    <row r="431" spans="1:46">
      <c r="A431">
        <v>438</v>
      </c>
      <c r="B431" t="s">
        <v>46</v>
      </c>
      <c r="C431">
        <v>23</v>
      </c>
      <c r="D431">
        <v>90</v>
      </c>
      <c r="E431" t="s">
        <v>707</v>
      </c>
      <c r="F431" t="s">
        <v>366</v>
      </c>
      <c r="G431">
        <v>23090</v>
      </c>
      <c r="H431">
        <v>23090</v>
      </c>
      <c r="I431" t="s">
        <v>288</v>
      </c>
      <c r="J431">
        <v>2304</v>
      </c>
      <c r="K431" t="s">
        <v>708</v>
      </c>
      <c r="L431" t="s">
        <v>69</v>
      </c>
      <c r="M431" t="s">
        <v>53</v>
      </c>
      <c r="N431">
        <v>16404</v>
      </c>
      <c r="O431" t="s">
        <v>53</v>
      </c>
      <c r="P431" t="s">
        <v>70</v>
      </c>
      <c r="Q431" t="s">
        <v>71</v>
      </c>
      <c r="R431" t="s">
        <v>105</v>
      </c>
      <c r="S431" t="s">
        <v>57</v>
      </c>
      <c r="T431" t="s">
        <v>58</v>
      </c>
      <c r="U431" t="s">
        <v>59</v>
      </c>
      <c r="V431">
        <v>0.73433099999999996</v>
      </c>
      <c r="W431">
        <v>2023</v>
      </c>
      <c r="X431" t="s">
        <v>310</v>
      </c>
      <c r="Y431" t="s">
        <v>311</v>
      </c>
      <c r="Z431" t="str">
        <f t="shared" si="12"/>
        <v>Mayor que 15 - hasta 20</v>
      </c>
      <c r="AA431">
        <f t="shared" si="13"/>
        <v>0</v>
      </c>
      <c r="AB431">
        <v>23090</v>
      </c>
      <c r="AC431" t="s">
        <v>129</v>
      </c>
      <c r="AD431" t="s">
        <v>130</v>
      </c>
      <c r="AE431">
        <v>1.273962</v>
      </c>
      <c r="AF431" t="s">
        <v>76</v>
      </c>
      <c r="AG431">
        <v>52.657569000000002</v>
      </c>
      <c r="AH431" t="s">
        <v>129</v>
      </c>
      <c r="AI431" t="s">
        <v>130</v>
      </c>
      <c r="AJ431">
        <v>1.2514639999999999</v>
      </c>
      <c r="AK431" t="s">
        <v>76</v>
      </c>
      <c r="AL431">
        <v>51.816147000000001</v>
      </c>
      <c r="AM431" t="s">
        <v>97</v>
      </c>
      <c r="AN431" s="7">
        <v>1579.6329963431911</v>
      </c>
      <c r="AO431" t="s">
        <v>65</v>
      </c>
      <c r="AP431" s="3">
        <v>185</v>
      </c>
      <c r="AQ431">
        <v>1</v>
      </c>
      <c r="AR431">
        <v>2545.2946240000001</v>
      </c>
      <c r="AS431" t="s">
        <v>66</v>
      </c>
      <c r="AT431" t="s">
        <v>137</v>
      </c>
    </row>
    <row r="432" spans="1:46">
      <c r="A432">
        <v>439</v>
      </c>
      <c r="B432" t="s">
        <v>46</v>
      </c>
      <c r="C432">
        <v>23</v>
      </c>
      <c r="D432">
        <v>162</v>
      </c>
      <c r="E432" t="s">
        <v>709</v>
      </c>
      <c r="F432" t="s">
        <v>366</v>
      </c>
      <c r="G432">
        <v>23162</v>
      </c>
      <c r="H432">
        <v>23162</v>
      </c>
      <c r="I432" t="s">
        <v>288</v>
      </c>
      <c r="J432">
        <v>2307</v>
      </c>
      <c r="K432" t="s">
        <v>710</v>
      </c>
      <c r="L432" t="s">
        <v>91</v>
      </c>
      <c r="M432" t="s">
        <v>53</v>
      </c>
      <c r="N432">
        <v>113128</v>
      </c>
      <c r="O432" t="s">
        <v>53</v>
      </c>
      <c r="P432" t="s">
        <v>54</v>
      </c>
      <c r="Q432" t="s">
        <v>71</v>
      </c>
      <c r="R432" t="s">
        <v>56</v>
      </c>
      <c r="S432" t="s">
        <v>57</v>
      </c>
      <c r="T432" t="s">
        <v>58</v>
      </c>
      <c r="U432" t="s">
        <v>59</v>
      </c>
      <c r="V432">
        <v>0.59819599999999995</v>
      </c>
      <c r="W432">
        <v>2023</v>
      </c>
      <c r="X432" t="s">
        <v>106</v>
      </c>
      <c r="Y432" t="s">
        <v>107</v>
      </c>
      <c r="Z432" t="str">
        <f t="shared" si="12"/>
        <v>Mayor que 80 - hasta 100</v>
      </c>
      <c r="AA432">
        <f t="shared" si="13"/>
        <v>0</v>
      </c>
      <c r="AB432">
        <v>23162</v>
      </c>
      <c r="AC432" t="s">
        <v>129</v>
      </c>
      <c r="AD432" t="s">
        <v>711</v>
      </c>
      <c r="AE432">
        <v>0</v>
      </c>
      <c r="AF432" t="s">
        <v>63</v>
      </c>
      <c r="AG432">
        <v>0</v>
      </c>
      <c r="AH432" t="s">
        <v>129</v>
      </c>
      <c r="AI432" t="s">
        <v>130</v>
      </c>
      <c r="AJ432">
        <v>0.43101800000000001</v>
      </c>
      <c r="AK432" t="s">
        <v>63</v>
      </c>
      <c r="AL432">
        <v>20.683557</v>
      </c>
      <c r="AM432" t="s">
        <v>64</v>
      </c>
      <c r="AN432" s="7">
        <v>2041.9681528645481</v>
      </c>
      <c r="AO432" t="s">
        <v>65</v>
      </c>
      <c r="AP432" s="3">
        <v>1206</v>
      </c>
      <c r="AQ432">
        <v>1</v>
      </c>
      <c r="AR432">
        <v>4224.1858700000003</v>
      </c>
      <c r="AS432" t="s">
        <v>66</v>
      </c>
      <c r="AT432" t="s">
        <v>137</v>
      </c>
    </row>
    <row r="433" spans="1:46">
      <c r="A433">
        <v>440</v>
      </c>
      <c r="B433" t="s">
        <v>46</v>
      </c>
      <c r="C433">
        <v>23</v>
      </c>
      <c r="D433">
        <v>168</v>
      </c>
      <c r="E433" t="s">
        <v>712</v>
      </c>
      <c r="F433" t="s">
        <v>366</v>
      </c>
      <c r="G433">
        <v>23168</v>
      </c>
      <c r="H433">
        <v>23168</v>
      </c>
      <c r="I433" t="s">
        <v>288</v>
      </c>
      <c r="J433">
        <v>2302</v>
      </c>
      <c r="K433" t="s">
        <v>713</v>
      </c>
      <c r="L433" t="s">
        <v>80</v>
      </c>
      <c r="M433" t="s">
        <v>53</v>
      </c>
      <c r="N433">
        <v>18854</v>
      </c>
      <c r="O433" t="s">
        <v>53</v>
      </c>
      <c r="P433" t="s">
        <v>70</v>
      </c>
      <c r="Q433" t="s">
        <v>71</v>
      </c>
      <c r="R433" t="s">
        <v>56</v>
      </c>
      <c r="S433" t="s">
        <v>57</v>
      </c>
      <c r="T433" t="s">
        <v>58</v>
      </c>
      <c r="U433" t="s">
        <v>81</v>
      </c>
      <c r="V433">
        <v>0.63014300000000001</v>
      </c>
      <c r="W433">
        <v>2023</v>
      </c>
      <c r="X433" t="s">
        <v>176</v>
      </c>
      <c r="Y433" t="s">
        <v>177</v>
      </c>
      <c r="Z433" t="str">
        <f t="shared" si="12"/>
        <v>Mayor que 20 - hasta 30</v>
      </c>
      <c r="AA433">
        <f t="shared" si="13"/>
        <v>0</v>
      </c>
      <c r="AB433">
        <v>23168</v>
      </c>
      <c r="AC433" t="s">
        <v>129</v>
      </c>
      <c r="AD433" t="s">
        <v>714</v>
      </c>
      <c r="AE433">
        <v>0.87578699999999998</v>
      </c>
      <c r="AF433" t="s">
        <v>63</v>
      </c>
      <c r="AG433">
        <v>34.586500999999998</v>
      </c>
      <c r="AH433" t="s">
        <v>341</v>
      </c>
      <c r="AI433" t="s">
        <v>349</v>
      </c>
      <c r="AJ433">
        <v>1.4646920000000001</v>
      </c>
      <c r="AK433" t="s">
        <v>76</v>
      </c>
      <c r="AL433">
        <v>60.478383999999998</v>
      </c>
      <c r="AM433" t="s">
        <v>65</v>
      </c>
      <c r="AN433" s="7">
        <v>4915.3604123507566</v>
      </c>
      <c r="AO433" t="s">
        <v>65</v>
      </c>
      <c r="AP433" s="3">
        <v>1115</v>
      </c>
      <c r="AQ433">
        <v>1</v>
      </c>
      <c r="AR433">
        <v>4378.6418400000002</v>
      </c>
      <c r="AS433" t="s">
        <v>66</v>
      </c>
      <c r="AT433" t="s">
        <v>715</v>
      </c>
    </row>
    <row r="434" spans="1:46">
      <c r="A434">
        <v>441</v>
      </c>
      <c r="B434" t="s">
        <v>46</v>
      </c>
      <c r="C434">
        <v>23</v>
      </c>
      <c r="D434">
        <v>182</v>
      </c>
      <c r="E434" t="s">
        <v>716</v>
      </c>
      <c r="F434" t="s">
        <v>366</v>
      </c>
      <c r="G434">
        <v>23182</v>
      </c>
      <c r="H434">
        <v>23182</v>
      </c>
      <c r="I434" t="s">
        <v>288</v>
      </c>
      <c r="J434">
        <v>2305</v>
      </c>
      <c r="K434" t="s">
        <v>717</v>
      </c>
      <c r="L434" t="s">
        <v>91</v>
      </c>
      <c r="M434" t="s">
        <v>53</v>
      </c>
      <c r="N434">
        <v>51195</v>
      </c>
      <c r="O434" t="s">
        <v>53</v>
      </c>
      <c r="P434" t="s">
        <v>92</v>
      </c>
      <c r="Q434" t="s">
        <v>71</v>
      </c>
      <c r="R434" t="s">
        <v>122</v>
      </c>
      <c r="S434" t="s">
        <v>57</v>
      </c>
      <c r="T434" t="s">
        <v>58</v>
      </c>
      <c r="U434" t="s">
        <v>81</v>
      </c>
      <c r="V434">
        <v>0.50259200000000004</v>
      </c>
      <c r="W434">
        <v>2023</v>
      </c>
      <c r="X434" t="s">
        <v>109</v>
      </c>
      <c r="Y434" t="s">
        <v>110</v>
      </c>
      <c r="Z434" t="str">
        <f t="shared" si="12"/>
        <v>Mayor que 30 - hasta 40</v>
      </c>
      <c r="AA434">
        <f t="shared" si="13"/>
        <v>0</v>
      </c>
      <c r="AB434">
        <v>23182</v>
      </c>
      <c r="AC434" t="s">
        <v>129</v>
      </c>
      <c r="AD434" t="s">
        <v>718</v>
      </c>
      <c r="AE434">
        <v>0.46492899999999998</v>
      </c>
      <c r="AF434" t="s">
        <v>63</v>
      </c>
      <c r="AG434">
        <v>22.916651999999999</v>
      </c>
      <c r="AH434" t="s">
        <v>341</v>
      </c>
      <c r="AI434" t="s">
        <v>349</v>
      </c>
      <c r="AJ434">
        <v>0.67748200000000003</v>
      </c>
      <c r="AK434" t="s">
        <v>63</v>
      </c>
      <c r="AL434">
        <v>29.963456000000001</v>
      </c>
      <c r="AM434" t="s">
        <v>65</v>
      </c>
      <c r="AN434" s="7">
        <v>3175.4273375320058</v>
      </c>
      <c r="AO434" t="s">
        <v>65</v>
      </c>
      <c r="AP434" s="3">
        <v>975</v>
      </c>
      <c r="AQ434">
        <v>2</v>
      </c>
      <c r="AR434">
        <v>3249.3333349999998</v>
      </c>
      <c r="AS434" t="s">
        <v>66</v>
      </c>
      <c r="AT434" t="s">
        <v>137</v>
      </c>
    </row>
    <row r="435" spans="1:46">
      <c r="A435">
        <v>442</v>
      </c>
      <c r="B435" t="s">
        <v>46</v>
      </c>
      <c r="C435">
        <v>23</v>
      </c>
      <c r="D435">
        <v>189</v>
      </c>
      <c r="E435" t="s">
        <v>719</v>
      </c>
      <c r="F435" t="s">
        <v>366</v>
      </c>
      <c r="G435">
        <v>23189</v>
      </c>
      <c r="H435">
        <v>23189</v>
      </c>
      <c r="I435" t="s">
        <v>288</v>
      </c>
      <c r="J435">
        <v>2307</v>
      </c>
      <c r="K435" t="s">
        <v>710</v>
      </c>
      <c r="L435" t="s">
        <v>91</v>
      </c>
      <c r="M435" t="s">
        <v>53</v>
      </c>
      <c r="N435">
        <v>63134</v>
      </c>
      <c r="O435" t="s">
        <v>53</v>
      </c>
      <c r="P435" t="s">
        <v>92</v>
      </c>
      <c r="Q435" t="s">
        <v>71</v>
      </c>
      <c r="R435" t="s">
        <v>122</v>
      </c>
      <c r="S435" t="s">
        <v>57</v>
      </c>
      <c r="T435" t="s">
        <v>58</v>
      </c>
      <c r="U435" t="s">
        <v>81</v>
      </c>
      <c r="V435">
        <v>0.59868399999999999</v>
      </c>
      <c r="W435">
        <v>2023</v>
      </c>
      <c r="X435" t="s">
        <v>217</v>
      </c>
      <c r="Y435" t="s">
        <v>218</v>
      </c>
      <c r="Z435" t="str">
        <f t="shared" si="12"/>
        <v>Mayor que 40 - hasta 50</v>
      </c>
      <c r="AA435">
        <f t="shared" si="13"/>
        <v>0</v>
      </c>
      <c r="AB435">
        <v>23189</v>
      </c>
      <c r="AC435" t="s">
        <v>129</v>
      </c>
      <c r="AD435" t="s">
        <v>711</v>
      </c>
      <c r="AE435">
        <v>0.46944999999999998</v>
      </c>
      <c r="AF435" t="s">
        <v>63</v>
      </c>
      <c r="AG435">
        <v>21.974011999999998</v>
      </c>
      <c r="AH435" t="s">
        <v>129</v>
      </c>
      <c r="AI435" t="s">
        <v>130</v>
      </c>
      <c r="AJ435">
        <v>0.806168</v>
      </c>
      <c r="AK435" t="s">
        <v>63</v>
      </c>
      <c r="AL435">
        <v>40.111984</v>
      </c>
      <c r="AM435" t="s">
        <v>65</v>
      </c>
      <c r="AN435" s="7">
        <v>5077.0594685726319</v>
      </c>
      <c r="AO435" t="s">
        <v>65</v>
      </c>
      <c r="AP435" s="3">
        <v>1378</v>
      </c>
      <c r="AQ435">
        <v>1</v>
      </c>
      <c r="AR435">
        <v>8615.5194609999999</v>
      </c>
      <c r="AS435" t="s">
        <v>66</v>
      </c>
      <c r="AT435" t="s">
        <v>137</v>
      </c>
    </row>
    <row r="436" spans="1:46">
      <c r="A436">
        <v>443</v>
      </c>
      <c r="B436" t="s">
        <v>46</v>
      </c>
      <c r="C436">
        <v>23</v>
      </c>
      <c r="D436">
        <v>300</v>
      </c>
      <c r="E436" t="s">
        <v>720</v>
      </c>
      <c r="F436" t="s">
        <v>366</v>
      </c>
      <c r="G436">
        <v>23300</v>
      </c>
      <c r="H436">
        <v>23300</v>
      </c>
      <c r="I436" t="s">
        <v>288</v>
      </c>
      <c r="J436">
        <v>2302</v>
      </c>
      <c r="K436" t="s">
        <v>713</v>
      </c>
      <c r="L436" t="s">
        <v>91</v>
      </c>
      <c r="M436" t="s">
        <v>53</v>
      </c>
      <c r="N436">
        <v>20353</v>
      </c>
      <c r="O436" t="s">
        <v>53</v>
      </c>
      <c r="P436" t="s">
        <v>70</v>
      </c>
      <c r="Q436" t="s">
        <v>71</v>
      </c>
      <c r="R436" t="s">
        <v>122</v>
      </c>
      <c r="S436" t="s">
        <v>57</v>
      </c>
      <c r="T436" t="s">
        <v>58</v>
      </c>
      <c r="U436" t="s">
        <v>81</v>
      </c>
      <c r="V436">
        <v>0.43442599999999998</v>
      </c>
      <c r="W436">
        <v>2023</v>
      </c>
      <c r="X436" t="s">
        <v>141</v>
      </c>
      <c r="Y436" t="s">
        <v>142</v>
      </c>
      <c r="Z436" t="str">
        <f t="shared" si="12"/>
        <v>Mayor que 60 - hasta 70</v>
      </c>
      <c r="AA436">
        <f t="shared" si="13"/>
        <v>0</v>
      </c>
      <c r="AB436">
        <v>23300</v>
      </c>
      <c r="AC436" t="s">
        <v>129</v>
      </c>
      <c r="AD436" t="s">
        <v>711</v>
      </c>
      <c r="AE436">
        <v>0.49781999999999998</v>
      </c>
      <c r="AF436" t="s">
        <v>63</v>
      </c>
      <c r="AG436">
        <v>20.975231000000001</v>
      </c>
      <c r="AH436" t="s">
        <v>129</v>
      </c>
      <c r="AI436" t="s">
        <v>130</v>
      </c>
      <c r="AJ436">
        <v>0.90207099999999996</v>
      </c>
      <c r="AK436" t="s">
        <v>63</v>
      </c>
      <c r="AL436">
        <v>41.458787999999998</v>
      </c>
      <c r="AM436" t="s">
        <v>65</v>
      </c>
      <c r="AN436" s="7">
        <v>1326.981873889918</v>
      </c>
      <c r="AO436" t="s">
        <v>65</v>
      </c>
      <c r="AP436" s="3">
        <v>540</v>
      </c>
      <c r="AQ436">
        <v>1</v>
      </c>
      <c r="AR436">
        <v>1618.2746609999999</v>
      </c>
      <c r="AS436" t="s">
        <v>66</v>
      </c>
      <c r="AT436" t="s">
        <v>137</v>
      </c>
    </row>
    <row r="437" spans="1:46">
      <c r="A437">
        <v>444</v>
      </c>
      <c r="B437" t="s">
        <v>46</v>
      </c>
      <c r="C437">
        <v>23</v>
      </c>
      <c r="D437">
        <v>350</v>
      </c>
      <c r="E437" t="s">
        <v>721</v>
      </c>
      <c r="F437" t="s">
        <v>366</v>
      </c>
      <c r="G437">
        <v>23350</v>
      </c>
      <c r="H437">
        <v>23350</v>
      </c>
      <c r="I437" t="s">
        <v>288</v>
      </c>
      <c r="J437">
        <v>2306</v>
      </c>
      <c r="K437" t="s">
        <v>704</v>
      </c>
      <c r="L437" t="s">
        <v>91</v>
      </c>
      <c r="M437" t="s">
        <v>53</v>
      </c>
      <c r="N437">
        <v>15671</v>
      </c>
      <c r="O437" t="s">
        <v>53</v>
      </c>
      <c r="P437" t="s">
        <v>70</v>
      </c>
      <c r="Q437" t="s">
        <v>71</v>
      </c>
      <c r="R437" t="s">
        <v>93</v>
      </c>
      <c r="S437" t="s">
        <v>57</v>
      </c>
      <c r="T437" t="s">
        <v>58</v>
      </c>
      <c r="U437" t="s">
        <v>119</v>
      </c>
      <c r="V437">
        <v>0.28681000000000001</v>
      </c>
      <c r="W437">
        <v>2023</v>
      </c>
      <c r="X437" t="s">
        <v>217</v>
      </c>
      <c r="Y437" t="s">
        <v>218</v>
      </c>
      <c r="Z437" t="str">
        <f t="shared" si="12"/>
        <v>Mayor que 40 - hasta 50</v>
      </c>
      <c r="AA437">
        <f t="shared" si="13"/>
        <v>0</v>
      </c>
      <c r="AB437">
        <v>23350</v>
      </c>
      <c r="AC437" t="s">
        <v>61</v>
      </c>
      <c r="AD437" t="s">
        <v>153</v>
      </c>
      <c r="AE437">
        <v>0.42466399999999999</v>
      </c>
      <c r="AF437" t="s">
        <v>63</v>
      </c>
      <c r="AG437">
        <v>19.140916000000001</v>
      </c>
      <c r="AH437" t="s">
        <v>129</v>
      </c>
      <c r="AI437" t="s">
        <v>130</v>
      </c>
      <c r="AJ437">
        <v>1.9880610000000001</v>
      </c>
      <c r="AK437" t="s">
        <v>76</v>
      </c>
      <c r="AL437">
        <v>107.09595899999999</v>
      </c>
      <c r="AM437" t="s">
        <v>64</v>
      </c>
      <c r="AN437" s="7">
        <v>968.41731391331496</v>
      </c>
      <c r="AO437" t="s">
        <v>65</v>
      </c>
      <c r="AP437" s="3">
        <v>182</v>
      </c>
      <c r="AQ437">
        <v>2</v>
      </c>
      <c r="AR437">
        <v>1863.5606519999999</v>
      </c>
      <c r="AS437" t="s">
        <v>66</v>
      </c>
      <c r="AT437" t="s">
        <v>722</v>
      </c>
    </row>
    <row r="438" spans="1:46">
      <c r="A438">
        <v>445</v>
      </c>
      <c r="B438" t="s">
        <v>46</v>
      </c>
      <c r="C438">
        <v>23</v>
      </c>
      <c r="D438">
        <v>417</v>
      </c>
      <c r="E438" t="s">
        <v>723</v>
      </c>
      <c r="F438" t="s">
        <v>366</v>
      </c>
      <c r="G438">
        <v>23417</v>
      </c>
      <c r="H438">
        <v>23417</v>
      </c>
      <c r="I438" t="s">
        <v>288</v>
      </c>
      <c r="J438">
        <v>2302</v>
      </c>
      <c r="K438" t="s">
        <v>713</v>
      </c>
      <c r="L438" t="s">
        <v>91</v>
      </c>
      <c r="M438" t="s">
        <v>53</v>
      </c>
      <c r="N438">
        <v>117557</v>
      </c>
      <c r="O438" t="s">
        <v>53</v>
      </c>
      <c r="P438" t="s">
        <v>54</v>
      </c>
      <c r="Q438" t="s">
        <v>71</v>
      </c>
      <c r="R438" t="s">
        <v>122</v>
      </c>
      <c r="S438" t="s">
        <v>57</v>
      </c>
      <c r="T438" t="s">
        <v>58</v>
      </c>
      <c r="U438" t="s">
        <v>59</v>
      </c>
      <c r="V438">
        <v>0.65156800000000004</v>
      </c>
      <c r="W438">
        <v>2023</v>
      </c>
      <c r="X438" t="s">
        <v>176</v>
      </c>
      <c r="Y438" t="s">
        <v>177</v>
      </c>
      <c r="Z438" t="str">
        <f t="shared" si="12"/>
        <v>Mayor que 20 - hasta 30</v>
      </c>
      <c r="AA438">
        <f t="shared" si="13"/>
        <v>0</v>
      </c>
      <c r="AB438">
        <v>23417</v>
      </c>
      <c r="AC438" t="s">
        <v>129</v>
      </c>
      <c r="AD438" t="s">
        <v>714</v>
      </c>
      <c r="AE438">
        <v>0</v>
      </c>
      <c r="AF438" t="s">
        <v>63</v>
      </c>
      <c r="AG438">
        <v>0</v>
      </c>
      <c r="AH438" t="s">
        <v>129</v>
      </c>
      <c r="AI438" t="s">
        <v>130</v>
      </c>
      <c r="AJ438">
        <v>1.231333</v>
      </c>
      <c r="AK438" t="s">
        <v>76</v>
      </c>
      <c r="AL438">
        <v>64.347013000000004</v>
      </c>
      <c r="AM438" t="s">
        <v>64</v>
      </c>
      <c r="AN438" s="7">
        <v>5604.0331781061059</v>
      </c>
      <c r="AO438" t="s">
        <v>65</v>
      </c>
      <c r="AP438" s="3">
        <v>1600</v>
      </c>
      <c r="AQ438">
        <v>3</v>
      </c>
      <c r="AR438">
        <v>4205.2646020000002</v>
      </c>
      <c r="AS438" t="s">
        <v>66</v>
      </c>
      <c r="AT438" t="s">
        <v>137</v>
      </c>
    </row>
    <row r="439" spans="1:46">
      <c r="A439">
        <v>446</v>
      </c>
      <c r="B439" t="s">
        <v>46</v>
      </c>
      <c r="C439">
        <v>23</v>
      </c>
      <c r="D439">
        <v>419</v>
      </c>
      <c r="E439" t="s">
        <v>724</v>
      </c>
      <c r="F439" t="s">
        <v>366</v>
      </c>
      <c r="G439">
        <v>23419</v>
      </c>
      <c r="H439">
        <v>23419</v>
      </c>
      <c r="I439" t="s">
        <v>288</v>
      </c>
      <c r="J439">
        <v>2304</v>
      </c>
      <c r="K439" t="s">
        <v>708</v>
      </c>
      <c r="L439" t="s">
        <v>69</v>
      </c>
      <c r="M439" t="s">
        <v>53</v>
      </c>
      <c r="N439">
        <v>20164</v>
      </c>
      <c r="O439" t="s">
        <v>53</v>
      </c>
      <c r="P439" t="s">
        <v>70</v>
      </c>
      <c r="Q439" t="s">
        <v>71</v>
      </c>
      <c r="R439" t="s">
        <v>122</v>
      </c>
      <c r="S439" t="s">
        <v>57</v>
      </c>
      <c r="T439" t="s">
        <v>58</v>
      </c>
      <c r="U439" t="s">
        <v>59</v>
      </c>
      <c r="V439">
        <v>0.69220400000000004</v>
      </c>
      <c r="W439">
        <v>2023</v>
      </c>
      <c r="X439" t="s">
        <v>109</v>
      </c>
      <c r="Y439" t="s">
        <v>110</v>
      </c>
      <c r="Z439" t="str">
        <f t="shared" si="12"/>
        <v>Mayor que 30 - hasta 40</v>
      </c>
      <c r="AA439">
        <f t="shared" si="13"/>
        <v>0</v>
      </c>
      <c r="AB439">
        <v>23419</v>
      </c>
      <c r="AC439" t="s">
        <v>129</v>
      </c>
      <c r="AD439" t="s">
        <v>130</v>
      </c>
      <c r="AE439">
        <v>1.438042</v>
      </c>
      <c r="AF439" t="s">
        <v>76</v>
      </c>
      <c r="AG439">
        <v>62.820309999999999</v>
      </c>
      <c r="AH439" t="s">
        <v>129</v>
      </c>
      <c r="AI439" t="s">
        <v>130</v>
      </c>
      <c r="AJ439">
        <v>1.4155439999999999</v>
      </c>
      <c r="AK439" t="s">
        <v>76</v>
      </c>
      <c r="AL439">
        <v>61.978889000000002</v>
      </c>
      <c r="AM439" t="s">
        <v>64</v>
      </c>
      <c r="AN439" s="7">
        <v>1513.2077376797999</v>
      </c>
      <c r="AO439" t="s">
        <v>65</v>
      </c>
      <c r="AP439" s="3">
        <v>242</v>
      </c>
      <c r="AQ439">
        <v>1</v>
      </c>
      <c r="AR439">
        <v>3659.2376479999998</v>
      </c>
      <c r="AS439" t="s">
        <v>66</v>
      </c>
      <c r="AT439" t="s">
        <v>137</v>
      </c>
    </row>
    <row r="440" spans="1:46">
      <c r="A440">
        <v>447</v>
      </c>
      <c r="B440" t="s">
        <v>46</v>
      </c>
      <c r="C440">
        <v>23</v>
      </c>
      <c r="D440">
        <v>464</v>
      </c>
      <c r="E440" t="s">
        <v>725</v>
      </c>
      <c r="F440" t="s">
        <v>366</v>
      </c>
      <c r="G440">
        <v>23464</v>
      </c>
      <c r="H440">
        <v>23464</v>
      </c>
      <c r="I440" t="s">
        <v>288</v>
      </c>
      <c r="J440">
        <v>2302</v>
      </c>
      <c r="K440" t="s">
        <v>713</v>
      </c>
      <c r="L440" t="s">
        <v>91</v>
      </c>
      <c r="M440" t="s">
        <v>53</v>
      </c>
      <c r="N440">
        <v>20925</v>
      </c>
      <c r="O440" t="s">
        <v>53</v>
      </c>
      <c r="P440" t="s">
        <v>70</v>
      </c>
      <c r="Q440" t="s">
        <v>71</v>
      </c>
      <c r="R440" t="s">
        <v>122</v>
      </c>
      <c r="S440" t="s">
        <v>57</v>
      </c>
      <c r="T440" t="s">
        <v>58</v>
      </c>
      <c r="U440" t="s">
        <v>81</v>
      </c>
      <c r="V440">
        <v>0.72162000000000004</v>
      </c>
      <c r="W440">
        <v>2023</v>
      </c>
      <c r="X440" t="s">
        <v>176</v>
      </c>
      <c r="Y440" t="s">
        <v>177</v>
      </c>
      <c r="Z440" t="str">
        <f t="shared" si="12"/>
        <v>Mayor que 20 - hasta 30</v>
      </c>
      <c r="AA440">
        <f t="shared" si="13"/>
        <v>0</v>
      </c>
      <c r="AB440">
        <v>23464</v>
      </c>
      <c r="AC440" t="s">
        <v>129</v>
      </c>
      <c r="AD440" t="s">
        <v>714</v>
      </c>
      <c r="AE440">
        <v>0.34100999999999998</v>
      </c>
      <c r="AF440" t="s">
        <v>63</v>
      </c>
      <c r="AG440">
        <v>16.611270000000001</v>
      </c>
      <c r="AH440" t="s">
        <v>341</v>
      </c>
      <c r="AI440" t="s">
        <v>349</v>
      </c>
      <c r="AJ440">
        <v>1.423279</v>
      </c>
      <c r="AK440" t="s">
        <v>76</v>
      </c>
      <c r="AL440">
        <v>41.565894999999998</v>
      </c>
      <c r="AM440" t="s">
        <v>64</v>
      </c>
      <c r="AN440" s="7">
        <v>2545.957200276066</v>
      </c>
      <c r="AO440" t="s">
        <v>65</v>
      </c>
      <c r="AP440" s="3">
        <v>365</v>
      </c>
      <c r="AQ440">
        <v>1</v>
      </c>
      <c r="AR440">
        <v>2908.4755439999999</v>
      </c>
      <c r="AS440" t="s">
        <v>66</v>
      </c>
      <c r="AT440" t="s">
        <v>53</v>
      </c>
    </row>
    <row r="441" spans="1:46">
      <c r="A441">
        <v>460</v>
      </c>
      <c r="B441" t="s">
        <v>46</v>
      </c>
      <c r="C441">
        <v>23</v>
      </c>
      <c r="D441">
        <v>466</v>
      </c>
      <c r="E441" t="s">
        <v>726</v>
      </c>
      <c r="F441" t="s">
        <v>366</v>
      </c>
      <c r="G441">
        <v>23466</v>
      </c>
      <c r="H441">
        <v>23466</v>
      </c>
      <c r="I441" t="s">
        <v>288</v>
      </c>
      <c r="J441">
        <v>2306</v>
      </c>
      <c r="K441" t="s">
        <v>704</v>
      </c>
      <c r="L441" t="s">
        <v>91</v>
      </c>
      <c r="M441" t="s">
        <v>53</v>
      </c>
      <c r="N441">
        <v>86034</v>
      </c>
      <c r="O441" t="s">
        <v>53</v>
      </c>
      <c r="P441" t="s">
        <v>92</v>
      </c>
      <c r="Q441" t="s">
        <v>71</v>
      </c>
      <c r="R441" t="s">
        <v>105</v>
      </c>
      <c r="S441" t="s">
        <v>727</v>
      </c>
      <c r="T441" t="s">
        <v>73</v>
      </c>
      <c r="U441" t="s">
        <v>101</v>
      </c>
      <c r="V441">
        <v>0.56440599999999996</v>
      </c>
      <c r="W441">
        <v>2023</v>
      </c>
      <c r="X441" t="s">
        <v>109</v>
      </c>
      <c r="Y441" t="s">
        <v>110</v>
      </c>
      <c r="Z441" t="str">
        <f t="shared" si="12"/>
        <v>Mayor que 30 - hasta 40</v>
      </c>
      <c r="AA441">
        <f t="shared" si="13"/>
        <v>0</v>
      </c>
      <c r="AB441">
        <v>23466</v>
      </c>
      <c r="AC441" t="s">
        <v>129</v>
      </c>
      <c r="AD441" t="s">
        <v>728</v>
      </c>
      <c r="AE441">
        <v>0</v>
      </c>
      <c r="AF441" t="s">
        <v>63</v>
      </c>
      <c r="AG441">
        <v>0</v>
      </c>
      <c r="AH441" t="s">
        <v>129</v>
      </c>
      <c r="AI441" t="s">
        <v>130</v>
      </c>
      <c r="AJ441">
        <v>2.409602</v>
      </c>
      <c r="AK441" t="s">
        <v>77</v>
      </c>
      <c r="AL441">
        <v>119.574134</v>
      </c>
      <c r="AM441" t="s">
        <v>97</v>
      </c>
      <c r="AN441" s="7">
        <v>3883.4236352108019</v>
      </c>
      <c r="AO441" t="s">
        <v>65</v>
      </c>
      <c r="AP441" s="3">
        <v>72</v>
      </c>
      <c r="AQ441">
        <v>2</v>
      </c>
      <c r="AR441">
        <v>2715.8877459999999</v>
      </c>
      <c r="AS441" t="s">
        <v>66</v>
      </c>
      <c r="AT441" t="s">
        <v>729</v>
      </c>
    </row>
    <row r="442" spans="1:46">
      <c r="A442">
        <v>448</v>
      </c>
      <c r="B442" t="s">
        <v>46</v>
      </c>
      <c r="C442">
        <v>23</v>
      </c>
      <c r="D442">
        <v>500</v>
      </c>
      <c r="E442" t="s">
        <v>730</v>
      </c>
      <c r="F442" t="s">
        <v>366</v>
      </c>
      <c r="G442">
        <v>23500</v>
      </c>
      <c r="H442">
        <v>23500</v>
      </c>
      <c r="I442" t="s">
        <v>288</v>
      </c>
      <c r="J442">
        <v>2304</v>
      </c>
      <c r="K442" t="s">
        <v>708</v>
      </c>
      <c r="L442" t="s">
        <v>91</v>
      </c>
      <c r="M442" t="s">
        <v>53</v>
      </c>
      <c r="N442">
        <v>32131</v>
      </c>
      <c r="O442" t="s">
        <v>53</v>
      </c>
      <c r="P442" t="s">
        <v>92</v>
      </c>
      <c r="Q442" t="s">
        <v>71</v>
      </c>
      <c r="R442" t="s">
        <v>93</v>
      </c>
      <c r="S442" t="s">
        <v>57</v>
      </c>
      <c r="T442" t="s">
        <v>58</v>
      </c>
      <c r="U442" t="s">
        <v>59</v>
      </c>
      <c r="V442">
        <v>0.639544</v>
      </c>
      <c r="W442">
        <v>2023</v>
      </c>
      <c r="X442" t="s">
        <v>310</v>
      </c>
      <c r="Y442" t="s">
        <v>311</v>
      </c>
      <c r="Z442" t="str">
        <f t="shared" si="12"/>
        <v>Mayor que 15 - hasta 20</v>
      </c>
      <c r="AA442">
        <f t="shared" si="13"/>
        <v>0</v>
      </c>
      <c r="AB442">
        <v>23500</v>
      </c>
      <c r="AC442" t="s">
        <v>129</v>
      </c>
      <c r="AD442" t="s">
        <v>714</v>
      </c>
      <c r="AE442">
        <v>0.95356099999999999</v>
      </c>
      <c r="AF442" t="s">
        <v>63</v>
      </c>
      <c r="AG442">
        <v>51.718586000000002</v>
      </c>
      <c r="AH442" t="s">
        <v>129</v>
      </c>
      <c r="AI442" t="s">
        <v>130</v>
      </c>
      <c r="AJ442">
        <v>1.5316700000000001</v>
      </c>
      <c r="AK442" t="s">
        <v>76</v>
      </c>
      <c r="AL442">
        <v>77.472496000000007</v>
      </c>
      <c r="AM442" t="s">
        <v>65</v>
      </c>
      <c r="AN442" s="7">
        <v>8003.3719146522562</v>
      </c>
      <c r="AO442" t="s">
        <v>65</v>
      </c>
      <c r="AP442" s="3">
        <v>1466</v>
      </c>
      <c r="AQ442">
        <v>3</v>
      </c>
      <c r="AR442">
        <v>6958.2123959999999</v>
      </c>
      <c r="AS442" t="s">
        <v>66</v>
      </c>
      <c r="AT442" t="s">
        <v>137</v>
      </c>
    </row>
    <row r="443" spans="1:46">
      <c r="A443">
        <v>449</v>
      </c>
      <c r="B443" t="s">
        <v>46</v>
      </c>
      <c r="C443">
        <v>23</v>
      </c>
      <c r="D443">
        <v>555</v>
      </c>
      <c r="E443" t="s">
        <v>705</v>
      </c>
      <c r="F443" t="s">
        <v>366</v>
      </c>
      <c r="G443">
        <v>23555</v>
      </c>
      <c r="H443">
        <v>23555</v>
      </c>
      <c r="I443" t="s">
        <v>288</v>
      </c>
      <c r="J443">
        <v>2306</v>
      </c>
      <c r="K443" t="s">
        <v>704</v>
      </c>
      <c r="L443" t="s">
        <v>91</v>
      </c>
      <c r="M443" t="s">
        <v>53</v>
      </c>
      <c r="N443">
        <v>68231</v>
      </c>
      <c r="O443" t="s">
        <v>53</v>
      </c>
      <c r="P443" t="s">
        <v>92</v>
      </c>
      <c r="Q443" t="s">
        <v>71</v>
      </c>
      <c r="R443" t="s">
        <v>56</v>
      </c>
      <c r="S443" t="s">
        <v>57</v>
      </c>
      <c r="T443" t="s">
        <v>58</v>
      </c>
      <c r="U443" t="s">
        <v>59</v>
      </c>
      <c r="V443">
        <v>0.56584100000000004</v>
      </c>
      <c r="W443">
        <v>2023</v>
      </c>
      <c r="X443" t="s">
        <v>176</v>
      </c>
      <c r="Y443" t="s">
        <v>177</v>
      </c>
      <c r="Z443" t="str">
        <f t="shared" si="12"/>
        <v>Mayor que 20 - hasta 30</v>
      </c>
      <c r="AA443">
        <f t="shared" si="13"/>
        <v>0</v>
      </c>
      <c r="AB443">
        <v>23555</v>
      </c>
      <c r="AC443" t="s">
        <v>129</v>
      </c>
      <c r="AD443" t="s">
        <v>705</v>
      </c>
      <c r="AE443">
        <v>0</v>
      </c>
      <c r="AF443" t="s">
        <v>63</v>
      </c>
      <c r="AG443">
        <v>0</v>
      </c>
      <c r="AH443" t="s">
        <v>129</v>
      </c>
      <c r="AI443" t="s">
        <v>130</v>
      </c>
      <c r="AJ443">
        <v>1.0723750000000001</v>
      </c>
      <c r="AK443" t="s">
        <v>76</v>
      </c>
      <c r="AL443">
        <v>55.057777999999999</v>
      </c>
      <c r="AM443" t="s">
        <v>64</v>
      </c>
      <c r="AN443" s="7">
        <v>25352.389140875301</v>
      </c>
      <c r="AO443" t="s">
        <v>65</v>
      </c>
      <c r="AP443" s="3">
        <v>1646</v>
      </c>
      <c r="AQ443">
        <v>2</v>
      </c>
      <c r="AR443">
        <v>36960.043891000001</v>
      </c>
      <c r="AS443" t="s">
        <v>66</v>
      </c>
      <c r="AT443" t="s">
        <v>731</v>
      </c>
    </row>
    <row r="444" spans="1:46">
      <c r="A444">
        <v>450</v>
      </c>
      <c r="B444" t="s">
        <v>46</v>
      </c>
      <c r="C444">
        <v>23</v>
      </c>
      <c r="D444">
        <v>570</v>
      </c>
      <c r="E444" t="s">
        <v>732</v>
      </c>
      <c r="F444" t="s">
        <v>366</v>
      </c>
      <c r="G444">
        <v>23570</v>
      </c>
      <c r="H444">
        <v>23570</v>
      </c>
      <c r="I444" t="s">
        <v>288</v>
      </c>
      <c r="J444">
        <v>2306</v>
      </c>
      <c r="K444" t="s">
        <v>704</v>
      </c>
      <c r="L444" t="s">
        <v>69</v>
      </c>
      <c r="M444" t="s">
        <v>53</v>
      </c>
      <c r="N444">
        <v>38306</v>
      </c>
      <c r="O444" t="s">
        <v>53</v>
      </c>
      <c r="P444" t="s">
        <v>92</v>
      </c>
      <c r="Q444" t="s">
        <v>71</v>
      </c>
      <c r="R444" t="s">
        <v>105</v>
      </c>
      <c r="S444" t="s">
        <v>57</v>
      </c>
      <c r="T444" t="s">
        <v>58</v>
      </c>
      <c r="U444" t="s">
        <v>59</v>
      </c>
      <c r="V444">
        <v>0.662416</v>
      </c>
      <c r="W444">
        <v>2023</v>
      </c>
      <c r="X444" t="s">
        <v>176</v>
      </c>
      <c r="Y444" t="s">
        <v>177</v>
      </c>
      <c r="Z444" t="str">
        <f t="shared" si="12"/>
        <v>Mayor que 20 - hasta 30</v>
      </c>
      <c r="AA444">
        <f t="shared" si="13"/>
        <v>0</v>
      </c>
      <c r="AB444">
        <v>23570</v>
      </c>
      <c r="AC444" t="s">
        <v>129</v>
      </c>
      <c r="AD444" t="s">
        <v>705</v>
      </c>
      <c r="AE444">
        <v>0.34743499999999999</v>
      </c>
      <c r="AF444" t="s">
        <v>63</v>
      </c>
      <c r="AG444">
        <v>16.292387999999999</v>
      </c>
      <c r="AH444" t="s">
        <v>129</v>
      </c>
      <c r="AI444" t="s">
        <v>130</v>
      </c>
      <c r="AJ444">
        <v>1.34771</v>
      </c>
      <c r="AK444" t="s">
        <v>76</v>
      </c>
      <c r="AL444">
        <v>67.887423999999996</v>
      </c>
      <c r="AM444" t="s">
        <v>64</v>
      </c>
      <c r="AN444" s="7">
        <v>11511.94143152861</v>
      </c>
      <c r="AO444" t="s">
        <v>65</v>
      </c>
      <c r="AP444" s="3">
        <v>1185</v>
      </c>
      <c r="AQ444">
        <v>2</v>
      </c>
      <c r="AR444">
        <v>13886.695873000001</v>
      </c>
      <c r="AS444" t="s">
        <v>66</v>
      </c>
      <c r="AT444" t="s">
        <v>733</v>
      </c>
    </row>
    <row r="445" spans="1:46">
      <c r="A445">
        <v>451</v>
      </c>
      <c r="B445" t="s">
        <v>46</v>
      </c>
      <c r="C445">
        <v>23</v>
      </c>
      <c r="D445">
        <v>574</v>
      </c>
      <c r="E445" t="s">
        <v>734</v>
      </c>
      <c r="F445" t="s">
        <v>366</v>
      </c>
      <c r="G445">
        <v>23574</v>
      </c>
      <c r="H445">
        <v>23574</v>
      </c>
      <c r="I445" t="s">
        <v>288</v>
      </c>
      <c r="J445">
        <v>2304</v>
      </c>
      <c r="K445" t="s">
        <v>708</v>
      </c>
      <c r="L445" t="s">
        <v>69</v>
      </c>
      <c r="M445" t="s">
        <v>53</v>
      </c>
      <c r="N445">
        <v>25503</v>
      </c>
      <c r="O445" t="s">
        <v>53</v>
      </c>
      <c r="P445" t="s">
        <v>70</v>
      </c>
      <c r="Q445" t="s">
        <v>71</v>
      </c>
      <c r="R445" t="s">
        <v>56</v>
      </c>
      <c r="S445" t="s">
        <v>57</v>
      </c>
      <c r="T445" t="s">
        <v>58</v>
      </c>
      <c r="U445" t="s">
        <v>59</v>
      </c>
      <c r="V445">
        <v>0.64328300000000005</v>
      </c>
      <c r="W445">
        <v>2023</v>
      </c>
      <c r="X445" t="s">
        <v>109</v>
      </c>
      <c r="Y445" t="s">
        <v>110</v>
      </c>
      <c r="Z445" t="str">
        <f t="shared" si="12"/>
        <v>Mayor que 30 - hasta 40</v>
      </c>
      <c r="AA445">
        <f t="shared" si="13"/>
        <v>0</v>
      </c>
      <c r="AB445">
        <v>23574</v>
      </c>
      <c r="AC445" t="s">
        <v>129</v>
      </c>
      <c r="AD445" t="s">
        <v>130</v>
      </c>
      <c r="AE445">
        <v>1.7826820000000001</v>
      </c>
      <c r="AF445" t="s">
        <v>76</v>
      </c>
      <c r="AG445">
        <v>64.038686999999996</v>
      </c>
      <c r="AH445" t="s">
        <v>129</v>
      </c>
      <c r="AI445" t="s">
        <v>130</v>
      </c>
      <c r="AJ445">
        <v>1.760184</v>
      </c>
      <c r="AK445" t="s">
        <v>76</v>
      </c>
      <c r="AL445">
        <v>63.197265000000002</v>
      </c>
      <c r="AM445" t="s">
        <v>64</v>
      </c>
      <c r="AN445" s="7">
        <v>334.91606231612639</v>
      </c>
      <c r="AO445" t="s">
        <v>65</v>
      </c>
      <c r="AP445" s="3">
        <v>53</v>
      </c>
      <c r="AQ445">
        <v>1</v>
      </c>
      <c r="AR445">
        <v>740.65326300000004</v>
      </c>
      <c r="AS445" t="s">
        <v>66</v>
      </c>
      <c r="AT445" t="s">
        <v>137</v>
      </c>
    </row>
    <row r="446" spans="1:46">
      <c r="A446">
        <v>461</v>
      </c>
      <c r="B446" t="s">
        <v>46</v>
      </c>
      <c r="C446">
        <v>23</v>
      </c>
      <c r="D446">
        <v>580</v>
      </c>
      <c r="E446" t="s">
        <v>735</v>
      </c>
      <c r="F446" t="s">
        <v>366</v>
      </c>
      <c r="G446">
        <v>23580</v>
      </c>
      <c r="H446">
        <v>23580</v>
      </c>
      <c r="I446" t="s">
        <v>288</v>
      </c>
      <c r="J446">
        <v>2306</v>
      </c>
      <c r="K446" t="s">
        <v>704</v>
      </c>
      <c r="L446" t="s">
        <v>69</v>
      </c>
      <c r="M446" t="s">
        <v>53</v>
      </c>
      <c r="N446">
        <v>45050</v>
      </c>
      <c r="O446" t="s">
        <v>53</v>
      </c>
      <c r="P446" t="s">
        <v>92</v>
      </c>
      <c r="Q446" t="s">
        <v>71</v>
      </c>
      <c r="R446" t="s">
        <v>105</v>
      </c>
      <c r="S446" t="s">
        <v>727</v>
      </c>
      <c r="T446" t="s">
        <v>73</v>
      </c>
      <c r="U446" t="s">
        <v>115</v>
      </c>
      <c r="V446">
        <v>0.695627</v>
      </c>
      <c r="W446">
        <v>2023</v>
      </c>
      <c r="X446" t="s">
        <v>217</v>
      </c>
      <c r="Y446" t="s">
        <v>218</v>
      </c>
      <c r="Z446" t="str">
        <f t="shared" si="12"/>
        <v>Mayor que 40 - hasta 50</v>
      </c>
      <c r="AA446">
        <f t="shared" si="13"/>
        <v>0</v>
      </c>
      <c r="AB446">
        <v>23580</v>
      </c>
      <c r="AC446" t="s">
        <v>129</v>
      </c>
      <c r="AD446" t="s">
        <v>728</v>
      </c>
      <c r="AE446">
        <v>1.3037030000000001</v>
      </c>
      <c r="AF446" t="s">
        <v>76</v>
      </c>
      <c r="AG446">
        <v>39.361732000000003</v>
      </c>
      <c r="AH446" t="s">
        <v>129</v>
      </c>
      <c r="AI446" t="s">
        <v>130</v>
      </c>
      <c r="AJ446">
        <v>3.181038</v>
      </c>
      <c r="AK446" t="s">
        <v>84</v>
      </c>
      <c r="AL446">
        <v>124.091796</v>
      </c>
      <c r="AM446" t="s">
        <v>64</v>
      </c>
      <c r="AN446" s="7">
        <v>2994.9800028925101</v>
      </c>
      <c r="AO446" t="s">
        <v>65</v>
      </c>
      <c r="AP446" s="3">
        <v>101</v>
      </c>
      <c r="AQ446">
        <v>2</v>
      </c>
      <c r="AR446">
        <v>4015.383202</v>
      </c>
      <c r="AS446" t="s">
        <v>66</v>
      </c>
      <c r="AT446" t="s">
        <v>137</v>
      </c>
    </row>
    <row r="447" spans="1:46">
      <c r="A447">
        <v>452</v>
      </c>
      <c r="B447" t="s">
        <v>46</v>
      </c>
      <c r="C447">
        <v>23</v>
      </c>
      <c r="D447">
        <v>586</v>
      </c>
      <c r="E447" t="s">
        <v>736</v>
      </c>
      <c r="F447" t="s">
        <v>366</v>
      </c>
      <c r="G447">
        <v>23586</v>
      </c>
      <c r="H447">
        <v>23586</v>
      </c>
      <c r="I447" t="s">
        <v>288</v>
      </c>
      <c r="J447">
        <v>2302</v>
      </c>
      <c r="K447" t="s">
        <v>713</v>
      </c>
      <c r="L447" t="s">
        <v>91</v>
      </c>
      <c r="M447" t="s">
        <v>53</v>
      </c>
      <c r="N447">
        <v>18411</v>
      </c>
      <c r="O447" t="s">
        <v>53</v>
      </c>
      <c r="P447" t="s">
        <v>70</v>
      </c>
      <c r="Q447" t="s">
        <v>71</v>
      </c>
      <c r="R447" t="s">
        <v>122</v>
      </c>
      <c r="S447" t="s">
        <v>57</v>
      </c>
      <c r="T447" t="s">
        <v>58</v>
      </c>
      <c r="U447" t="s">
        <v>81</v>
      </c>
      <c r="V447">
        <v>0.644289</v>
      </c>
      <c r="W447">
        <v>2023</v>
      </c>
      <c r="X447" t="s">
        <v>176</v>
      </c>
      <c r="Y447" t="s">
        <v>177</v>
      </c>
      <c r="Z447" t="str">
        <f t="shared" si="12"/>
        <v>Mayor que 20 - hasta 30</v>
      </c>
      <c r="AA447">
        <f t="shared" si="13"/>
        <v>0</v>
      </c>
      <c r="AB447">
        <v>23586</v>
      </c>
      <c r="AC447" t="s">
        <v>129</v>
      </c>
      <c r="AD447" t="s">
        <v>714</v>
      </c>
      <c r="AE447">
        <v>0.22215699999999999</v>
      </c>
      <c r="AF447" t="s">
        <v>63</v>
      </c>
      <c r="AG447">
        <v>10.997056000000001</v>
      </c>
      <c r="AH447" t="s">
        <v>129</v>
      </c>
      <c r="AI447" t="s">
        <v>130</v>
      </c>
      <c r="AJ447">
        <v>1.423597</v>
      </c>
      <c r="AK447" t="s">
        <v>76</v>
      </c>
      <c r="AL447">
        <v>74.495541000000003</v>
      </c>
      <c r="AM447" t="s">
        <v>64</v>
      </c>
      <c r="AN447" s="7">
        <v>2570.529980542166</v>
      </c>
      <c r="AO447" t="s">
        <v>65</v>
      </c>
      <c r="AP447" s="3">
        <v>541</v>
      </c>
      <c r="AQ447">
        <v>1</v>
      </c>
      <c r="AR447">
        <v>1719.120255</v>
      </c>
      <c r="AS447" t="s">
        <v>66</v>
      </c>
      <c r="AT447" t="s">
        <v>53</v>
      </c>
    </row>
    <row r="448" spans="1:46">
      <c r="A448">
        <v>453</v>
      </c>
      <c r="B448" t="s">
        <v>46</v>
      </c>
      <c r="C448">
        <v>23</v>
      </c>
      <c r="D448">
        <v>660</v>
      </c>
      <c r="E448" t="s">
        <v>737</v>
      </c>
      <c r="F448" t="s">
        <v>366</v>
      </c>
      <c r="G448">
        <v>23660</v>
      </c>
      <c r="H448">
        <v>23660</v>
      </c>
      <c r="I448" t="s">
        <v>288</v>
      </c>
      <c r="J448">
        <v>2305</v>
      </c>
      <c r="K448" t="s">
        <v>717</v>
      </c>
      <c r="L448" t="s">
        <v>91</v>
      </c>
      <c r="M448" t="s">
        <v>53</v>
      </c>
      <c r="N448">
        <v>115097</v>
      </c>
      <c r="O448" t="s">
        <v>53</v>
      </c>
      <c r="P448" t="s">
        <v>54</v>
      </c>
      <c r="Q448" t="s">
        <v>71</v>
      </c>
      <c r="R448" t="s">
        <v>105</v>
      </c>
      <c r="S448" t="s">
        <v>57</v>
      </c>
      <c r="T448" t="s">
        <v>58</v>
      </c>
      <c r="U448" t="s">
        <v>81</v>
      </c>
      <c r="V448">
        <v>0.62369600000000003</v>
      </c>
      <c r="W448">
        <v>2023</v>
      </c>
      <c r="X448" t="s">
        <v>147</v>
      </c>
      <c r="Y448" t="s">
        <v>148</v>
      </c>
      <c r="Z448" t="str">
        <f t="shared" si="12"/>
        <v>Mayor que 50 - hasta 60</v>
      </c>
      <c r="AA448">
        <f t="shared" si="13"/>
        <v>0</v>
      </c>
      <c r="AB448">
        <v>23660</v>
      </c>
      <c r="AC448" t="s">
        <v>129</v>
      </c>
      <c r="AD448" t="s">
        <v>718</v>
      </c>
      <c r="AE448">
        <v>0</v>
      </c>
      <c r="AF448" t="s">
        <v>63</v>
      </c>
      <c r="AG448">
        <v>0</v>
      </c>
      <c r="AH448" t="s">
        <v>341</v>
      </c>
      <c r="AI448" t="s">
        <v>349</v>
      </c>
      <c r="AJ448">
        <v>1.0973250000000001</v>
      </c>
      <c r="AK448" t="s">
        <v>76</v>
      </c>
      <c r="AL448">
        <v>52.255844000000003</v>
      </c>
      <c r="AM448" t="s">
        <v>65</v>
      </c>
      <c r="AN448" s="7">
        <v>3051.0494104962158</v>
      </c>
      <c r="AO448" t="s">
        <v>65</v>
      </c>
      <c r="AP448" s="3">
        <v>754</v>
      </c>
      <c r="AQ448">
        <v>3</v>
      </c>
      <c r="AR448">
        <v>4354.9039290000001</v>
      </c>
      <c r="AS448" t="s">
        <v>66</v>
      </c>
      <c r="AT448" t="s">
        <v>738</v>
      </c>
    </row>
    <row r="449" spans="1:46">
      <c r="A449">
        <v>454</v>
      </c>
      <c r="B449" t="s">
        <v>46</v>
      </c>
      <c r="C449">
        <v>23</v>
      </c>
      <c r="D449">
        <v>670</v>
      </c>
      <c r="E449" t="s">
        <v>739</v>
      </c>
      <c r="F449" t="s">
        <v>366</v>
      </c>
      <c r="G449">
        <v>23670</v>
      </c>
      <c r="H449">
        <v>23670</v>
      </c>
      <c r="I449" t="s">
        <v>288</v>
      </c>
      <c r="J449">
        <v>2305</v>
      </c>
      <c r="K449" t="s">
        <v>717</v>
      </c>
      <c r="L449" t="s">
        <v>91</v>
      </c>
      <c r="M449" t="s">
        <v>53</v>
      </c>
      <c r="N449">
        <v>50328</v>
      </c>
      <c r="O449" t="s">
        <v>53</v>
      </c>
      <c r="P449" t="s">
        <v>92</v>
      </c>
      <c r="Q449" t="s">
        <v>71</v>
      </c>
      <c r="R449" t="s">
        <v>105</v>
      </c>
      <c r="S449" t="s">
        <v>57</v>
      </c>
      <c r="T449" t="s">
        <v>58</v>
      </c>
      <c r="U449" t="s">
        <v>81</v>
      </c>
      <c r="V449">
        <v>0.75670199999999999</v>
      </c>
      <c r="W449">
        <v>2023</v>
      </c>
      <c r="X449" t="s">
        <v>176</v>
      </c>
      <c r="Y449" t="s">
        <v>177</v>
      </c>
      <c r="Z449" t="str">
        <f t="shared" si="12"/>
        <v>Mayor que 20 - hasta 30</v>
      </c>
      <c r="AA449">
        <f t="shared" si="13"/>
        <v>0</v>
      </c>
      <c r="AB449">
        <v>23670</v>
      </c>
      <c r="AC449" t="s">
        <v>129</v>
      </c>
      <c r="AD449" t="s">
        <v>718</v>
      </c>
      <c r="AE449">
        <v>0.79142900000000005</v>
      </c>
      <c r="AF449" t="s">
        <v>63</v>
      </c>
      <c r="AG449">
        <v>37.673506000000003</v>
      </c>
      <c r="AH449" t="s">
        <v>341</v>
      </c>
      <c r="AI449" t="s">
        <v>349</v>
      </c>
      <c r="AJ449">
        <v>0.98696099999999998</v>
      </c>
      <c r="AK449" t="s">
        <v>63</v>
      </c>
      <c r="AL449">
        <v>43.847518000000001</v>
      </c>
      <c r="AM449" t="s">
        <v>65</v>
      </c>
      <c r="AN449" s="7">
        <v>5820.248150720874</v>
      </c>
      <c r="AO449" t="s">
        <v>65</v>
      </c>
      <c r="AP449" s="3">
        <v>1548</v>
      </c>
      <c r="AQ449">
        <v>2</v>
      </c>
      <c r="AR449">
        <v>6829.27927</v>
      </c>
      <c r="AS449" t="s">
        <v>66</v>
      </c>
      <c r="AT449" t="s">
        <v>740</v>
      </c>
    </row>
    <row r="450" spans="1:46">
      <c r="A450">
        <v>455</v>
      </c>
      <c r="B450" t="s">
        <v>46</v>
      </c>
      <c r="C450">
        <v>23</v>
      </c>
      <c r="D450">
        <v>672</v>
      </c>
      <c r="E450" t="s">
        <v>741</v>
      </c>
      <c r="F450" t="s">
        <v>366</v>
      </c>
      <c r="G450">
        <v>23672</v>
      </c>
      <c r="H450">
        <v>23672</v>
      </c>
      <c r="I450" t="s">
        <v>288</v>
      </c>
      <c r="J450">
        <v>2304</v>
      </c>
      <c r="K450" t="s">
        <v>708</v>
      </c>
      <c r="L450" t="s">
        <v>91</v>
      </c>
      <c r="M450" t="s">
        <v>53</v>
      </c>
      <c r="N450">
        <v>36284</v>
      </c>
      <c r="O450" t="s">
        <v>53</v>
      </c>
      <c r="P450" t="s">
        <v>92</v>
      </c>
      <c r="Q450" t="s">
        <v>71</v>
      </c>
      <c r="R450" t="s">
        <v>93</v>
      </c>
      <c r="S450" t="s">
        <v>57</v>
      </c>
      <c r="T450" t="s">
        <v>58</v>
      </c>
      <c r="U450" t="s">
        <v>119</v>
      </c>
      <c r="V450">
        <v>0.65556999999999999</v>
      </c>
      <c r="W450">
        <v>2023</v>
      </c>
      <c r="X450" t="s">
        <v>109</v>
      </c>
      <c r="Y450" t="s">
        <v>110</v>
      </c>
      <c r="Z450" t="str">
        <f t="shared" si="12"/>
        <v>Mayor que 30 - hasta 40</v>
      </c>
      <c r="AA450">
        <f t="shared" si="13"/>
        <v>0</v>
      </c>
      <c r="AB450">
        <v>23672</v>
      </c>
      <c r="AC450" t="s">
        <v>129</v>
      </c>
      <c r="AD450" t="s">
        <v>714</v>
      </c>
      <c r="AE450">
        <v>0.451548</v>
      </c>
      <c r="AF450" t="s">
        <v>63</v>
      </c>
      <c r="AG450">
        <v>20.620815</v>
      </c>
      <c r="AH450" t="s">
        <v>341</v>
      </c>
      <c r="AI450" t="s">
        <v>349</v>
      </c>
      <c r="AJ450">
        <v>1.3818140000000001</v>
      </c>
      <c r="AK450" t="s">
        <v>76</v>
      </c>
      <c r="AL450">
        <v>70.519300000000001</v>
      </c>
      <c r="AM450" t="s">
        <v>65</v>
      </c>
      <c r="AN450" s="7">
        <v>500.92712645848752</v>
      </c>
      <c r="AO450" t="s">
        <v>65</v>
      </c>
      <c r="AP450" s="3">
        <v>343</v>
      </c>
      <c r="AQ450">
        <v>2</v>
      </c>
      <c r="AR450">
        <v>507.16564</v>
      </c>
      <c r="AS450" t="s">
        <v>66</v>
      </c>
      <c r="AT450" t="s">
        <v>742</v>
      </c>
    </row>
    <row r="451" spans="1:46">
      <c r="A451">
        <v>456</v>
      </c>
      <c r="B451" t="s">
        <v>46</v>
      </c>
      <c r="C451">
        <v>23</v>
      </c>
      <c r="D451">
        <v>675</v>
      </c>
      <c r="E451" t="s">
        <v>743</v>
      </c>
      <c r="F451" t="s">
        <v>366</v>
      </c>
      <c r="G451">
        <v>23675</v>
      </c>
      <c r="H451">
        <v>23675</v>
      </c>
      <c r="I451" t="s">
        <v>288</v>
      </c>
      <c r="J451">
        <v>2304</v>
      </c>
      <c r="K451" t="s">
        <v>708</v>
      </c>
      <c r="L451" t="s">
        <v>91</v>
      </c>
      <c r="M451" t="s">
        <v>53</v>
      </c>
      <c r="N451">
        <v>39715</v>
      </c>
      <c r="O451" t="s">
        <v>53</v>
      </c>
      <c r="P451" t="s">
        <v>92</v>
      </c>
      <c r="Q451" t="s">
        <v>71</v>
      </c>
      <c r="R451" t="s">
        <v>93</v>
      </c>
      <c r="S451" t="s">
        <v>57</v>
      </c>
      <c r="T451" t="s">
        <v>58</v>
      </c>
      <c r="U451" t="s">
        <v>59</v>
      </c>
      <c r="V451">
        <v>0.69800600000000002</v>
      </c>
      <c r="W451">
        <v>2023</v>
      </c>
      <c r="X451" t="s">
        <v>176</v>
      </c>
      <c r="Y451" t="s">
        <v>177</v>
      </c>
      <c r="Z451" t="str">
        <f t="shared" ref="Z451:Z514" si="14">IF(LEFT(Y451,10)="Irradiado_",
   RIGHT(Y451, LEN(Y451)-10),   Y451)</f>
        <v>Mayor que 20 - hasta 30</v>
      </c>
      <c r="AA451">
        <f t="shared" ref="AA451:AA514" si="15">IF(LEFT(Y451,10)="Irradiado_", 1, 0)</f>
        <v>0</v>
      </c>
      <c r="AB451">
        <v>23675</v>
      </c>
      <c r="AC451" t="s">
        <v>129</v>
      </c>
      <c r="AD451" t="s">
        <v>714</v>
      </c>
      <c r="AE451">
        <v>0.42964200000000002</v>
      </c>
      <c r="AF451" t="s">
        <v>63</v>
      </c>
      <c r="AG451">
        <v>22.000713999999999</v>
      </c>
      <c r="AH451" t="s">
        <v>129</v>
      </c>
      <c r="AI451" t="s">
        <v>130</v>
      </c>
      <c r="AJ451">
        <v>1.641777</v>
      </c>
      <c r="AK451" t="s">
        <v>76</v>
      </c>
      <c r="AL451">
        <v>86.089149000000006</v>
      </c>
      <c r="AM451" t="s">
        <v>65</v>
      </c>
      <c r="AN451" s="7">
        <v>690.33117067231001</v>
      </c>
      <c r="AO451" t="s">
        <v>65</v>
      </c>
      <c r="AP451" s="3">
        <v>189</v>
      </c>
      <c r="AQ451">
        <v>3</v>
      </c>
      <c r="AR451">
        <v>627.66720299999997</v>
      </c>
      <c r="AS451" t="s">
        <v>66</v>
      </c>
      <c r="AT451" t="s">
        <v>744</v>
      </c>
    </row>
    <row r="452" spans="1:46">
      <c r="A452">
        <v>457</v>
      </c>
      <c r="B452" t="s">
        <v>46</v>
      </c>
      <c r="C452">
        <v>23</v>
      </c>
      <c r="D452">
        <v>678</v>
      </c>
      <c r="E452" t="s">
        <v>244</v>
      </c>
      <c r="F452" t="s">
        <v>366</v>
      </c>
      <c r="G452">
        <v>23678</v>
      </c>
      <c r="H452">
        <v>23678</v>
      </c>
      <c r="I452" t="s">
        <v>288</v>
      </c>
      <c r="J452">
        <v>2307</v>
      </c>
      <c r="K452" t="s">
        <v>710</v>
      </c>
      <c r="L452" t="s">
        <v>69</v>
      </c>
      <c r="M452" t="s">
        <v>53</v>
      </c>
      <c r="N452">
        <v>28939</v>
      </c>
      <c r="O452" t="s">
        <v>53</v>
      </c>
      <c r="P452" t="s">
        <v>70</v>
      </c>
      <c r="Q452" t="s">
        <v>71</v>
      </c>
      <c r="R452" t="s">
        <v>93</v>
      </c>
      <c r="S452" t="s">
        <v>57</v>
      </c>
      <c r="T452" t="s">
        <v>58</v>
      </c>
      <c r="U452" t="s">
        <v>59</v>
      </c>
      <c r="V452">
        <v>0.58221800000000001</v>
      </c>
      <c r="W452">
        <v>2023</v>
      </c>
      <c r="X452" t="s">
        <v>217</v>
      </c>
      <c r="Y452" t="s">
        <v>218</v>
      </c>
      <c r="Z452" t="str">
        <f t="shared" si="14"/>
        <v>Mayor que 40 - hasta 50</v>
      </c>
      <c r="AA452">
        <f t="shared" si="15"/>
        <v>0</v>
      </c>
      <c r="AB452">
        <v>23678</v>
      </c>
      <c r="AC452" t="s">
        <v>129</v>
      </c>
      <c r="AD452" t="s">
        <v>711</v>
      </c>
      <c r="AE452">
        <v>0.53100199999999997</v>
      </c>
      <c r="AF452" t="s">
        <v>63</v>
      </c>
      <c r="AG452">
        <v>19.116651999999998</v>
      </c>
      <c r="AH452" t="s">
        <v>129</v>
      </c>
      <c r="AI452" t="s">
        <v>130</v>
      </c>
      <c r="AJ452">
        <v>0.86772000000000005</v>
      </c>
      <c r="AK452" t="s">
        <v>63</v>
      </c>
      <c r="AL452">
        <v>37.254624999999997</v>
      </c>
      <c r="AM452" t="s">
        <v>64</v>
      </c>
      <c r="AN452" s="7">
        <v>3651.240885142382</v>
      </c>
      <c r="AO452" t="s">
        <v>65</v>
      </c>
      <c r="AP452" s="3">
        <v>519</v>
      </c>
      <c r="AQ452">
        <v>2</v>
      </c>
      <c r="AR452">
        <v>3992.8403130000002</v>
      </c>
      <c r="AS452" t="s">
        <v>66</v>
      </c>
      <c r="AT452" t="s">
        <v>745</v>
      </c>
    </row>
    <row r="453" spans="1:46">
      <c r="A453">
        <v>458</v>
      </c>
      <c r="B453" t="s">
        <v>46</v>
      </c>
      <c r="C453">
        <v>23</v>
      </c>
      <c r="D453">
        <v>686</v>
      </c>
      <c r="E453" t="s">
        <v>746</v>
      </c>
      <c r="F453" t="s">
        <v>366</v>
      </c>
      <c r="G453">
        <v>23686</v>
      </c>
      <c r="H453">
        <v>23686</v>
      </c>
      <c r="I453" t="s">
        <v>288</v>
      </c>
      <c r="J453">
        <v>2307</v>
      </c>
      <c r="K453" t="s">
        <v>710</v>
      </c>
      <c r="L453" t="s">
        <v>69</v>
      </c>
      <c r="M453" t="s">
        <v>53</v>
      </c>
      <c r="N453">
        <v>54610</v>
      </c>
      <c r="O453" t="s">
        <v>53</v>
      </c>
      <c r="P453" t="s">
        <v>92</v>
      </c>
      <c r="Q453" t="s">
        <v>71</v>
      </c>
      <c r="R453" t="s">
        <v>105</v>
      </c>
      <c r="S453" t="s">
        <v>57</v>
      </c>
      <c r="T453" t="s">
        <v>58</v>
      </c>
      <c r="U453" t="s">
        <v>81</v>
      </c>
      <c r="V453">
        <v>0.62573900000000005</v>
      </c>
      <c r="W453">
        <v>2023</v>
      </c>
      <c r="X453" t="s">
        <v>106</v>
      </c>
      <c r="Y453" t="s">
        <v>107</v>
      </c>
      <c r="Z453" t="str">
        <f t="shared" si="14"/>
        <v>Mayor que 80 - hasta 100</v>
      </c>
      <c r="AA453">
        <f t="shared" si="15"/>
        <v>0</v>
      </c>
      <c r="AB453">
        <v>23686</v>
      </c>
      <c r="AC453" t="s">
        <v>129</v>
      </c>
      <c r="AD453" t="s">
        <v>711</v>
      </c>
      <c r="AE453">
        <v>0.20031399999999999</v>
      </c>
      <c r="AF453" t="s">
        <v>63</v>
      </c>
      <c r="AG453">
        <v>9.639697</v>
      </c>
      <c r="AH453" t="s">
        <v>129</v>
      </c>
      <c r="AI453" t="s">
        <v>130</v>
      </c>
      <c r="AJ453">
        <v>0.60456500000000002</v>
      </c>
      <c r="AK453" t="s">
        <v>63</v>
      </c>
      <c r="AL453">
        <v>30.123253999999999</v>
      </c>
      <c r="AM453" t="s">
        <v>65</v>
      </c>
      <c r="AN453" s="7">
        <v>1027.4596662511631</v>
      </c>
      <c r="AO453" t="s">
        <v>65</v>
      </c>
      <c r="AP453" s="3">
        <v>424</v>
      </c>
      <c r="AQ453">
        <v>1</v>
      </c>
      <c r="AR453">
        <v>1490.144112</v>
      </c>
      <c r="AS453" t="s">
        <v>66</v>
      </c>
      <c r="AT453" t="s">
        <v>747</v>
      </c>
    </row>
    <row r="454" spans="1:46">
      <c r="A454">
        <v>462</v>
      </c>
      <c r="B454" t="s">
        <v>46</v>
      </c>
      <c r="C454">
        <v>23</v>
      </c>
      <c r="D454">
        <v>807</v>
      </c>
      <c r="E454" t="s">
        <v>748</v>
      </c>
      <c r="F454" t="s">
        <v>366</v>
      </c>
      <c r="G454">
        <v>23807</v>
      </c>
      <c r="H454">
        <v>23807</v>
      </c>
      <c r="I454" t="s">
        <v>288</v>
      </c>
      <c r="J454">
        <v>2301</v>
      </c>
      <c r="K454" t="s">
        <v>749</v>
      </c>
      <c r="L454" t="s">
        <v>91</v>
      </c>
      <c r="M454" t="s">
        <v>53</v>
      </c>
      <c r="N454">
        <v>98938</v>
      </c>
      <c r="O454" t="s">
        <v>53</v>
      </c>
      <c r="P454" t="s">
        <v>92</v>
      </c>
      <c r="Q454" t="s">
        <v>71</v>
      </c>
      <c r="R454" t="s">
        <v>72</v>
      </c>
      <c r="S454" t="s">
        <v>727</v>
      </c>
      <c r="T454" t="s">
        <v>73</v>
      </c>
      <c r="U454" t="s">
        <v>115</v>
      </c>
      <c r="V454">
        <v>0.81525999999999998</v>
      </c>
      <c r="W454">
        <v>2023</v>
      </c>
      <c r="X454" t="s">
        <v>109</v>
      </c>
      <c r="Y454" t="s">
        <v>110</v>
      </c>
      <c r="Z454" t="str">
        <f t="shared" si="14"/>
        <v>Mayor que 30 - hasta 40</v>
      </c>
      <c r="AA454">
        <f t="shared" si="15"/>
        <v>0</v>
      </c>
      <c r="AB454">
        <v>23807</v>
      </c>
      <c r="AC454" t="s">
        <v>129</v>
      </c>
      <c r="AD454" t="s">
        <v>748</v>
      </c>
      <c r="AE454">
        <v>0</v>
      </c>
      <c r="AF454" t="s">
        <v>63</v>
      </c>
      <c r="AG454">
        <v>0</v>
      </c>
      <c r="AH454" t="s">
        <v>129</v>
      </c>
      <c r="AI454" t="s">
        <v>130</v>
      </c>
      <c r="AJ454">
        <v>2.5625939999999998</v>
      </c>
      <c r="AK454" t="s">
        <v>77</v>
      </c>
      <c r="AL454">
        <v>85.011688000000007</v>
      </c>
      <c r="AM454" t="s">
        <v>97</v>
      </c>
      <c r="AN454" s="7">
        <v>8254.8345153254468</v>
      </c>
      <c r="AO454" t="s">
        <v>65</v>
      </c>
      <c r="AP454" s="3">
        <v>1420</v>
      </c>
      <c r="AQ454">
        <v>1</v>
      </c>
      <c r="AR454">
        <v>16496.650307</v>
      </c>
      <c r="AS454" t="s">
        <v>66</v>
      </c>
      <c r="AT454" t="s">
        <v>137</v>
      </c>
    </row>
    <row r="455" spans="1:46">
      <c r="A455">
        <v>459</v>
      </c>
      <c r="B455" t="s">
        <v>46</v>
      </c>
      <c r="C455">
        <v>23</v>
      </c>
      <c r="D455">
        <v>855</v>
      </c>
      <c r="E455" t="s">
        <v>750</v>
      </c>
      <c r="F455" t="s">
        <v>366</v>
      </c>
      <c r="G455">
        <v>23855</v>
      </c>
      <c r="H455">
        <v>23855</v>
      </c>
      <c r="I455" t="s">
        <v>288</v>
      </c>
      <c r="J455">
        <v>2301</v>
      </c>
      <c r="K455" t="s">
        <v>749</v>
      </c>
      <c r="L455" t="s">
        <v>69</v>
      </c>
      <c r="M455" t="s">
        <v>53</v>
      </c>
      <c r="N455">
        <v>38202</v>
      </c>
      <c r="O455" t="s">
        <v>53</v>
      </c>
      <c r="P455" t="s">
        <v>92</v>
      </c>
      <c r="Q455" t="s">
        <v>71</v>
      </c>
      <c r="R455" t="s">
        <v>122</v>
      </c>
      <c r="S455" t="s">
        <v>727</v>
      </c>
      <c r="T455" t="s">
        <v>73</v>
      </c>
      <c r="U455" t="s">
        <v>119</v>
      </c>
      <c r="V455">
        <v>0.69708300000000001</v>
      </c>
      <c r="W455">
        <v>2023</v>
      </c>
      <c r="X455" t="s">
        <v>109</v>
      </c>
      <c r="Y455" t="s">
        <v>110</v>
      </c>
      <c r="Z455" t="str">
        <f t="shared" si="14"/>
        <v>Mayor que 30 - hasta 40</v>
      </c>
      <c r="AA455">
        <f t="shared" si="15"/>
        <v>0</v>
      </c>
      <c r="AB455">
        <v>23855</v>
      </c>
      <c r="AC455" t="s">
        <v>129</v>
      </c>
      <c r="AD455" t="s">
        <v>748</v>
      </c>
      <c r="AE455">
        <v>0.79008100000000003</v>
      </c>
      <c r="AF455" t="s">
        <v>63</v>
      </c>
      <c r="AG455">
        <v>24.420815000000001</v>
      </c>
      <c r="AH455" t="s">
        <v>129</v>
      </c>
      <c r="AI455" t="s">
        <v>130</v>
      </c>
      <c r="AJ455">
        <v>2.545004</v>
      </c>
      <c r="AK455" t="s">
        <v>77</v>
      </c>
      <c r="AL455">
        <v>83.296255000000002</v>
      </c>
      <c r="AM455" t="s">
        <v>97</v>
      </c>
      <c r="AN455" s="7">
        <v>10494.167397370809</v>
      </c>
      <c r="AO455" t="s">
        <v>65</v>
      </c>
      <c r="AP455" s="3">
        <v>993</v>
      </c>
      <c r="AQ455">
        <v>1</v>
      </c>
      <c r="AR455">
        <v>21023.162254999999</v>
      </c>
      <c r="AS455" t="s">
        <v>66</v>
      </c>
      <c r="AT455" t="s">
        <v>137</v>
      </c>
    </row>
    <row r="456" spans="1:46">
      <c r="A456">
        <v>863</v>
      </c>
      <c r="B456" t="s">
        <v>46</v>
      </c>
      <c r="C456">
        <v>25</v>
      </c>
      <c r="D456">
        <v>1</v>
      </c>
      <c r="E456" t="s">
        <v>751</v>
      </c>
      <c r="F456" t="s">
        <v>752</v>
      </c>
      <c r="G456">
        <v>25001</v>
      </c>
      <c r="H456">
        <v>25001</v>
      </c>
      <c r="I456" t="s">
        <v>49</v>
      </c>
      <c r="J456">
        <v>2502</v>
      </c>
      <c r="K456" t="s">
        <v>753</v>
      </c>
      <c r="L456" t="s">
        <v>91</v>
      </c>
      <c r="M456" t="s">
        <v>53</v>
      </c>
      <c r="N456">
        <v>13638</v>
      </c>
      <c r="O456" t="s">
        <v>53</v>
      </c>
      <c r="P456" t="s">
        <v>70</v>
      </c>
      <c r="Q456" t="s">
        <v>71</v>
      </c>
      <c r="R456" t="s">
        <v>93</v>
      </c>
      <c r="S456" t="s">
        <v>57</v>
      </c>
      <c r="T456" t="s">
        <v>58</v>
      </c>
      <c r="U456" t="s">
        <v>81</v>
      </c>
      <c r="V456">
        <v>0.28165800000000002</v>
      </c>
      <c r="W456" t="s">
        <v>53</v>
      </c>
      <c r="X456" t="s">
        <v>53</v>
      </c>
      <c r="Y456" t="s">
        <v>187</v>
      </c>
      <c r="Z456" t="str">
        <f t="shared" si="14"/>
        <v>Mayor que 80 - hasta 100</v>
      </c>
      <c r="AA456">
        <f t="shared" si="15"/>
        <v>1</v>
      </c>
      <c r="AB456">
        <v>25001</v>
      </c>
      <c r="AC456" t="s">
        <v>564</v>
      </c>
      <c r="AD456" t="s">
        <v>754</v>
      </c>
      <c r="AE456">
        <v>0.76019700000000001</v>
      </c>
      <c r="AF456" t="s">
        <v>63</v>
      </c>
      <c r="AG456">
        <v>26.280612999999999</v>
      </c>
      <c r="AH456" t="s">
        <v>564</v>
      </c>
      <c r="AI456" t="s">
        <v>565</v>
      </c>
      <c r="AJ456">
        <v>2.2129270000000001</v>
      </c>
      <c r="AK456" t="s">
        <v>77</v>
      </c>
      <c r="AL456">
        <v>90.167322999999996</v>
      </c>
      <c r="AM456" s="4" t="s">
        <v>65</v>
      </c>
      <c r="AN456" s="5">
        <v>4039.2620769562423</v>
      </c>
      <c r="AO456" s="4" t="s">
        <v>65</v>
      </c>
      <c r="AP456" s="6">
        <v>1455</v>
      </c>
      <c r="AQ456">
        <v>2</v>
      </c>
      <c r="AR456">
        <v>4117.263465</v>
      </c>
      <c r="AS456" t="s">
        <v>66</v>
      </c>
      <c r="AT456" t="s">
        <v>53</v>
      </c>
    </row>
    <row r="457" spans="1:46">
      <c r="A457">
        <v>756</v>
      </c>
      <c r="B457" t="s">
        <v>46</v>
      </c>
      <c r="C457">
        <v>25</v>
      </c>
      <c r="D457">
        <v>19</v>
      </c>
      <c r="E457" t="s">
        <v>755</v>
      </c>
      <c r="F457" t="s">
        <v>752</v>
      </c>
      <c r="G457">
        <v>25019</v>
      </c>
      <c r="H457">
        <v>25019</v>
      </c>
      <c r="I457" t="s">
        <v>49</v>
      </c>
      <c r="J457">
        <v>2504</v>
      </c>
      <c r="K457" t="s">
        <v>756</v>
      </c>
      <c r="L457" t="s">
        <v>91</v>
      </c>
      <c r="M457" t="s">
        <v>53</v>
      </c>
      <c r="N457">
        <v>7494</v>
      </c>
      <c r="O457" t="s">
        <v>53</v>
      </c>
      <c r="P457" t="s">
        <v>70</v>
      </c>
      <c r="Q457" t="s">
        <v>71</v>
      </c>
      <c r="R457" t="s">
        <v>122</v>
      </c>
      <c r="S457" t="s">
        <v>57</v>
      </c>
      <c r="T457" t="s">
        <v>58</v>
      </c>
      <c r="U457" t="s">
        <v>81</v>
      </c>
      <c r="V457">
        <v>0.414933</v>
      </c>
      <c r="W457" t="s">
        <v>53</v>
      </c>
      <c r="X457" t="s">
        <v>53</v>
      </c>
      <c r="Y457" t="s">
        <v>127</v>
      </c>
      <c r="Z457" t="str">
        <f t="shared" si="14"/>
        <v>Mayor que 70 - hasta 80</v>
      </c>
      <c r="AA457">
        <f t="shared" si="15"/>
        <v>1</v>
      </c>
      <c r="AB457">
        <v>25019</v>
      </c>
      <c r="AC457" t="s">
        <v>330</v>
      </c>
      <c r="AD457" t="s">
        <v>757</v>
      </c>
      <c r="AE457">
        <v>0.49102499999999999</v>
      </c>
      <c r="AF457" t="s">
        <v>63</v>
      </c>
      <c r="AG457">
        <v>15.672287000000001</v>
      </c>
      <c r="AH457" t="s">
        <v>330</v>
      </c>
      <c r="AI457" t="s">
        <v>332</v>
      </c>
      <c r="AJ457">
        <v>1.2144710000000001</v>
      </c>
      <c r="AK457" t="s">
        <v>76</v>
      </c>
      <c r="AL457">
        <v>55.228130999999998</v>
      </c>
      <c r="AM457" s="4" t="s">
        <v>65</v>
      </c>
      <c r="AN457" s="5">
        <v>3451.8174802564845</v>
      </c>
      <c r="AO457" s="4" t="s">
        <v>65</v>
      </c>
      <c r="AP457" s="6">
        <v>1915</v>
      </c>
      <c r="AQ457">
        <v>2</v>
      </c>
      <c r="AR457">
        <v>2206.5547270000002</v>
      </c>
      <c r="AS457" t="s">
        <v>66</v>
      </c>
      <c r="AT457" t="s">
        <v>53</v>
      </c>
    </row>
    <row r="458" spans="1:46">
      <c r="A458">
        <v>757</v>
      </c>
      <c r="B458" t="s">
        <v>46</v>
      </c>
      <c r="C458">
        <v>25</v>
      </c>
      <c r="D458">
        <v>35</v>
      </c>
      <c r="E458" t="s">
        <v>758</v>
      </c>
      <c r="F458" t="s">
        <v>752</v>
      </c>
      <c r="G458">
        <v>25035</v>
      </c>
      <c r="H458">
        <v>25035</v>
      </c>
      <c r="I458" t="s">
        <v>49</v>
      </c>
      <c r="J458">
        <v>2514</v>
      </c>
      <c r="K458" t="s">
        <v>759</v>
      </c>
      <c r="L458" t="s">
        <v>91</v>
      </c>
      <c r="M458" t="s">
        <v>53</v>
      </c>
      <c r="N458">
        <v>17161</v>
      </c>
      <c r="O458" t="s">
        <v>53</v>
      </c>
      <c r="P458" t="s">
        <v>70</v>
      </c>
      <c r="Q458" t="s">
        <v>118</v>
      </c>
      <c r="R458" t="s">
        <v>56</v>
      </c>
      <c r="S458" t="s">
        <v>57</v>
      </c>
      <c r="T458" t="s">
        <v>58</v>
      </c>
      <c r="U458" t="s">
        <v>81</v>
      </c>
      <c r="V458">
        <v>0.34012799999999999</v>
      </c>
      <c r="W458" t="s">
        <v>53</v>
      </c>
      <c r="X458" t="s">
        <v>53</v>
      </c>
      <c r="Y458" t="s">
        <v>120</v>
      </c>
      <c r="Z458" t="str">
        <f t="shared" si="14"/>
        <v>Mayor que 200 - hasta 250</v>
      </c>
      <c r="AA458">
        <f t="shared" si="15"/>
        <v>1</v>
      </c>
      <c r="AB458">
        <v>25035</v>
      </c>
      <c r="AC458" t="s">
        <v>564</v>
      </c>
      <c r="AD458" t="s">
        <v>754</v>
      </c>
      <c r="AE458">
        <v>1.9486920000000001</v>
      </c>
      <c r="AF458" t="s">
        <v>76</v>
      </c>
      <c r="AG458">
        <v>58.826912</v>
      </c>
      <c r="AH458" t="s">
        <v>330</v>
      </c>
      <c r="AI458" t="s">
        <v>332</v>
      </c>
      <c r="AJ458">
        <v>2.6575030000000002</v>
      </c>
      <c r="AK458" t="s">
        <v>77</v>
      </c>
      <c r="AL458">
        <v>68.756557999999998</v>
      </c>
      <c r="AM458" s="4" t="s">
        <v>65</v>
      </c>
      <c r="AN458" s="5">
        <v>8244.8403915733143</v>
      </c>
      <c r="AO458" s="4" t="s">
        <v>65</v>
      </c>
      <c r="AP458" s="6">
        <v>4979</v>
      </c>
      <c r="AQ458">
        <v>3</v>
      </c>
      <c r="AR458">
        <v>6512.4766200000004</v>
      </c>
      <c r="AS458" t="s">
        <v>66</v>
      </c>
      <c r="AT458" t="s">
        <v>53</v>
      </c>
    </row>
    <row r="459" spans="1:46">
      <c r="A459">
        <v>758</v>
      </c>
      <c r="B459" t="s">
        <v>46</v>
      </c>
      <c r="C459">
        <v>25</v>
      </c>
      <c r="D459">
        <v>40</v>
      </c>
      <c r="E459" t="s">
        <v>760</v>
      </c>
      <c r="F459" t="s">
        <v>752</v>
      </c>
      <c r="G459">
        <v>25040</v>
      </c>
      <c r="H459">
        <v>25040</v>
      </c>
      <c r="I459" t="s">
        <v>49</v>
      </c>
      <c r="J459">
        <v>2514</v>
      </c>
      <c r="K459" t="s">
        <v>759</v>
      </c>
      <c r="L459" t="s">
        <v>91</v>
      </c>
      <c r="M459" t="s">
        <v>53</v>
      </c>
      <c r="N459">
        <v>16059</v>
      </c>
      <c r="O459" t="s">
        <v>53</v>
      </c>
      <c r="P459" t="s">
        <v>70</v>
      </c>
      <c r="Q459" t="s">
        <v>71</v>
      </c>
      <c r="R459" t="s">
        <v>56</v>
      </c>
      <c r="S459" t="s">
        <v>57</v>
      </c>
      <c r="T459" t="s">
        <v>58</v>
      </c>
      <c r="U459" t="s">
        <v>81</v>
      </c>
      <c r="V459">
        <v>0.433979</v>
      </c>
      <c r="W459" t="s">
        <v>53</v>
      </c>
      <c r="X459" t="s">
        <v>53</v>
      </c>
      <c r="Y459" t="s">
        <v>136</v>
      </c>
      <c r="Z459" t="str">
        <f t="shared" si="14"/>
        <v>Mayor que 100 - hasta 120</v>
      </c>
      <c r="AA459">
        <f t="shared" si="15"/>
        <v>1</v>
      </c>
      <c r="AB459">
        <v>25040</v>
      </c>
      <c r="AC459" t="s">
        <v>330</v>
      </c>
      <c r="AD459" t="s">
        <v>757</v>
      </c>
      <c r="AE459">
        <v>1.2805470000000001</v>
      </c>
      <c r="AF459" t="s">
        <v>76</v>
      </c>
      <c r="AG459">
        <v>23.176449999999999</v>
      </c>
      <c r="AH459" t="s">
        <v>330</v>
      </c>
      <c r="AI459" t="s">
        <v>332</v>
      </c>
      <c r="AJ459">
        <v>2.0039920000000002</v>
      </c>
      <c r="AK459" t="s">
        <v>77</v>
      </c>
      <c r="AL459">
        <v>62.732294000000003</v>
      </c>
      <c r="AM459" s="4" t="s">
        <v>65</v>
      </c>
      <c r="AN459" s="5">
        <v>9161.9943860733838</v>
      </c>
      <c r="AO459" s="4" t="s">
        <v>65</v>
      </c>
      <c r="AP459" s="6">
        <v>5352</v>
      </c>
      <c r="AQ459">
        <v>4</v>
      </c>
      <c r="AR459">
        <v>5929.3801709999998</v>
      </c>
      <c r="AS459" t="s">
        <v>66</v>
      </c>
      <c r="AT459" t="s">
        <v>53</v>
      </c>
    </row>
    <row r="460" spans="1:46">
      <c r="A460">
        <v>759</v>
      </c>
      <c r="B460" t="s">
        <v>46</v>
      </c>
      <c r="C460">
        <v>25</v>
      </c>
      <c r="D460">
        <v>53</v>
      </c>
      <c r="E460" t="s">
        <v>761</v>
      </c>
      <c r="F460" t="s">
        <v>752</v>
      </c>
      <c r="G460">
        <v>25053</v>
      </c>
      <c r="H460">
        <v>25053</v>
      </c>
      <c r="I460" t="s">
        <v>49</v>
      </c>
      <c r="J460">
        <v>2513</v>
      </c>
      <c r="K460" t="s">
        <v>762</v>
      </c>
      <c r="L460" t="s">
        <v>91</v>
      </c>
      <c r="M460" t="s">
        <v>53</v>
      </c>
      <c r="N460">
        <v>12201</v>
      </c>
      <c r="O460" t="s">
        <v>53</v>
      </c>
      <c r="P460" t="s">
        <v>70</v>
      </c>
      <c r="Q460" t="s">
        <v>71</v>
      </c>
      <c r="R460" t="s">
        <v>105</v>
      </c>
      <c r="S460" t="s">
        <v>57</v>
      </c>
      <c r="T460" t="s">
        <v>58</v>
      </c>
      <c r="U460" t="s">
        <v>81</v>
      </c>
      <c r="V460">
        <v>0.35593200000000003</v>
      </c>
      <c r="W460" t="s">
        <v>53</v>
      </c>
      <c r="X460" t="s">
        <v>53</v>
      </c>
      <c r="Y460" t="s">
        <v>195</v>
      </c>
      <c r="Z460" t="str">
        <f t="shared" si="14"/>
        <v>Mayor que 250 - hasta 300</v>
      </c>
      <c r="AA460">
        <f t="shared" si="15"/>
        <v>1</v>
      </c>
      <c r="AB460">
        <v>25053</v>
      </c>
      <c r="AC460" t="s">
        <v>330</v>
      </c>
      <c r="AD460" t="s">
        <v>763</v>
      </c>
      <c r="AE460">
        <v>0.54837899999999995</v>
      </c>
      <c r="AF460" t="s">
        <v>63</v>
      </c>
      <c r="AG460">
        <v>13.298276</v>
      </c>
      <c r="AH460" t="s">
        <v>330</v>
      </c>
      <c r="AI460" t="s">
        <v>332</v>
      </c>
      <c r="AJ460">
        <v>2.0382739999999999</v>
      </c>
      <c r="AK460" t="s">
        <v>77</v>
      </c>
      <c r="AL460">
        <v>79.250670999999997</v>
      </c>
      <c r="AM460" s="4" t="s">
        <v>65</v>
      </c>
      <c r="AN460" s="5">
        <v>8343.2253147148076</v>
      </c>
      <c r="AO460" s="4" t="s">
        <v>65</v>
      </c>
      <c r="AP460" s="6">
        <v>3649</v>
      </c>
      <c r="AQ460">
        <v>2</v>
      </c>
      <c r="AR460">
        <v>4414.4012629999997</v>
      </c>
      <c r="AS460" t="s">
        <v>66</v>
      </c>
      <c r="AT460" t="s">
        <v>53</v>
      </c>
    </row>
    <row r="461" spans="1:46">
      <c r="A461">
        <v>760</v>
      </c>
      <c r="B461" t="s">
        <v>46</v>
      </c>
      <c r="C461">
        <v>25</v>
      </c>
      <c r="D461">
        <v>86</v>
      </c>
      <c r="E461" t="s">
        <v>764</v>
      </c>
      <c r="F461" t="s">
        <v>752</v>
      </c>
      <c r="G461">
        <v>25086</v>
      </c>
      <c r="H461">
        <v>25086</v>
      </c>
      <c r="I461" t="s">
        <v>49</v>
      </c>
      <c r="J461">
        <v>2506</v>
      </c>
      <c r="K461" t="s">
        <v>765</v>
      </c>
      <c r="L461" t="s">
        <v>80</v>
      </c>
      <c r="M461" t="s">
        <v>53</v>
      </c>
      <c r="N461">
        <v>2079</v>
      </c>
      <c r="O461" t="s">
        <v>53</v>
      </c>
      <c r="P461" t="s">
        <v>70</v>
      </c>
      <c r="Q461" t="s">
        <v>71</v>
      </c>
      <c r="R461" t="s">
        <v>105</v>
      </c>
      <c r="S461" t="s">
        <v>57</v>
      </c>
      <c r="T461" t="s">
        <v>58</v>
      </c>
      <c r="U461" t="s">
        <v>81</v>
      </c>
      <c r="V461">
        <v>0.501305</v>
      </c>
      <c r="W461" t="s">
        <v>53</v>
      </c>
      <c r="X461" t="s">
        <v>53</v>
      </c>
      <c r="Y461" t="s">
        <v>87</v>
      </c>
      <c r="Z461" t="str">
        <f t="shared" si="14"/>
        <v>Mayor que 40 - hasta 50</v>
      </c>
      <c r="AA461">
        <f t="shared" si="15"/>
        <v>1</v>
      </c>
      <c r="AB461">
        <v>25086</v>
      </c>
      <c r="AC461" t="s">
        <v>564</v>
      </c>
      <c r="AD461" t="s">
        <v>569</v>
      </c>
      <c r="AE461">
        <v>1.5217050000000001</v>
      </c>
      <c r="AF461" t="s">
        <v>76</v>
      </c>
      <c r="AG461">
        <v>67.367114000000001</v>
      </c>
      <c r="AH461" t="s">
        <v>564</v>
      </c>
      <c r="AI461" t="s">
        <v>565</v>
      </c>
      <c r="AJ461">
        <v>2.572524</v>
      </c>
      <c r="AK461" t="s">
        <v>77</v>
      </c>
      <c r="AL461">
        <v>96.951890000000006</v>
      </c>
      <c r="AM461" s="4" t="s">
        <v>97</v>
      </c>
      <c r="AN461" s="5">
        <v>12965.371933326922</v>
      </c>
      <c r="AO461" s="4" t="s">
        <v>65</v>
      </c>
      <c r="AP461" s="6">
        <v>442</v>
      </c>
      <c r="AQ461">
        <v>3</v>
      </c>
      <c r="AR461">
        <v>9097.8961650000001</v>
      </c>
      <c r="AS461" t="s">
        <v>66</v>
      </c>
      <c r="AT461" t="s">
        <v>53</v>
      </c>
    </row>
    <row r="462" spans="1:46">
      <c r="A462">
        <v>761</v>
      </c>
      <c r="B462" t="s">
        <v>46</v>
      </c>
      <c r="C462">
        <v>25</v>
      </c>
      <c r="D462">
        <v>95</v>
      </c>
      <c r="E462" t="s">
        <v>766</v>
      </c>
      <c r="F462" t="s">
        <v>752</v>
      </c>
      <c r="G462">
        <v>25095</v>
      </c>
      <c r="H462">
        <v>25095</v>
      </c>
      <c r="I462" t="s">
        <v>49</v>
      </c>
      <c r="J462">
        <v>2506</v>
      </c>
      <c r="K462" t="s">
        <v>765</v>
      </c>
      <c r="L462" t="s">
        <v>80</v>
      </c>
      <c r="M462" t="s">
        <v>53</v>
      </c>
      <c r="N462">
        <v>2816</v>
      </c>
      <c r="O462" t="s">
        <v>53</v>
      </c>
      <c r="P462" t="s">
        <v>70</v>
      </c>
      <c r="Q462" t="s">
        <v>71</v>
      </c>
      <c r="R462" t="s">
        <v>93</v>
      </c>
      <c r="S462" t="s">
        <v>57</v>
      </c>
      <c r="T462" t="s">
        <v>58</v>
      </c>
      <c r="U462" t="s">
        <v>81</v>
      </c>
      <c r="V462">
        <v>0.56809299999999996</v>
      </c>
      <c r="W462" t="s">
        <v>53</v>
      </c>
      <c r="X462" t="s">
        <v>53</v>
      </c>
      <c r="Y462" t="s">
        <v>87</v>
      </c>
      <c r="Z462" t="str">
        <f t="shared" si="14"/>
        <v>Mayor que 40 - hasta 50</v>
      </c>
      <c r="AA462">
        <f t="shared" si="15"/>
        <v>1</v>
      </c>
      <c r="AB462">
        <v>25095</v>
      </c>
      <c r="AC462" t="s">
        <v>330</v>
      </c>
      <c r="AD462" t="s">
        <v>757</v>
      </c>
      <c r="AE462">
        <v>1.7165919999999999</v>
      </c>
      <c r="AF462" t="s">
        <v>76</v>
      </c>
      <c r="AG462">
        <v>36.203153</v>
      </c>
      <c r="AH462" t="s">
        <v>330</v>
      </c>
      <c r="AI462" t="s">
        <v>332</v>
      </c>
      <c r="AJ462">
        <v>2.4400379999999999</v>
      </c>
      <c r="AK462" t="s">
        <v>77</v>
      </c>
      <c r="AL462">
        <v>75.758996999999994</v>
      </c>
      <c r="AM462" s="4" t="s">
        <v>65</v>
      </c>
      <c r="AN462" s="5">
        <v>4904.8061105013676</v>
      </c>
      <c r="AO462" s="4" t="s">
        <v>65</v>
      </c>
      <c r="AP462" s="6">
        <v>1631</v>
      </c>
      <c r="AQ462">
        <v>4</v>
      </c>
      <c r="AR462">
        <v>4565.5683479999998</v>
      </c>
      <c r="AS462" t="s">
        <v>66</v>
      </c>
      <c r="AT462" t="s">
        <v>53</v>
      </c>
    </row>
    <row r="463" spans="1:46">
      <c r="A463">
        <v>762</v>
      </c>
      <c r="B463" t="s">
        <v>46</v>
      </c>
      <c r="C463">
        <v>25</v>
      </c>
      <c r="D463">
        <v>99</v>
      </c>
      <c r="E463" t="s">
        <v>767</v>
      </c>
      <c r="F463" t="s">
        <v>752</v>
      </c>
      <c r="G463">
        <v>25099</v>
      </c>
      <c r="H463">
        <v>25099</v>
      </c>
      <c r="I463" t="s">
        <v>49</v>
      </c>
      <c r="J463">
        <v>2511</v>
      </c>
      <c r="K463" t="s">
        <v>768</v>
      </c>
      <c r="L463" t="s">
        <v>51</v>
      </c>
      <c r="M463" t="s">
        <v>53</v>
      </c>
      <c r="N463">
        <v>11830</v>
      </c>
      <c r="O463" t="s">
        <v>53</v>
      </c>
      <c r="P463" t="s">
        <v>70</v>
      </c>
      <c r="Q463" t="s">
        <v>71</v>
      </c>
      <c r="R463" t="s">
        <v>72</v>
      </c>
      <c r="S463" t="s">
        <v>57</v>
      </c>
      <c r="T463" t="s">
        <v>58</v>
      </c>
      <c r="U463" t="s">
        <v>81</v>
      </c>
      <c r="V463">
        <v>0.535694</v>
      </c>
      <c r="W463" t="s">
        <v>53</v>
      </c>
      <c r="X463" t="s">
        <v>53</v>
      </c>
      <c r="Y463" t="s">
        <v>437</v>
      </c>
      <c r="Z463" t="str">
        <f t="shared" si="14"/>
        <v>Mayor que 160 - hasta 180</v>
      </c>
      <c r="AA463">
        <f t="shared" si="15"/>
        <v>1</v>
      </c>
      <c r="AB463">
        <v>25099</v>
      </c>
      <c r="AC463" t="s">
        <v>330</v>
      </c>
      <c r="AD463" t="s">
        <v>769</v>
      </c>
      <c r="AE463">
        <v>0.50639400000000001</v>
      </c>
      <c r="AF463" t="s">
        <v>63</v>
      </c>
      <c r="AG463">
        <v>13.850967000000001</v>
      </c>
      <c r="AH463" t="s">
        <v>330</v>
      </c>
      <c r="AI463" t="s">
        <v>332</v>
      </c>
      <c r="AJ463">
        <v>1.0365150000000001</v>
      </c>
      <c r="AK463" t="s">
        <v>76</v>
      </c>
      <c r="AL463">
        <v>39.63158</v>
      </c>
      <c r="AM463" s="4" t="s">
        <v>64</v>
      </c>
      <c r="AN463" s="5">
        <v>4645.7980271783763</v>
      </c>
      <c r="AO463" s="4" t="s">
        <v>65</v>
      </c>
      <c r="AP463" s="6">
        <v>1003</v>
      </c>
      <c r="AQ463">
        <v>4</v>
      </c>
      <c r="AR463">
        <v>3774.923984</v>
      </c>
      <c r="AS463" t="s">
        <v>66</v>
      </c>
      <c r="AT463" t="s">
        <v>53</v>
      </c>
    </row>
    <row r="464" spans="1:46">
      <c r="A464">
        <v>763</v>
      </c>
      <c r="B464" t="s">
        <v>46</v>
      </c>
      <c r="C464">
        <v>25</v>
      </c>
      <c r="D464">
        <v>120</v>
      </c>
      <c r="E464" t="s">
        <v>770</v>
      </c>
      <c r="F464" t="s">
        <v>752</v>
      </c>
      <c r="G464">
        <v>25120</v>
      </c>
      <c r="H464">
        <v>25120</v>
      </c>
      <c r="I464" t="s">
        <v>49</v>
      </c>
      <c r="J464">
        <v>2513</v>
      </c>
      <c r="K464" t="s">
        <v>762</v>
      </c>
      <c r="L464" t="s">
        <v>80</v>
      </c>
      <c r="M464" t="s">
        <v>53</v>
      </c>
      <c r="N464">
        <v>5504</v>
      </c>
      <c r="O464" t="s">
        <v>53</v>
      </c>
      <c r="P464" t="s">
        <v>70</v>
      </c>
      <c r="Q464" t="s">
        <v>71</v>
      </c>
      <c r="R464" t="s">
        <v>122</v>
      </c>
      <c r="S464" t="s">
        <v>57</v>
      </c>
      <c r="T464" t="s">
        <v>73</v>
      </c>
      <c r="U464" t="s">
        <v>119</v>
      </c>
      <c r="V464">
        <v>0.44248999999999999</v>
      </c>
      <c r="W464" t="s">
        <v>53</v>
      </c>
      <c r="X464" t="s">
        <v>53</v>
      </c>
      <c r="Y464" t="s">
        <v>87</v>
      </c>
      <c r="Z464" t="str">
        <f t="shared" si="14"/>
        <v>Mayor que 40 - hasta 50</v>
      </c>
      <c r="AA464">
        <f t="shared" si="15"/>
        <v>1</v>
      </c>
      <c r="AB464">
        <v>25120</v>
      </c>
      <c r="AC464" t="s">
        <v>564</v>
      </c>
      <c r="AD464" t="s">
        <v>771</v>
      </c>
      <c r="AE464">
        <v>1.983824</v>
      </c>
      <c r="AF464" t="s">
        <v>76</v>
      </c>
      <c r="AG464">
        <v>37.106096999999998</v>
      </c>
      <c r="AH464" t="s">
        <v>564</v>
      </c>
      <c r="AI464" t="s">
        <v>565</v>
      </c>
      <c r="AJ464">
        <v>3.81833</v>
      </c>
      <c r="AK464" t="s">
        <v>84</v>
      </c>
      <c r="AL464">
        <v>121.765094</v>
      </c>
      <c r="AM464" s="4" t="s">
        <v>64</v>
      </c>
      <c r="AN464" s="5">
        <v>11393.674185948528</v>
      </c>
      <c r="AO464" s="4" t="s">
        <v>65</v>
      </c>
      <c r="AP464" s="6">
        <v>1506</v>
      </c>
      <c r="AQ464">
        <v>2</v>
      </c>
      <c r="AR464">
        <v>11690.158975</v>
      </c>
      <c r="AS464" t="s">
        <v>66</v>
      </c>
      <c r="AT464" t="s">
        <v>53</v>
      </c>
    </row>
    <row r="465" spans="1:46">
      <c r="A465">
        <v>764</v>
      </c>
      <c r="B465" t="s">
        <v>46</v>
      </c>
      <c r="C465">
        <v>25</v>
      </c>
      <c r="D465">
        <v>123</v>
      </c>
      <c r="E465" t="s">
        <v>772</v>
      </c>
      <c r="F465" t="s">
        <v>752</v>
      </c>
      <c r="G465">
        <v>25123</v>
      </c>
      <c r="H465">
        <v>25123</v>
      </c>
      <c r="I465" t="s">
        <v>49</v>
      </c>
      <c r="J465">
        <v>2514</v>
      </c>
      <c r="K465" t="s">
        <v>759</v>
      </c>
      <c r="L465" t="s">
        <v>91</v>
      </c>
      <c r="M465" t="s">
        <v>53</v>
      </c>
      <c r="N465">
        <v>11615</v>
      </c>
      <c r="O465" t="s">
        <v>53</v>
      </c>
      <c r="P465" t="s">
        <v>70</v>
      </c>
      <c r="Q465" t="s">
        <v>71</v>
      </c>
      <c r="R465" t="s">
        <v>122</v>
      </c>
      <c r="S465" t="s">
        <v>57</v>
      </c>
      <c r="T465" t="s">
        <v>58</v>
      </c>
      <c r="U465" t="s">
        <v>81</v>
      </c>
      <c r="V465">
        <v>9.3532000000000004E-2</v>
      </c>
      <c r="W465" t="s">
        <v>53</v>
      </c>
      <c r="X465" t="s">
        <v>53</v>
      </c>
      <c r="Y465" t="s">
        <v>136</v>
      </c>
      <c r="Z465" t="str">
        <f t="shared" si="14"/>
        <v>Mayor que 100 - hasta 120</v>
      </c>
      <c r="AA465">
        <f t="shared" si="15"/>
        <v>1</v>
      </c>
      <c r="AB465">
        <v>25123</v>
      </c>
      <c r="AC465" t="s">
        <v>330</v>
      </c>
      <c r="AD465" t="s">
        <v>769</v>
      </c>
      <c r="AE465">
        <v>1.1086339999999999</v>
      </c>
      <c r="AF465" t="s">
        <v>76</v>
      </c>
      <c r="AG465">
        <v>29.229140999999998</v>
      </c>
      <c r="AH465" t="s">
        <v>330</v>
      </c>
      <c r="AI465" t="s">
        <v>332</v>
      </c>
      <c r="AJ465">
        <v>1.638754</v>
      </c>
      <c r="AK465" t="s">
        <v>76</v>
      </c>
      <c r="AL465">
        <v>55.009754999999998</v>
      </c>
      <c r="AM465" s="4" t="s">
        <v>65</v>
      </c>
      <c r="AN465" s="5">
        <v>4346.8039704538969</v>
      </c>
      <c r="AO465" s="4" t="s">
        <v>65</v>
      </c>
      <c r="AP465" s="6">
        <v>3575</v>
      </c>
      <c r="AQ465">
        <v>3</v>
      </c>
      <c r="AR465">
        <v>2936.556165</v>
      </c>
      <c r="AS465" t="s">
        <v>66</v>
      </c>
      <c r="AT465" t="s">
        <v>53</v>
      </c>
    </row>
    <row r="466" spans="1:46">
      <c r="A466">
        <v>765</v>
      </c>
      <c r="B466" t="s">
        <v>46</v>
      </c>
      <c r="C466">
        <v>25</v>
      </c>
      <c r="D466">
        <v>126</v>
      </c>
      <c r="E466" t="s">
        <v>773</v>
      </c>
      <c r="F466" t="s">
        <v>752</v>
      </c>
      <c r="G466">
        <v>25126</v>
      </c>
      <c r="H466">
        <v>25126</v>
      </c>
      <c r="I466" t="s">
        <v>49</v>
      </c>
      <c r="J466">
        <v>2510</v>
      </c>
      <c r="K466" t="s">
        <v>774</v>
      </c>
      <c r="L466" t="s">
        <v>51</v>
      </c>
      <c r="M466" t="s">
        <v>53</v>
      </c>
      <c r="N466">
        <v>98441</v>
      </c>
      <c r="O466" t="s">
        <v>53</v>
      </c>
      <c r="P466" t="s">
        <v>92</v>
      </c>
      <c r="Q466" t="s">
        <v>210</v>
      </c>
      <c r="R466" t="s">
        <v>93</v>
      </c>
      <c r="S466" t="s">
        <v>57</v>
      </c>
      <c r="T466" t="s">
        <v>58</v>
      </c>
      <c r="U466" t="s">
        <v>81</v>
      </c>
      <c r="V466">
        <v>0.23566599999999999</v>
      </c>
      <c r="W466">
        <v>2024</v>
      </c>
      <c r="X466" t="s">
        <v>775</v>
      </c>
      <c r="Y466" t="s">
        <v>776</v>
      </c>
      <c r="Z466" t="str">
        <f t="shared" si="14"/>
        <v>Mayor que 400 - hasta 500</v>
      </c>
      <c r="AA466">
        <f t="shared" si="15"/>
        <v>0</v>
      </c>
      <c r="AB466">
        <v>25126</v>
      </c>
      <c r="AC466" t="s">
        <v>330</v>
      </c>
      <c r="AD466" t="s">
        <v>777</v>
      </c>
      <c r="AE466">
        <v>0</v>
      </c>
      <c r="AF466" t="s">
        <v>63</v>
      </c>
      <c r="AG466">
        <v>0</v>
      </c>
      <c r="AH466" t="s">
        <v>330</v>
      </c>
      <c r="AI466" t="s">
        <v>332</v>
      </c>
      <c r="AJ466">
        <v>0.75473100000000004</v>
      </c>
      <c r="AK466" t="s">
        <v>63</v>
      </c>
      <c r="AL466">
        <v>37.276449999999997</v>
      </c>
      <c r="AM466" t="s">
        <v>65</v>
      </c>
      <c r="AN466" s="7">
        <v>402.45386937840658</v>
      </c>
      <c r="AO466" t="s">
        <v>65</v>
      </c>
      <c r="AP466" s="3">
        <v>158</v>
      </c>
      <c r="AQ466">
        <v>1</v>
      </c>
      <c r="AR466">
        <v>415.05362500000001</v>
      </c>
      <c r="AS466" t="s">
        <v>66</v>
      </c>
      <c r="AT466" t="s">
        <v>53</v>
      </c>
    </row>
    <row r="467" spans="1:46">
      <c r="A467">
        <v>766</v>
      </c>
      <c r="B467" t="s">
        <v>46</v>
      </c>
      <c r="C467">
        <v>25</v>
      </c>
      <c r="D467">
        <v>148</v>
      </c>
      <c r="E467" t="s">
        <v>778</v>
      </c>
      <c r="F467" t="s">
        <v>752</v>
      </c>
      <c r="G467">
        <v>25148</v>
      </c>
      <c r="H467">
        <v>25148</v>
      </c>
      <c r="I467" t="s">
        <v>49</v>
      </c>
      <c r="J467">
        <v>2503</v>
      </c>
      <c r="K467" t="s">
        <v>779</v>
      </c>
      <c r="L467" t="s">
        <v>80</v>
      </c>
      <c r="M467" t="s">
        <v>53</v>
      </c>
      <c r="N467">
        <v>14364</v>
      </c>
      <c r="O467" t="s">
        <v>53</v>
      </c>
      <c r="P467" t="s">
        <v>70</v>
      </c>
      <c r="Q467" t="s">
        <v>71</v>
      </c>
      <c r="R467" t="s">
        <v>93</v>
      </c>
      <c r="S467" t="s">
        <v>57</v>
      </c>
      <c r="T467" t="s">
        <v>58</v>
      </c>
      <c r="U467" t="s">
        <v>81</v>
      </c>
      <c r="V467">
        <v>0.468227</v>
      </c>
      <c r="W467" t="s">
        <v>53</v>
      </c>
      <c r="X467" t="s">
        <v>53</v>
      </c>
      <c r="Y467" t="s">
        <v>127</v>
      </c>
      <c r="Z467" t="str">
        <f t="shared" si="14"/>
        <v>Mayor que 70 - hasta 80</v>
      </c>
      <c r="AA467">
        <f t="shared" si="15"/>
        <v>1</v>
      </c>
      <c r="AB467">
        <v>25148</v>
      </c>
      <c r="AC467" t="s">
        <v>161</v>
      </c>
      <c r="AD467" t="s">
        <v>563</v>
      </c>
      <c r="AE467">
        <v>2.2689140000000001</v>
      </c>
      <c r="AF467" t="s">
        <v>77</v>
      </c>
      <c r="AG467">
        <v>51.411479</v>
      </c>
      <c r="AH467" t="s">
        <v>330</v>
      </c>
      <c r="AI467" t="s">
        <v>332</v>
      </c>
      <c r="AJ467">
        <v>3.9733480000000001</v>
      </c>
      <c r="AK467" t="s">
        <v>84</v>
      </c>
      <c r="AL467">
        <v>130.36042599999999</v>
      </c>
      <c r="AM467" s="4" t="s">
        <v>64</v>
      </c>
      <c r="AN467" s="5">
        <v>30258.845497974966</v>
      </c>
      <c r="AO467" s="4" t="s">
        <v>65</v>
      </c>
      <c r="AP467" s="6">
        <v>4445</v>
      </c>
      <c r="AQ467">
        <v>4</v>
      </c>
      <c r="AR467">
        <v>44233.440093999998</v>
      </c>
      <c r="AS467" t="s">
        <v>66</v>
      </c>
      <c r="AT467" t="s">
        <v>53</v>
      </c>
    </row>
    <row r="468" spans="1:46">
      <c r="A468">
        <v>767</v>
      </c>
      <c r="B468" t="s">
        <v>46</v>
      </c>
      <c r="C468">
        <v>25</v>
      </c>
      <c r="D468">
        <v>151</v>
      </c>
      <c r="E468" t="s">
        <v>780</v>
      </c>
      <c r="F468" t="s">
        <v>752</v>
      </c>
      <c r="G468">
        <v>25151</v>
      </c>
      <c r="H468">
        <v>25151</v>
      </c>
      <c r="I468" t="s">
        <v>49</v>
      </c>
      <c r="J468">
        <v>2508</v>
      </c>
      <c r="K468" t="s">
        <v>68</v>
      </c>
      <c r="L468" t="s">
        <v>91</v>
      </c>
      <c r="M468" t="s">
        <v>53</v>
      </c>
      <c r="N468">
        <v>19886</v>
      </c>
      <c r="O468" t="s">
        <v>53</v>
      </c>
      <c r="P468" t="s">
        <v>70</v>
      </c>
      <c r="Q468" t="s">
        <v>71</v>
      </c>
      <c r="R468" t="s">
        <v>105</v>
      </c>
      <c r="S468" t="s">
        <v>57</v>
      </c>
      <c r="T468" t="s">
        <v>58</v>
      </c>
      <c r="U468" t="s">
        <v>81</v>
      </c>
      <c r="V468">
        <v>0.49266199999999999</v>
      </c>
      <c r="W468">
        <v>2022</v>
      </c>
      <c r="X468" t="s">
        <v>190</v>
      </c>
      <c r="Y468" t="s">
        <v>191</v>
      </c>
      <c r="Z468" t="str">
        <f t="shared" si="14"/>
        <v>Mayor que 100 - hasta 120</v>
      </c>
      <c r="AA468">
        <f t="shared" si="15"/>
        <v>0</v>
      </c>
      <c r="AB468">
        <v>25151</v>
      </c>
      <c r="AC468" t="s">
        <v>330</v>
      </c>
      <c r="AD468" t="s">
        <v>331</v>
      </c>
      <c r="AE468">
        <v>1.5560529999999999</v>
      </c>
      <c r="AF468" t="s">
        <v>76</v>
      </c>
      <c r="AG468">
        <v>50.767113999999999</v>
      </c>
      <c r="AH468" t="s">
        <v>330</v>
      </c>
      <c r="AI468" t="s">
        <v>332</v>
      </c>
      <c r="AJ468">
        <v>1.650377</v>
      </c>
      <c r="AK468" t="s">
        <v>76</v>
      </c>
      <c r="AL468">
        <v>52.422749000000003</v>
      </c>
      <c r="AM468" t="s">
        <v>65</v>
      </c>
      <c r="AN468" s="7">
        <v>499.71920398481012</v>
      </c>
      <c r="AO468" t="s">
        <v>65</v>
      </c>
      <c r="AP468" s="3">
        <v>1226</v>
      </c>
      <c r="AQ468">
        <v>2</v>
      </c>
      <c r="AR468">
        <v>413.59757300000001</v>
      </c>
      <c r="AS468" t="s">
        <v>66</v>
      </c>
      <c r="AT468" t="s">
        <v>53</v>
      </c>
    </row>
    <row r="469" spans="1:46">
      <c r="A469">
        <v>768</v>
      </c>
      <c r="B469" t="s">
        <v>46</v>
      </c>
      <c r="C469">
        <v>25</v>
      </c>
      <c r="D469">
        <v>154</v>
      </c>
      <c r="E469" t="s">
        <v>781</v>
      </c>
      <c r="F469" t="s">
        <v>752</v>
      </c>
      <c r="G469">
        <v>25154</v>
      </c>
      <c r="H469">
        <v>25154</v>
      </c>
      <c r="I469" t="s">
        <v>49</v>
      </c>
      <c r="J469">
        <v>2515</v>
      </c>
      <c r="K469" t="s">
        <v>782</v>
      </c>
      <c r="L469" t="s">
        <v>80</v>
      </c>
      <c r="M469" t="s">
        <v>53</v>
      </c>
      <c r="N469">
        <v>8721</v>
      </c>
      <c r="O469" t="s">
        <v>53</v>
      </c>
      <c r="P469" t="s">
        <v>70</v>
      </c>
      <c r="Q469" t="s">
        <v>71</v>
      </c>
      <c r="R469" t="s">
        <v>105</v>
      </c>
      <c r="S469" t="s">
        <v>57</v>
      </c>
      <c r="T469" t="s">
        <v>58</v>
      </c>
      <c r="U469" t="s">
        <v>81</v>
      </c>
      <c r="V469">
        <v>0.51110500000000003</v>
      </c>
      <c r="W469" t="s">
        <v>53</v>
      </c>
      <c r="X469" t="s">
        <v>53</v>
      </c>
      <c r="Y469" t="s">
        <v>187</v>
      </c>
      <c r="Z469" t="str">
        <f t="shared" si="14"/>
        <v>Mayor que 80 - hasta 100</v>
      </c>
      <c r="AA469">
        <f t="shared" si="15"/>
        <v>1</v>
      </c>
      <c r="AB469">
        <v>25154</v>
      </c>
      <c r="AC469" t="s">
        <v>330</v>
      </c>
      <c r="AD469" t="s">
        <v>783</v>
      </c>
      <c r="AE469">
        <v>0.70498000000000005</v>
      </c>
      <c r="AF469" t="s">
        <v>63</v>
      </c>
      <c r="AG469">
        <v>13.895332</v>
      </c>
      <c r="AH469" t="s">
        <v>330</v>
      </c>
      <c r="AI469" t="s">
        <v>332</v>
      </c>
      <c r="AJ469">
        <v>2.4973139999999998</v>
      </c>
      <c r="AK469" t="s">
        <v>77</v>
      </c>
      <c r="AL469">
        <v>102.78448</v>
      </c>
      <c r="AM469" s="4" t="s">
        <v>65</v>
      </c>
      <c r="AN469" s="5">
        <v>17660.155913270784</v>
      </c>
      <c r="AO469" s="4" t="s">
        <v>65</v>
      </c>
      <c r="AP469" s="6">
        <v>6188</v>
      </c>
      <c r="AQ469">
        <v>3</v>
      </c>
      <c r="AR469">
        <v>12246.112329</v>
      </c>
      <c r="AS469" t="s">
        <v>66</v>
      </c>
      <c r="AT469" t="s">
        <v>53</v>
      </c>
    </row>
    <row r="470" spans="1:46">
      <c r="A470">
        <v>769</v>
      </c>
      <c r="B470" t="s">
        <v>46</v>
      </c>
      <c r="C470">
        <v>25</v>
      </c>
      <c r="D470">
        <v>168</v>
      </c>
      <c r="E470" t="s">
        <v>784</v>
      </c>
      <c r="F470" t="s">
        <v>752</v>
      </c>
      <c r="G470">
        <v>25168</v>
      </c>
      <c r="H470">
        <v>25168</v>
      </c>
      <c r="I470" t="s">
        <v>49</v>
      </c>
      <c r="J470">
        <v>2506</v>
      </c>
      <c r="K470" t="s">
        <v>765</v>
      </c>
      <c r="L470" t="s">
        <v>80</v>
      </c>
      <c r="M470" t="s">
        <v>53</v>
      </c>
      <c r="N470">
        <v>4810</v>
      </c>
      <c r="O470" t="s">
        <v>53</v>
      </c>
      <c r="P470" t="s">
        <v>70</v>
      </c>
      <c r="Q470" t="s">
        <v>71</v>
      </c>
      <c r="R470" t="s">
        <v>105</v>
      </c>
      <c r="S470" t="s">
        <v>57</v>
      </c>
      <c r="T470" t="s">
        <v>73</v>
      </c>
      <c r="U470" t="s">
        <v>59</v>
      </c>
      <c r="V470">
        <v>0.38831300000000002</v>
      </c>
      <c r="W470" t="s">
        <v>53</v>
      </c>
      <c r="X470" t="s">
        <v>53</v>
      </c>
      <c r="Y470" t="s">
        <v>87</v>
      </c>
      <c r="Z470" t="str">
        <f t="shared" si="14"/>
        <v>Mayor que 40 - hasta 50</v>
      </c>
      <c r="AA470">
        <f t="shared" si="15"/>
        <v>1</v>
      </c>
      <c r="AB470">
        <v>25168</v>
      </c>
      <c r="AC470" t="s">
        <v>564</v>
      </c>
      <c r="AD470" t="s">
        <v>569</v>
      </c>
      <c r="AE470">
        <v>2.7227830000000002</v>
      </c>
      <c r="AF470" t="s">
        <v>77</v>
      </c>
      <c r="AG470">
        <v>66.155338999999998</v>
      </c>
      <c r="AH470" t="s">
        <v>330</v>
      </c>
      <c r="AI470" t="s">
        <v>332</v>
      </c>
      <c r="AJ470">
        <v>3.750016</v>
      </c>
      <c r="AK470" t="s">
        <v>84</v>
      </c>
      <c r="AL470">
        <v>94.582756000000003</v>
      </c>
      <c r="AM470" s="4" t="s">
        <v>65</v>
      </c>
      <c r="AN470" s="5">
        <v>8754.7810237159811</v>
      </c>
      <c r="AO470" s="4" t="s">
        <v>65</v>
      </c>
      <c r="AP470" s="6">
        <v>1846</v>
      </c>
      <c r="AQ470">
        <v>3</v>
      </c>
      <c r="AR470">
        <v>8699.3164049999996</v>
      </c>
      <c r="AS470" t="s">
        <v>66</v>
      </c>
      <c r="AT470" t="s">
        <v>53</v>
      </c>
    </row>
    <row r="471" spans="1:46">
      <c r="A471">
        <v>1109</v>
      </c>
      <c r="B471" t="s">
        <v>46</v>
      </c>
      <c r="C471">
        <v>25</v>
      </c>
      <c r="D471">
        <v>175</v>
      </c>
      <c r="E471" t="s">
        <v>785</v>
      </c>
      <c r="F471" t="s">
        <v>752</v>
      </c>
      <c r="G471">
        <v>25175</v>
      </c>
      <c r="H471">
        <v>25175</v>
      </c>
      <c r="I471" t="s">
        <v>49</v>
      </c>
      <c r="J471">
        <v>2510</v>
      </c>
      <c r="K471" t="s">
        <v>774</v>
      </c>
      <c r="L471" t="s">
        <v>51</v>
      </c>
      <c r="M471" t="s">
        <v>53</v>
      </c>
      <c r="N471">
        <v>158258</v>
      </c>
      <c r="O471" t="s">
        <v>53</v>
      </c>
      <c r="P471" t="s">
        <v>54</v>
      </c>
      <c r="Q471" t="s">
        <v>138</v>
      </c>
      <c r="R471" t="s">
        <v>122</v>
      </c>
      <c r="S471" t="s">
        <v>57</v>
      </c>
      <c r="T471" t="s">
        <v>58</v>
      </c>
      <c r="U471" t="s">
        <v>81</v>
      </c>
      <c r="V471">
        <v>0.33843899999999999</v>
      </c>
      <c r="W471" t="s">
        <v>53</v>
      </c>
      <c r="X471" t="s">
        <v>53</v>
      </c>
      <c r="Y471" t="s">
        <v>786</v>
      </c>
      <c r="Z471" t="str">
        <f t="shared" si="14"/>
        <v>Mayor que 600 - hasta 700</v>
      </c>
      <c r="AA471">
        <f t="shared" si="15"/>
        <v>1</v>
      </c>
      <c r="AB471">
        <v>25175</v>
      </c>
      <c r="AC471" t="s">
        <v>330</v>
      </c>
      <c r="AD471" t="s">
        <v>787</v>
      </c>
      <c r="AE471">
        <v>0</v>
      </c>
      <c r="AF471" t="s">
        <v>63</v>
      </c>
      <c r="AG471">
        <v>0</v>
      </c>
      <c r="AH471" t="s">
        <v>330</v>
      </c>
      <c r="AI471" t="s">
        <v>332</v>
      </c>
      <c r="AJ471">
        <v>0.73590199999999995</v>
      </c>
      <c r="AK471" t="s">
        <v>63</v>
      </c>
      <c r="AL471">
        <v>33.886501000000003</v>
      </c>
      <c r="AM471" s="4" t="s">
        <v>65</v>
      </c>
      <c r="AN471" s="5">
        <v>2098.0898558589415</v>
      </c>
      <c r="AO471" s="4" t="s">
        <v>65</v>
      </c>
      <c r="AP471" s="6">
        <v>1211</v>
      </c>
      <c r="AQ471">
        <v>3</v>
      </c>
      <c r="AR471">
        <v>1336.625045</v>
      </c>
      <c r="AS471" t="s">
        <v>66</v>
      </c>
      <c r="AT471" t="s">
        <v>53</v>
      </c>
    </row>
    <row r="472" spans="1:46">
      <c r="A472">
        <v>770</v>
      </c>
      <c r="B472" t="s">
        <v>46</v>
      </c>
      <c r="C472">
        <v>25</v>
      </c>
      <c r="D472">
        <v>178</v>
      </c>
      <c r="E472" t="s">
        <v>788</v>
      </c>
      <c r="F472" t="s">
        <v>752</v>
      </c>
      <c r="G472">
        <v>25178</v>
      </c>
      <c r="H472">
        <v>25178</v>
      </c>
      <c r="I472" t="s">
        <v>49</v>
      </c>
      <c r="J472">
        <v>2508</v>
      </c>
      <c r="K472" t="s">
        <v>68</v>
      </c>
      <c r="L472" t="s">
        <v>91</v>
      </c>
      <c r="M472" t="s">
        <v>53</v>
      </c>
      <c r="N472">
        <v>11011</v>
      </c>
      <c r="O472" t="s">
        <v>53</v>
      </c>
      <c r="P472" t="s">
        <v>70</v>
      </c>
      <c r="Q472" t="s">
        <v>71</v>
      </c>
      <c r="R472" t="s">
        <v>105</v>
      </c>
      <c r="S472" t="s">
        <v>57</v>
      </c>
      <c r="T472" t="s">
        <v>58</v>
      </c>
      <c r="U472" t="s">
        <v>81</v>
      </c>
      <c r="V472">
        <v>0.49724499999999999</v>
      </c>
      <c r="W472">
        <v>2022</v>
      </c>
      <c r="X472" t="s">
        <v>106</v>
      </c>
      <c r="Y472" t="s">
        <v>107</v>
      </c>
      <c r="Z472" t="str">
        <f t="shared" si="14"/>
        <v>Mayor que 80 - hasta 100</v>
      </c>
      <c r="AA472">
        <f t="shared" si="15"/>
        <v>0</v>
      </c>
      <c r="AB472">
        <v>25178</v>
      </c>
      <c r="AC472" t="s">
        <v>330</v>
      </c>
      <c r="AD472" t="s">
        <v>331</v>
      </c>
      <c r="AE472">
        <v>1.0491029999999999</v>
      </c>
      <c r="AF472" t="s">
        <v>76</v>
      </c>
      <c r="AG472">
        <v>36.423254</v>
      </c>
      <c r="AH472" t="s">
        <v>330</v>
      </c>
      <c r="AI472" t="s">
        <v>332</v>
      </c>
      <c r="AJ472">
        <v>1.143427</v>
      </c>
      <c r="AK472" t="s">
        <v>76</v>
      </c>
      <c r="AL472">
        <v>38.078888999999997</v>
      </c>
      <c r="AM472" t="s">
        <v>65</v>
      </c>
      <c r="AN472" s="7">
        <v>2238.8947165181439</v>
      </c>
      <c r="AO472" t="s">
        <v>65</v>
      </c>
      <c r="AP472" s="3">
        <v>1699</v>
      </c>
      <c r="AQ472">
        <v>3</v>
      </c>
      <c r="AR472">
        <v>1239.144374</v>
      </c>
      <c r="AS472" t="s">
        <v>66</v>
      </c>
      <c r="AT472" t="s">
        <v>53</v>
      </c>
    </row>
    <row r="473" spans="1:46">
      <c r="A473">
        <v>771</v>
      </c>
      <c r="B473" t="s">
        <v>46</v>
      </c>
      <c r="C473">
        <v>25</v>
      </c>
      <c r="D473">
        <v>181</v>
      </c>
      <c r="E473" t="s">
        <v>789</v>
      </c>
      <c r="F473" t="s">
        <v>752</v>
      </c>
      <c r="G473">
        <v>25181</v>
      </c>
      <c r="H473">
        <v>25181</v>
      </c>
      <c r="I473" t="s">
        <v>49</v>
      </c>
      <c r="J473">
        <v>2508</v>
      </c>
      <c r="K473" t="s">
        <v>68</v>
      </c>
      <c r="L473" t="s">
        <v>91</v>
      </c>
      <c r="M473" t="s">
        <v>53</v>
      </c>
      <c r="N473">
        <v>12721</v>
      </c>
      <c r="O473" t="s">
        <v>53</v>
      </c>
      <c r="P473" t="s">
        <v>70</v>
      </c>
      <c r="Q473" t="s">
        <v>71</v>
      </c>
      <c r="R473" t="s">
        <v>93</v>
      </c>
      <c r="S473" t="s">
        <v>57</v>
      </c>
      <c r="T473" t="s">
        <v>58</v>
      </c>
      <c r="U473" t="s">
        <v>81</v>
      </c>
      <c r="V473">
        <v>0.48672799999999999</v>
      </c>
      <c r="W473" t="s">
        <v>53</v>
      </c>
      <c r="X473" t="s">
        <v>53</v>
      </c>
      <c r="Y473" t="s">
        <v>228</v>
      </c>
      <c r="Z473" t="str">
        <f t="shared" si="14"/>
        <v>Mayor que 180 - hasta 200</v>
      </c>
      <c r="AA473">
        <f t="shared" si="15"/>
        <v>1</v>
      </c>
      <c r="AB473">
        <v>25181</v>
      </c>
      <c r="AC473" t="s">
        <v>330</v>
      </c>
      <c r="AD473" t="s">
        <v>331</v>
      </c>
      <c r="AE473">
        <v>1.889656</v>
      </c>
      <c r="AF473" t="s">
        <v>76</v>
      </c>
      <c r="AG473">
        <v>47.021529999999998</v>
      </c>
      <c r="AH473" t="s">
        <v>330</v>
      </c>
      <c r="AI473" t="s">
        <v>332</v>
      </c>
      <c r="AJ473">
        <v>1.9329639999999999</v>
      </c>
      <c r="AK473" t="s">
        <v>76</v>
      </c>
      <c r="AL473">
        <v>45.790159000000003</v>
      </c>
      <c r="AM473" s="4" t="s">
        <v>65</v>
      </c>
      <c r="AN473" s="5">
        <v>12293.370631951897</v>
      </c>
      <c r="AO473" s="4" t="s">
        <v>65</v>
      </c>
      <c r="AP473" s="6">
        <v>7672</v>
      </c>
      <c r="AQ473">
        <v>3</v>
      </c>
      <c r="AR473">
        <v>7735.7535909999997</v>
      </c>
      <c r="AS473" t="s">
        <v>66</v>
      </c>
      <c r="AT473" t="s">
        <v>53</v>
      </c>
    </row>
    <row r="474" spans="1:46">
      <c r="A474">
        <v>772</v>
      </c>
      <c r="B474" t="s">
        <v>46</v>
      </c>
      <c r="C474">
        <v>25</v>
      </c>
      <c r="D474">
        <v>183</v>
      </c>
      <c r="E474" t="s">
        <v>790</v>
      </c>
      <c r="F474" t="s">
        <v>752</v>
      </c>
      <c r="G474">
        <v>25183</v>
      </c>
      <c r="H474">
        <v>25183</v>
      </c>
      <c r="I474" t="s">
        <v>49</v>
      </c>
      <c r="J474">
        <v>2501</v>
      </c>
      <c r="K474" t="s">
        <v>791</v>
      </c>
      <c r="L474" t="s">
        <v>91</v>
      </c>
      <c r="M474" t="s">
        <v>53</v>
      </c>
      <c r="N474">
        <v>24144</v>
      </c>
      <c r="O474" t="s">
        <v>53</v>
      </c>
      <c r="P474" t="s">
        <v>70</v>
      </c>
      <c r="Q474" t="s">
        <v>71</v>
      </c>
      <c r="R474" t="s">
        <v>93</v>
      </c>
      <c r="S474" t="s">
        <v>57</v>
      </c>
      <c r="T474" t="s">
        <v>58</v>
      </c>
      <c r="U474" t="s">
        <v>81</v>
      </c>
      <c r="V474">
        <v>0.65398100000000003</v>
      </c>
      <c r="W474">
        <v>2022</v>
      </c>
      <c r="X474" t="s">
        <v>190</v>
      </c>
      <c r="Y474" t="s">
        <v>437</v>
      </c>
      <c r="Z474" t="str">
        <f t="shared" si="14"/>
        <v>Mayor que 160 - hasta 180</v>
      </c>
      <c r="AA474">
        <f t="shared" si="15"/>
        <v>1</v>
      </c>
      <c r="AB474">
        <v>25183</v>
      </c>
      <c r="AC474" t="s">
        <v>330</v>
      </c>
      <c r="AD474" t="s">
        <v>411</v>
      </c>
      <c r="AE474">
        <v>0.75140300000000004</v>
      </c>
      <c r="AF474" t="s">
        <v>63</v>
      </c>
      <c r="AG474">
        <v>36.693102000000003</v>
      </c>
      <c r="AH474" t="s">
        <v>330</v>
      </c>
      <c r="AI474" t="s">
        <v>332</v>
      </c>
      <c r="AJ474">
        <v>1.6983779999999999</v>
      </c>
      <c r="AK474" t="s">
        <v>76</v>
      </c>
      <c r="AL474">
        <v>86.113412999999994</v>
      </c>
      <c r="AM474" t="s">
        <v>64</v>
      </c>
      <c r="AN474" s="7">
        <v>210.25697389629741</v>
      </c>
      <c r="AO474" t="s">
        <v>65</v>
      </c>
      <c r="AP474" s="3">
        <v>52</v>
      </c>
      <c r="AQ474">
        <v>2</v>
      </c>
      <c r="AR474">
        <v>357.38784399999997</v>
      </c>
      <c r="AS474" t="s">
        <v>66</v>
      </c>
      <c r="AT474" t="s">
        <v>53</v>
      </c>
    </row>
    <row r="475" spans="1:46">
      <c r="A475">
        <v>773</v>
      </c>
      <c r="B475" t="s">
        <v>46</v>
      </c>
      <c r="C475">
        <v>25</v>
      </c>
      <c r="D475">
        <v>200</v>
      </c>
      <c r="E475" t="s">
        <v>792</v>
      </c>
      <c r="F475" t="s">
        <v>752</v>
      </c>
      <c r="G475">
        <v>25200</v>
      </c>
      <c r="H475">
        <v>25200</v>
      </c>
      <c r="I475" t="s">
        <v>49</v>
      </c>
      <c r="J475">
        <v>2510</v>
      </c>
      <c r="K475" t="s">
        <v>774</v>
      </c>
      <c r="L475" t="s">
        <v>51</v>
      </c>
      <c r="M475" t="s">
        <v>53</v>
      </c>
      <c r="N475">
        <v>26055</v>
      </c>
      <c r="O475" t="s">
        <v>53</v>
      </c>
      <c r="P475" t="s">
        <v>70</v>
      </c>
      <c r="Q475" t="s">
        <v>118</v>
      </c>
      <c r="R475" t="s">
        <v>56</v>
      </c>
      <c r="S475" t="s">
        <v>57</v>
      </c>
      <c r="T475" t="s">
        <v>58</v>
      </c>
      <c r="U475" t="s">
        <v>81</v>
      </c>
      <c r="V475">
        <v>0.42681599999999997</v>
      </c>
      <c r="W475">
        <v>2024</v>
      </c>
      <c r="X475" t="s">
        <v>265</v>
      </c>
      <c r="Y475" t="s">
        <v>266</v>
      </c>
      <c r="Z475" t="str">
        <f t="shared" si="14"/>
        <v>Mayor que 140 - hasta 160</v>
      </c>
      <c r="AA475">
        <f t="shared" si="15"/>
        <v>0</v>
      </c>
      <c r="AB475">
        <v>25200</v>
      </c>
      <c r="AC475" t="s">
        <v>330</v>
      </c>
      <c r="AD475" t="s">
        <v>793</v>
      </c>
      <c r="AE475">
        <v>0.170075</v>
      </c>
      <c r="AF475" t="s">
        <v>63</v>
      </c>
      <c r="AG475">
        <v>6.3183769999999999</v>
      </c>
      <c r="AH475" t="s">
        <v>330</v>
      </c>
      <c r="AI475" t="s">
        <v>332</v>
      </c>
      <c r="AJ475">
        <v>1.1337459999999999</v>
      </c>
      <c r="AK475" t="s">
        <v>76</v>
      </c>
      <c r="AL475">
        <v>56.568838</v>
      </c>
      <c r="AM475" t="s">
        <v>65</v>
      </c>
      <c r="AN475" s="7">
        <v>4065.6898068027208</v>
      </c>
      <c r="AO475" t="s">
        <v>65</v>
      </c>
      <c r="AP475" s="3">
        <v>3382</v>
      </c>
      <c r="AQ475">
        <v>3</v>
      </c>
      <c r="AR475">
        <v>3332.1289889999998</v>
      </c>
      <c r="AS475" t="s">
        <v>66</v>
      </c>
      <c r="AT475" t="s">
        <v>53</v>
      </c>
    </row>
    <row r="476" spans="1:46">
      <c r="A476">
        <v>774</v>
      </c>
      <c r="B476" t="s">
        <v>46</v>
      </c>
      <c r="C476">
        <v>25</v>
      </c>
      <c r="D476">
        <v>214</v>
      </c>
      <c r="E476" t="s">
        <v>794</v>
      </c>
      <c r="F476" t="s">
        <v>752</v>
      </c>
      <c r="G476">
        <v>25214</v>
      </c>
      <c r="H476">
        <v>25214</v>
      </c>
      <c r="I476" t="s">
        <v>49</v>
      </c>
      <c r="J476">
        <v>2511</v>
      </c>
      <c r="K476" t="s">
        <v>768</v>
      </c>
      <c r="L476" t="s">
        <v>51</v>
      </c>
      <c r="M476" t="s">
        <v>53</v>
      </c>
      <c r="N476">
        <v>39070</v>
      </c>
      <c r="O476" t="s">
        <v>53</v>
      </c>
      <c r="P476" t="s">
        <v>92</v>
      </c>
      <c r="Q476" t="s">
        <v>125</v>
      </c>
      <c r="R476" t="s">
        <v>122</v>
      </c>
      <c r="S476" t="s">
        <v>57</v>
      </c>
      <c r="T476" t="s">
        <v>58</v>
      </c>
      <c r="U476" t="s">
        <v>81</v>
      </c>
      <c r="V476">
        <v>0.59221400000000002</v>
      </c>
      <c r="W476">
        <v>2016</v>
      </c>
      <c r="X476" t="s">
        <v>141</v>
      </c>
      <c r="Y476" t="s">
        <v>795</v>
      </c>
      <c r="Z476" t="str">
        <f t="shared" si="14"/>
        <v>Mayor que 500 - hasta 600</v>
      </c>
      <c r="AA476">
        <f t="shared" si="15"/>
        <v>1</v>
      </c>
      <c r="AB476">
        <v>25214</v>
      </c>
      <c r="AC476" t="s">
        <v>330</v>
      </c>
      <c r="AD476" t="s">
        <v>794</v>
      </c>
      <c r="AE476">
        <v>0</v>
      </c>
      <c r="AF476" t="s">
        <v>63</v>
      </c>
      <c r="AG476">
        <v>0</v>
      </c>
      <c r="AH476" t="s">
        <v>330</v>
      </c>
      <c r="AI476" t="s">
        <v>332</v>
      </c>
      <c r="AJ476">
        <v>0.73666500000000001</v>
      </c>
      <c r="AK476" t="s">
        <v>63</v>
      </c>
      <c r="AL476">
        <v>26.730360999999998</v>
      </c>
      <c r="AM476" t="s">
        <v>64</v>
      </c>
      <c r="AN476" s="7">
        <v>558.95524666448011</v>
      </c>
      <c r="AO476" t="s">
        <v>65</v>
      </c>
      <c r="AP476" s="3">
        <v>222</v>
      </c>
      <c r="AQ476">
        <v>4</v>
      </c>
      <c r="AR476">
        <v>978.77109700000005</v>
      </c>
      <c r="AS476" t="s">
        <v>66</v>
      </c>
      <c r="AT476" t="s">
        <v>53</v>
      </c>
    </row>
    <row r="477" spans="1:46">
      <c r="A477">
        <v>775</v>
      </c>
      <c r="B477" t="s">
        <v>46</v>
      </c>
      <c r="C477">
        <v>25</v>
      </c>
      <c r="D477">
        <v>224</v>
      </c>
      <c r="E477" t="s">
        <v>796</v>
      </c>
      <c r="F477" t="s">
        <v>752</v>
      </c>
      <c r="G477">
        <v>25224</v>
      </c>
      <c r="H477">
        <v>25224</v>
      </c>
      <c r="I477" t="s">
        <v>49</v>
      </c>
      <c r="J477">
        <v>2515</v>
      </c>
      <c r="K477" t="s">
        <v>782</v>
      </c>
      <c r="L477" t="s">
        <v>69</v>
      </c>
      <c r="M477" t="s">
        <v>53</v>
      </c>
      <c r="N477">
        <v>8900</v>
      </c>
      <c r="O477" t="s">
        <v>53</v>
      </c>
      <c r="P477" t="s">
        <v>70</v>
      </c>
      <c r="Q477" t="s">
        <v>71</v>
      </c>
      <c r="R477" t="s">
        <v>56</v>
      </c>
      <c r="S477" t="s">
        <v>57</v>
      </c>
      <c r="T477" t="s">
        <v>58</v>
      </c>
      <c r="U477" t="s">
        <v>81</v>
      </c>
      <c r="V477">
        <v>0.59504299999999999</v>
      </c>
      <c r="W477" t="s">
        <v>53</v>
      </c>
      <c r="X477" t="s">
        <v>53</v>
      </c>
      <c r="Y477" t="s">
        <v>120</v>
      </c>
      <c r="Z477" t="str">
        <f t="shared" si="14"/>
        <v>Mayor que 200 - hasta 250</v>
      </c>
      <c r="AA477">
        <f t="shared" si="15"/>
        <v>1</v>
      </c>
      <c r="AB477">
        <v>25224</v>
      </c>
      <c r="AC477" t="s">
        <v>330</v>
      </c>
      <c r="AD477" t="s">
        <v>783</v>
      </c>
      <c r="AE477">
        <v>0.328592</v>
      </c>
      <c r="AF477" t="s">
        <v>63</v>
      </c>
      <c r="AG477">
        <v>9.9639609999999994</v>
      </c>
      <c r="AH477" t="s">
        <v>330</v>
      </c>
      <c r="AI477" t="s">
        <v>332</v>
      </c>
      <c r="AJ477">
        <v>2.1663380000000001</v>
      </c>
      <c r="AK477" t="s">
        <v>77</v>
      </c>
      <c r="AL477">
        <v>97.273211000000003</v>
      </c>
      <c r="AM477" s="4" t="s">
        <v>65</v>
      </c>
      <c r="AN477" s="5">
        <v>8552.3850857612997</v>
      </c>
      <c r="AO477" s="4" t="s">
        <v>65</v>
      </c>
      <c r="AP477" s="6">
        <v>3809</v>
      </c>
      <c r="AQ477">
        <v>3</v>
      </c>
      <c r="AR477">
        <v>5565.3045069999998</v>
      </c>
      <c r="AS477" t="s">
        <v>66</v>
      </c>
      <c r="AT477" t="s">
        <v>53</v>
      </c>
    </row>
    <row r="478" spans="1:46">
      <c r="A478">
        <v>776</v>
      </c>
      <c r="B478" t="s">
        <v>46</v>
      </c>
      <c r="C478">
        <v>25</v>
      </c>
      <c r="D478">
        <v>245</v>
      </c>
      <c r="E478" t="s">
        <v>797</v>
      </c>
      <c r="F478" t="s">
        <v>752</v>
      </c>
      <c r="G478">
        <v>25245</v>
      </c>
      <c r="H478">
        <v>25245</v>
      </c>
      <c r="I478" t="s">
        <v>49</v>
      </c>
      <c r="J478">
        <v>2514</v>
      </c>
      <c r="K478" t="s">
        <v>759</v>
      </c>
      <c r="L478" t="s">
        <v>91</v>
      </c>
      <c r="M478" t="s">
        <v>53</v>
      </c>
      <c r="N478">
        <v>28185</v>
      </c>
      <c r="O478" t="s">
        <v>53</v>
      </c>
      <c r="P478" t="s">
        <v>70</v>
      </c>
      <c r="Q478" t="s">
        <v>71</v>
      </c>
      <c r="R478" t="s">
        <v>122</v>
      </c>
      <c r="S478" t="s">
        <v>57</v>
      </c>
      <c r="T478" t="s">
        <v>58</v>
      </c>
      <c r="U478" t="s">
        <v>81</v>
      </c>
      <c r="V478">
        <v>0.61269600000000002</v>
      </c>
      <c r="W478" t="s">
        <v>53</v>
      </c>
      <c r="X478" t="s">
        <v>53</v>
      </c>
      <c r="Y478" t="s">
        <v>228</v>
      </c>
      <c r="Z478" t="str">
        <f t="shared" si="14"/>
        <v>Mayor que 180 - hasta 200</v>
      </c>
      <c r="AA478">
        <f t="shared" si="15"/>
        <v>1</v>
      </c>
      <c r="AB478">
        <v>25245</v>
      </c>
      <c r="AC478" t="s">
        <v>330</v>
      </c>
      <c r="AD478" t="s">
        <v>798</v>
      </c>
      <c r="AE478">
        <v>1.5764089999999999</v>
      </c>
      <c r="AF478" t="s">
        <v>76</v>
      </c>
      <c r="AG478">
        <v>37.088939000000003</v>
      </c>
      <c r="AH478" t="s">
        <v>330</v>
      </c>
      <c r="AI478" t="s">
        <v>332</v>
      </c>
      <c r="AJ478">
        <v>1.9711829999999999</v>
      </c>
      <c r="AK478" t="s">
        <v>76</v>
      </c>
      <c r="AL478">
        <v>55.747013000000003</v>
      </c>
      <c r="AM478" s="4" t="s">
        <v>65</v>
      </c>
      <c r="AN478" s="5">
        <v>8375.6484732298104</v>
      </c>
      <c r="AO478" s="4" t="s">
        <v>65</v>
      </c>
      <c r="AP478" s="6">
        <v>7558</v>
      </c>
      <c r="AQ478">
        <v>3</v>
      </c>
      <c r="AR478">
        <v>4868.1662189999997</v>
      </c>
      <c r="AS478" t="s">
        <v>66</v>
      </c>
      <c r="AT478" t="s">
        <v>53</v>
      </c>
    </row>
    <row r="479" spans="1:46">
      <c r="A479">
        <v>777</v>
      </c>
      <c r="B479" t="s">
        <v>46</v>
      </c>
      <c r="C479">
        <v>25</v>
      </c>
      <c r="D479">
        <v>258</v>
      </c>
      <c r="E479" t="s">
        <v>375</v>
      </c>
      <c r="F479" t="s">
        <v>752</v>
      </c>
      <c r="G479">
        <v>25258</v>
      </c>
      <c r="H479">
        <v>25258</v>
      </c>
      <c r="I479" t="s">
        <v>49</v>
      </c>
      <c r="J479">
        <v>2509</v>
      </c>
      <c r="K479" t="s">
        <v>799</v>
      </c>
      <c r="L479" t="s">
        <v>80</v>
      </c>
      <c r="M479" t="s">
        <v>53</v>
      </c>
      <c r="N479">
        <v>5327</v>
      </c>
      <c r="O479" t="s">
        <v>53</v>
      </c>
      <c r="P479" t="s">
        <v>70</v>
      </c>
      <c r="Q479" t="s">
        <v>71</v>
      </c>
      <c r="R479" t="s">
        <v>72</v>
      </c>
      <c r="S479" t="s">
        <v>57</v>
      </c>
      <c r="T479" t="s">
        <v>73</v>
      </c>
      <c r="U479" t="s">
        <v>59</v>
      </c>
      <c r="V479">
        <v>0.657335</v>
      </c>
      <c r="W479" t="s">
        <v>53</v>
      </c>
      <c r="X479" t="s">
        <v>53</v>
      </c>
      <c r="Y479" t="s">
        <v>116</v>
      </c>
      <c r="Z479" t="str">
        <f t="shared" si="14"/>
        <v>Mayor que 30 - hasta 40</v>
      </c>
      <c r="AA479">
        <f t="shared" si="15"/>
        <v>1</v>
      </c>
      <c r="AB479">
        <v>25258</v>
      </c>
      <c r="AC479" t="s">
        <v>330</v>
      </c>
      <c r="AD479" t="s">
        <v>793</v>
      </c>
      <c r="AE479">
        <v>2.906892</v>
      </c>
      <c r="AF479" t="s">
        <v>77</v>
      </c>
      <c r="AG479">
        <v>62.265389999999996</v>
      </c>
      <c r="AH479" t="s">
        <v>330</v>
      </c>
      <c r="AI479" t="s">
        <v>332</v>
      </c>
      <c r="AJ479">
        <v>3.8525079999999998</v>
      </c>
      <c r="AK479" t="s">
        <v>84</v>
      </c>
      <c r="AL479">
        <v>111.608745</v>
      </c>
      <c r="AM479" s="4" t="s">
        <v>65</v>
      </c>
      <c r="AN479" s="5">
        <v>10489.015907929919</v>
      </c>
      <c r="AO479" s="4" t="s">
        <v>65</v>
      </c>
      <c r="AP479" s="6">
        <v>2667</v>
      </c>
      <c r="AQ479">
        <v>3</v>
      </c>
      <c r="AR479">
        <v>6828.4812739999998</v>
      </c>
      <c r="AS479" t="s">
        <v>66</v>
      </c>
      <c r="AT479" t="s">
        <v>53</v>
      </c>
    </row>
    <row r="480" spans="1:46">
      <c r="A480">
        <v>1110</v>
      </c>
      <c r="B480" t="s">
        <v>46</v>
      </c>
      <c r="C480">
        <v>25</v>
      </c>
      <c r="D480">
        <v>260</v>
      </c>
      <c r="E480" t="s">
        <v>800</v>
      </c>
      <c r="F480" t="s">
        <v>752</v>
      </c>
      <c r="G480">
        <v>25260</v>
      </c>
      <c r="H480">
        <v>25260</v>
      </c>
      <c r="I480" t="s">
        <v>49</v>
      </c>
      <c r="J480">
        <v>2511</v>
      </c>
      <c r="K480" t="s">
        <v>768</v>
      </c>
      <c r="L480" t="s">
        <v>91</v>
      </c>
      <c r="M480" t="s">
        <v>53</v>
      </c>
      <c r="N480">
        <v>25330</v>
      </c>
      <c r="O480" t="s">
        <v>53</v>
      </c>
      <c r="P480" t="s">
        <v>70</v>
      </c>
      <c r="Q480" t="s">
        <v>71</v>
      </c>
      <c r="R480" t="s">
        <v>93</v>
      </c>
      <c r="S480" t="s">
        <v>57</v>
      </c>
      <c r="T480" t="s">
        <v>58</v>
      </c>
      <c r="U480" t="s">
        <v>81</v>
      </c>
      <c r="V480">
        <v>3.3565999999999999E-2</v>
      </c>
      <c r="W480" t="s">
        <v>53</v>
      </c>
      <c r="X480" t="s">
        <v>53</v>
      </c>
      <c r="Y480" t="s">
        <v>60</v>
      </c>
      <c r="Z480" t="str">
        <f t="shared" si="14"/>
        <v>Mayor que 400 - hasta 500</v>
      </c>
      <c r="AA480">
        <f t="shared" si="15"/>
        <v>1</v>
      </c>
      <c r="AB480">
        <v>25260</v>
      </c>
      <c r="AC480" t="s">
        <v>330</v>
      </c>
      <c r="AD480" t="s">
        <v>800</v>
      </c>
      <c r="AE480">
        <v>0</v>
      </c>
      <c r="AF480" t="s">
        <v>63</v>
      </c>
      <c r="AG480">
        <v>0</v>
      </c>
      <c r="AH480" t="s">
        <v>330</v>
      </c>
      <c r="AI480" t="s">
        <v>332</v>
      </c>
      <c r="AJ480">
        <v>0.72990200000000005</v>
      </c>
      <c r="AK480" t="s">
        <v>63</v>
      </c>
      <c r="AL480">
        <v>34.735742999999999</v>
      </c>
      <c r="AM480" s="4" t="s">
        <v>65</v>
      </c>
      <c r="AN480" s="5">
        <v>5381.5637276959878</v>
      </c>
      <c r="AO480" s="4" t="s">
        <v>65</v>
      </c>
      <c r="AP480" s="6">
        <v>1459</v>
      </c>
      <c r="AQ480">
        <v>3</v>
      </c>
      <c r="AR480">
        <v>3042.9128249999999</v>
      </c>
      <c r="AS480" t="s">
        <v>66</v>
      </c>
      <c r="AT480" t="s">
        <v>53</v>
      </c>
    </row>
    <row r="481" spans="1:46">
      <c r="A481">
        <v>778</v>
      </c>
      <c r="B481" t="s">
        <v>46</v>
      </c>
      <c r="C481">
        <v>25</v>
      </c>
      <c r="D481">
        <v>269</v>
      </c>
      <c r="E481" t="s">
        <v>801</v>
      </c>
      <c r="F481" t="s">
        <v>752</v>
      </c>
      <c r="G481">
        <v>25269</v>
      </c>
      <c r="H481">
        <v>25269</v>
      </c>
      <c r="I481" t="s">
        <v>49</v>
      </c>
      <c r="J481">
        <v>2511</v>
      </c>
      <c r="K481" t="s">
        <v>768</v>
      </c>
      <c r="L481" t="s">
        <v>51</v>
      </c>
      <c r="M481" t="s">
        <v>53</v>
      </c>
      <c r="N481">
        <v>166588</v>
      </c>
      <c r="O481" t="s">
        <v>53</v>
      </c>
      <c r="P481" t="s">
        <v>54</v>
      </c>
      <c r="Q481" t="s">
        <v>210</v>
      </c>
      <c r="R481" t="s">
        <v>105</v>
      </c>
      <c r="S481" t="s">
        <v>57</v>
      </c>
      <c r="T481" t="s">
        <v>58</v>
      </c>
      <c r="U481" t="s">
        <v>81</v>
      </c>
      <c r="V481">
        <v>0.36841400000000002</v>
      </c>
      <c r="W481" t="s">
        <v>53</v>
      </c>
      <c r="X481" t="s">
        <v>53</v>
      </c>
      <c r="Y481" t="s">
        <v>139</v>
      </c>
      <c r="Z481" t="str">
        <f t="shared" si="14"/>
        <v>Mayor que 300 - hasta 400</v>
      </c>
      <c r="AA481">
        <f t="shared" si="15"/>
        <v>1</v>
      </c>
      <c r="AB481">
        <v>25269</v>
      </c>
      <c r="AC481" t="s">
        <v>330</v>
      </c>
      <c r="AD481" t="s">
        <v>757</v>
      </c>
      <c r="AE481">
        <v>0</v>
      </c>
      <c r="AF481" t="s">
        <v>63</v>
      </c>
      <c r="AG481">
        <v>0</v>
      </c>
      <c r="AH481" t="s">
        <v>330</v>
      </c>
      <c r="AI481" t="s">
        <v>332</v>
      </c>
      <c r="AJ481">
        <v>0.86342300000000005</v>
      </c>
      <c r="AK481" t="s">
        <v>63</v>
      </c>
      <c r="AL481">
        <v>40.721530000000001</v>
      </c>
      <c r="AM481" s="4" t="s">
        <v>64</v>
      </c>
      <c r="AN481" s="5">
        <v>7404.7155806899609</v>
      </c>
      <c r="AO481" s="4" t="s">
        <v>65</v>
      </c>
      <c r="AP481" s="6">
        <v>2460</v>
      </c>
      <c r="AQ481">
        <v>3</v>
      </c>
      <c r="AR481">
        <v>5516.3164450000004</v>
      </c>
      <c r="AS481" t="s">
        <v>66</v>
      </c>
      <c r="AT481" t="s">
        <v>53</v>
      </c>
    </row>
    <row r="482" spans="1:46">
      <c r="A482">
        <v>779</v>
      </c>
      <c r="B482" t="s">
        <v>46</v>
      </c>
      <c r="C482">
        <v>25</v>
      </c>
      <c r="D482">
        <v>279</v>
      </c>
      <c r="E482" t="s">
        <v>802</v>
      </c>
      <c r="F482" t="s">
        <v>752</v>
      </c>
      <c r="G482">
        <v>25279</v>
      </c>
      <c r="H482">
        <v>25279</v>
      </c>
      <c r="I482" t="s">
        <v>49</v>
      </c>
      <c r="J482">
        <v>2508</v>
      </c>
      <c r="K482" t="s">
        <v>68</v>
      </c>
      <c r="L482" t="s">
        <v>69</v>
      </c>
      <c r="M482" t="s">
        <v>53</v>
      </c>
      <c r="N482">
        <v>13959</v>
      </c>
      <c r="O482" t="s">
        <v>53</v>
      </c>
      <c r="P482" t="s">
        <v>70</v>
      </c>
      <c r="Q482" t="s">
        <v>71</v>
      </c>
      <c r="R482" t="s">
        <v>93</v>
      </c>
      <c r="S482" t="s">
        <v>57</v>
      </c>
      <c r="T482" t="s">
        <v>58</v>
      </c>
      <c r="U482" t="s">
        <v>81</v>
      </c>
      <c r="V482">
        <v>0.51637</v>
      </c>
      <c r="W482" t="s">
        <v>53</v>
      </c>
      <c r="X482" t="s">
        <v>53</v>
      </c>
      <c r="Y482" t="s">
        <v>136</v>
      </c>
      <c r="Z482" t="str">
        <f t="shared" si="14"/>
        <v>Mayor que 100 - hasta 120</v>
      </c>
      <c r="AA482">
        <f t="shared" si="15"/>
        <v>1</v>
      </c>
      <c r="AB482">
        <v>25279</v>
      </c>
      <c r="AC482" t="s">
        <v>330</v>
      </c>
      <c r="AD482" t="s">
        <v>331</v>
      </c>
      <c r="AE482">
        <v>2.2937690000000002</v>
      </c>
      <c r="AF482" t="s">
        <v>77</v>
      </c>
      <c r="AG482">
        <v>54.839905999999999</v>
      </c>
      <c r="AH482" t="s">
        <v>330</v>
      </c>
      <c r="AI482" t="s">
        <v>332</v>
      </c>
      <c r="AJ482">
        <v>2.3370769999999998</v>
      </c>
      <c r="AK482" t="s">
        <v>77</v>
      </c>
      <c r="AL482">
        <v>53.608535000000003</v>
      </c>
      <c r="AM482" s="4" t="s">
        <v>65</v>
      </c>
      <c r="AN482" s="5">
        <v>11046.041435643834</v>
      </c>
      <c r="AO482" s="4" t="s">
        <v>65</v>
      </c>
      <c r="AP482" s="6">
        <v>5589</v>
      </c>
      <c r="AQ482">
        <v>3</v>
      </c>
      <c r="AR482">
        <v>4631.493093</v>
      </c>
      <c r="AS482" t="s">
        <v>66</v>
      </c>
      <c r="AT482" t="s">
        <v>53</v>
      </c>
    </row>
    <row r="483" spans="1:46">
      <c r="A483">
        <v>780</v>
      </c>
      <c r="B483" t="s">
        <v>46</v>
      </c>
      <c r="C483">
        <v>25</v>
      </c>
      <c r="D483">
        <v>281</v>
      </c>
      <c r="E483" t="s">
        <v>803</v>
      </c>
      <c r="F483" t="s">
        <v>752</v>
      </c>
      <c r="G483">
        <v>25281</v>
      </c>
      <c r="H483">
        <v>25281</v>
      </c>
      <c r="I483" t="s">
        <v>49</v>
      </c>
      <c r="J483">
        <v>2508</v>
      </c>
      <c r="K483" t="s">
        <v>68</v>
      </c>
      <c r="L483" t="s">
        <v>69</v>
      </c>
      <c r="M483" t="s">
        <v>53</v>
      </c>
      <c r="N483">
        <v>6643</v>
      </c>
      <c r="O483" t="s">
        <v>53</v>
      </c>
      <c r="P483" t="s">
        <v>70</v>
      </c>
      <c r="Q483" t="s">
        <v>71</v>
      </c>
      <c r="R483" t="s">
        <v>93</v>
      </c>
      <c r="S483" t="s">
        <v>57</v>
      </c>
      <c r="T483" t="s">
        <v>58</v>
      </c>
      <c r="U483" t="s">
        <v>81</v>
      </c>
      <c r="V483">
        <v>0.57350599999999996</v>
      </c>
      <c r="W483">
        <v>2022</v>
      </c>
      <c r="X483" t="s">
        <v>106</v>
      </c>
      <c r="Y483" t="s">
        <v>107</v>
      </c>
      <c r="Z483" t="str">
        <f t="shared" si="14"/>
        <v>Mayor que 80 - hasta 100</v>
      </c>
      <c r="AA483">
        <f t="shared" si="15"/>
        <v>0</v>
      </c>
      <c r="AB483">
        <v>25281</v>
      </c>
      <c r="AC483" t="s">
        <v>512</v>
      </c>
      <c r="AD483" t="s">
        <v>513</v>
      </c>
      <c r="AE483">
        <v>2.319925</v>
      </c>
      <c r="AF483" t="s">
        <v>77</v>
      </c>
      <c r="AG483">
        <v>64.983766000000003</v>
      </c>
      <c r="AH483" t="s">
        <v>512</v>
      </c>
      <c r="AI483" t="s">
        <v>513</v>
      </c>
      <c r="AJ483">
        <v>2.2507600000000001</v>
      </c>
      <c r="AK483" t="s">
        <v>77</v>
      </c>
      <c r="AL483">
        <v>63.493817</v>
      </c>
      <c r="AM483" t="s">
        <v>65</v>
      </c>
      <c r="AN483" s="7">
        <v>1838.0784186565129</v>
      </c>
      <c r="AO483" t="s">
        <v>65</v>
      </c>
      <c r="AP483" s="3">
        <v>1064</v>
      </c>
      <c r="AQ483">
        <v>4</v>
      </c>
      <c r="AR483">
        <v>1239.6675069999999</v>
      </c>
      <c r="AS483" t="s">
        <v>66</v>
      </c>
      <c r="AT483" t="s">
        <v>53</v>
      </c>
    </row>
    <row r="484" spans="1:46">
      <c r="A484">
        <v>781</v>
      </c>
      <c r="B484" t="s">
        <v>46</v>
      </c>
      <c r="C484">
        <v>25</v>
      </c>
      <c r="D484">
        <v>286</v>
      </c>
      <c r="E484" t="s">
        <v>804</v>
      </c>
      <c r="F484" t="s">
        <v>752</v>
      </c>
      <c r="G484">
        <v>25286</v>
      </c>
      <c r="H484">
        <v>25286</v>
      </c>
      <c r="I484" t="s">
        <v>49</v>
      </c>
      <c r="J484">
        <v>2511</v>
      </c>
      <c r="K484" t="s">
        <v>768</v>
      </c>
      <c r="L484" t="s">
        <v>51</v>
      </c>
      <c r="M484" t="s">
        <v>53</v>
      </c>
      <c r="N484">
        <v>111675</v>
      </c>
      <c r="O484" t="s">
        <v>53</v>
      </c>
      <c r="P484" t="s">
        <v>54</v>
      </c>
      <c r="Q484" t="s">
        <v>138</v>
      </c>
      <c r="R484" t="s">
        <v>93</v>
      </c>
      <c r="S484" t="s">
        <v>57</v>
      </c>
      <c r="T484" t="s">
        <v>58</v>
      </c>
      <c r="U484" t="s">
        <v>81</v>
      </c>
      <c r="V484">
        <v>0.241198</v>
      </c>
      <c r="W484" t="s">
        <v>53</v>
      </c>
      <c r="X484" t="s">
        <v>53</v>
      </c>
      <c r="Y484" t="s">
        <v>795</v>
      </c>
      <c r="Z484" t="str">
        <f t="shared" si="14"/>
        <v>Mayor que 500 - hasta 600</v>
      </c>
      <c r="AA484">
        <f t="shared" si="15"/>
        <v>1</v>
      </c>
      <c r="AB484">
        <v>25286</v>
      </c>
      <c r="AC484" t="s">
        <v>330</v>
      </c>
      <c r="AD484" t="s">
        <v>804</v>
      </c>
      <c r="AE484">
        <v>0</v>
      </c>
      <c r="AF484" t="s">
        <v>63</v>
      </c>
      <c r="AG484">
        <v>0</v>
      </c>
      <c r="AH484" t="s">
        <v>330</v>
      </c>
      <c r="AI484" t="s">
        <v>332</v>
      </c>
      <c r="AJ484">
        <v>0.45638499999999999</v>
      </c>
      <c r="AK484" t="s">
        <v>63</v>
      </c>
      <c r="AL484">
        <v>18.903658</v>
      </c>
      <c r="AM484" s="4" t="s">
        <v>65</v>
      </c>
      <c r="AN484" s="5">
        <v>2453.9127704121161</v>
      </c>
      <c r="AO484" s="4" t="s">
        <v>65</v>
      </c>
      <c r="AP484" s="6">
        <v>654</v>
      </c>
      <c r="AQ484">
        <v>1</v>
      </c>
      <c r="AR484">
        <v>4891.4966510000004</v>
      </c>
      <c r="AS484" t="s">
        <v>66</v>
      </c>
      <c r="AT484" t="s">
        <v>53</v>
      </c>
    </row>
    <row r="485" spans="1:46">
      <c r="A485">
        <v>782</v>
      </c>
      <c r="B485" t="s">
        <v>46</v>
      </c>
      <c r="C485">
        <v>25</v>
      </c>
      <c r="D485">
        <v>288</v>
      </c>
      <c r="E485" t="s">
        <v>805</v>
      </c>
      <c r="F485" t="s">
        <v>752</v>
      </c>
      <c r="G485">
        <v>25288</v>
      </c>
      <c r="H485">
        <v>25288</v>
      </c>
      <c r="I485" t="s">
        <v>49</v>
      </c>
      <c r="J485">
        <v>2515</v>
      </c>
      <c r="K485" t="s">
        <v>782</v>
      </c>
      <c r="L485" t="s">
        <v>69</v>
      </c>
      <c r="M485" t="s">
        <v>53</v>
      </c>
      <c r="N485">
        <v>5659</v>
      </c>
      <c r="O485" t="s">
        <v>53</v>
      </c>
      <c r="P485" t="s">
        <v>70</v>
      </c>
      <c r="Q485" t="s">
        <v>71</v>
      </c>
      <c r="R485" t="s">
        <v>56</v>
      </c>
      <c r="S485" t="s">
        <v>57</v>
      </c>
      <c r="T485" t="s">
        <v>58</v>
      </c>
      <c r="U485" t="s">
        <v>81</v>
      </c>
      <c r="V485">
        <v>0.51611499999999999</v>
      </c>
      <c r="W485" t="s">
        <v>53</v>
      </c>
      <c r="X485" t="s">
        <v>53</v>
      </c>
      <c r="Y485" t="s">
        <v>183</v>
      </c>
      <c r="Z485" t="str">
        <f t="shared" si="14"/>
        <v>Mayor que 120 - hasta 140</v>
      </c>
      <c r="AA485">
        <f t="shared" si="15"/>
        <v>1</v>
      </c>
      <c r="AB485">
        <v>25288</v>
      </c>
      <c r="AC485" t="s">
        <v>330</v>
      </c>
      <c r="AD485" t="s">
        <v>783</v>
      </c>
      <c r="AE485">
        <v>0.50718399999999997</v>
      </c>
      <c r="AF485" t="s">
        <v>63</v>
      </c>
      <c r="AG485">
        <v>12.988225</v>
      </c>
      <c r="AH485" t="s">
        <v>330</v>
      </c>
      <c r="AI485" t="s">
        <v>332</v>
      </c>
      <c r="AJ485">
        <v>2.3955929999999999</v>
      </c>
      <c r="AK485" t="s">
        <v>77</v>
      </c>
      <c r="AL485">
        <v>104.97443</v>
      </c>
      <c r="AM485" s="4" t="s">
        <v>65</v>
      </c>
      <c r="AN485" s="5">
        <v>5622.1866748346947</v>
      </c>
      <c r="AO485" s="4" t="s">
        <v>65</v>
      </c>
      <c r="AP485" s="6">
        <v>4330</v>
      </c>
      <c r="AQ485">
        <v>3</v>
      </c>
      <c r="AR485">
        <v>4874.3855869999998</v>
      </c>
      <c r="AS485" t="s">
        <v>66</v>
      </c>
      <c r="AT485" t="s">
        <v>53</v>
      </c>
    </row>
    <row r="486" spans="1:46">
      <c r="A486">
        <v>1113</v>
      </c>
      <c r="B486" t="s">
        <v>46</v>
      </c>
      <c r="C486">
        <v>25</v>
      </c>
      <c r="D486">
        <v>290</v>
      </c>
      <c r="E486" t="s">
        <v>806</v>
      </c>
      <c r="F486" t="s">
        <v>752</v>
      </c>
      <c r="G486">
        <v>25290</v>
      </c>
      <c r="H486">
        <v>25290</v>
      </c>
      <c r="I486" t="s">
        <v>49</v>
      </c>
      <c r="J486">
        <v>2513</v>
      </c>
      <c r="K486" t="s">
        <v>762</v>
      </c>
      <c r="L486" t="s">
        <v>51</v>
      </c>
      <c r="M486" t="s">
        <v>53</v>
      </c>
      <c r="N486">
        <v>165143</v>
      </c>
      <c r="O486" t="s">
        <v>53</v>
      </c>
      <c r="P486" t="s">
        <v>54</v>
      </c>
      <c r="Q486" t="s">
        <v>210</v>
      </c>
      <c r="R486" t="s">
        <v>105</v>
      </c>
      <c r="S486" t="s">
        <v>57</v>
      </c>
      <c r="T486" t="s">
        <v>58</v>
      </c>
      <c r="U486" t="s">
        <v>81</v>
      </c>
      <c r="V486">
        <v>0.153807</v>
      </c>
      <c r="W486" t="s">
        <v>53</v>
      </c>
      <c r="X486" t="s">
        <v>53</v>
      </c>
      <c r="Y486" t="s">
        <v>139</v>
      </c>
      <c r="Z486" t="str">
        <f t="shared" si="14"/>
        <v>Mayor que 300 - hasta 400</v>
      </c>
      <c r="AA486">
        <f t="shared" si="15"/>
        <v>1</v>
      </c>
      <c r="AB486">
        <v>25290</v>
      </c>
      <c r="AC486" t="s">
        <v>330</v>
      </c>
      <c r="AD486" t="s">
        <v>763</v>
      </c>
      <c r="AE486">
        <v>0</v>
      </c>
      <c r="AF486" t="s">
        <v>63</v>
      </c>
      <c r="AG486">
        <v>0</v>
      </c>
      <c r="AH486" t="s">
        <v>330</v>
      </c>
      <c r="AI486" t="s">
        <v>332</v>
      </c>
      <c r="AJ486">
        <v>1.6471020000000001</v>
      </c>
      <c r="AK486" t="s">
        <v>76</v>
      </c>
      <c r="AL486">
        <v>68.942345000000003</v>
      </c>
      <c r="AM486" s="4" t="s">
        <v>65</v>
      </c>
      <c r="AN486" s="5">
        <v>10940.341941233044</v>
      </c>
      <c r="AO486" s="4" t="s">
        <v>65</v>
      </c>
      <c r="AP486" s="6">
        <v>6846</v>
      </c>
      <c r="AQ486">
        <v>4</v>
      </c>
      <c r="AR486">
        <v>5539.7374360000003</v>
      </c>
      <c r="AS486" t="s">
        <v>66</v>
      </c>
      <c r="AT486" t="s">
        <v>53</v>
      </c>
    </row>
    <row r="487" spans="1:46">
      <c r="A487">
        <v>783</v>
      </c>
      <c r="B487" t="s">
        <v>46</v>
      </c>
      <c r="C487">
        <v>25</v>
      </c>
      <c r="D487">
        <v>293</v>
      </c>
      <c r="E487" t="s">
        <v>807</v>
      </c>
      <c r="F487" t="s">
        <v>752</v>
      </c>
      <c r="G487">
        <v>25293</v>
      </c>
      <c r="H487">
        <v>25293</v>
      </c>
      <c r="I487" t="s">
        <v>49</v>
      </c>
      <c r="J487">
        <v>2505</v>
      </c>
      <c r="K487" t="s">
        <v>808</v>
      </c>
      <c r="L487" t="s">
        <v>69</v>
      </c>
      <c r="M487" t="s">
        <v>53</v>
      </c>
      <c r="N487">
        <v>4990</v>
      </c>
      <c r="O487" t="s">
        <v>53</v>
      </c>
      <c r="P487" t="s">
        <v>70</v>
      </c>
      <c r="Q487" t="s">
        <v>71</v>
      </c>
      <c r="R487" t="s">
        <v>93</v>
      </c>
      <c r="S487" t="s">
        <v>57</v>
      </c>
      <c r="T487" t="s">
        <v>58</v>
      </c>
      <c r="U487" t="s">
        <v>81</v>
      </c>
      <c r="V487">
        <v>0.75361100000000003</v>
      </c>
      <c r="W487" t="s">
        <v>53</v>
      </c>
      <c r="X487" t="s">
        <v>53</v>
      </c>
      <c r="Y487" t="s">
        <v>187</v>
      </c>
      <c r="Z487" t="str">
        <f t="shared" si="14"/>
        <v>Mayor que 80 - hasta 100</v>
      </c>
      <c r="AA487">
        <f t="shared" si="15"/>
        <v>1</v>
      </c>
      <c r="AB487">
        <v>25293</v>
      </c>
      <c r="AC487" t="s">
        <v>330</v>
      </c>
      <c r="AD487" t="s">
        <v>809</v>
      </c>
      <c r="AE487">
        <v>4.5807799999999999</v>
      </c>
      <c r="AF487" t="s">
        <v>85</v>
      </c>
      <c r="AG487">
        <v>71.063665</v>
      </c>
      <c r="AH487" t="s">
        <v>330</v>
      </c>
      <c r="AI487" t="s">
        <v>332</v>
      </c>
      <c r="AJ487">
        <v>5.4586430000000004</v>
      </c>
      <c r="AK487" t="s">
        <v>181</v>
      </c>
      <c r="AL487">
        <v>118.186919</v>
      </c>
      <c r="AM487" s="4" t="s">
        <v>65</v>
      </c>
      <c r="AN487" s="5">
        <v>9712.681759810157</v>
      </c>
      <c r="AO487" s="4" t="s">
        <v>65</v>
      </c>
      <c r="AP487" s="6">
        <v>2463</v>
      </c>
      <c r="AQ487">
        <v>3</v>
      </c>
      <c r="AR487">
        <v>11026.578634</v>
      </c>
      <c r="AS487" t="s">
        <v>66</v>
      </c>
      <c r="AT487" t="s">
        <v>53</v>
      </c>
    </row>
    <row r="488" spans="1:46">
      <c r="A488">
        <v>784</v>
      </c>
      <c r="B488" t="s">
        <v>46</v>
      </c>
      <c r="C488">
        <v>25</v>
      </c>
      <c r="D488">
        <v>295</v>
      </c>
      <c r="E488" t="s">
        <v>810</v>
      </c>
      <c r="F488" t="s">
        <v>752</v>
      </c>
      <c r="G488">
        <v>25295</v>
      </c>
      <c r="H488">
        <v>25295</v>
      </c>
      <c r="I488" t="s">
        <v>49</v>
      </c>
      <c r="J488">
        <v>2510</v>
      </c>
      <c r="K488" t="s">
        <v>774</v>
      </c>
      <c r="L488" t="s">
        <v>51</v>
      </c>
      <c r="M488" t="s">
        <v>53</v>
      </c>
      <c r="N488">
        <v>20142</v>
      </c>
      <c r="O488" t="s">
        <v>53</v>
      </c>
      <c r="P488" t="s">
        <v>70</v>
      </c>
      <c r="Q488" t="s">
        <v>71</v>
      </c>
      <c r="R488" t="s">
        <v>93</v>
      </c>
      <c r="S488" t="s">
        <v>57</v>
      </c>
      <c r="T488" t="s">
        <v>58</v>
      </c>
      <c r="U488" t="s">
        <v>59</v>
      </c>
      <c r="V488">
        <v>0.314305</v>
      </c>
      <c r="W488" t="s">
        <v>53</v>
      </c>
      <c r="X488" t="s">
        <v>53</v>
      </c>
      <c r="Y488" t="s">
        <v>195</v>
      </c>
      <c r="Z488" t="str">
        <f t="shared" si="14"/>
        <v>Mayor que 250 - hasta 300</v>
      </c>
      <c r="AA488">
        <f t="shared" si="15"/>
        <v>1</v>
      </c>
      <c r="AB488">
        <v>25295</v>
      </c>
      <c r="AC488" t="s">
        <v>330</v>
      </c>
      <c r="AD488" t="s">
        <v>411</v>
      </c>
      <c r="AE488">
        <v>9.7212000000000007E-2</v>
      </c>
      <c r="AF488" t="s">
        <v>63</v>
      </c>
      <c r="AG488">
        <v>5.5012189999999999</v>
      </c>
      <c r="AH488" t="s">
        <v>330</v>
      </c>
      <c r="AI488" t="s">
        <v>332</v>
      </c>
      <c r="AJ488">
        <v>1.044187</v>
      </c>
      <c r="AK488" t="s">
        <v>76</v>
      </c>
      <c r="AL488">
        <v>54.921529999999997</v>
      </c>
      <c r="AM488" s="4" t="s">
        <v>65</v>
      </c>
      <c r="AN488" s="5">
        <v>2322.310781021687</v>
      </c>
      <c r="AO488" s="4" t="s">
        <v>65</v>
      </c>
      <c r="AP488" s="6">
        <v>1396</v>
      </c>
      <c r="AQ488">
        <v>4</v>
      </c>
      <c r="AR488">
        <v>1861.851277</v>
      </c>
      <c r="AS488" t="s">
        <v>66</v>
      </c>
      <c r="AT488" t="s">
        <v>53</v>
      </c>
    </row>
    <row r="489" spans="1:46">
      <c r="A489">
        <v>785</v>
      </c>
      <c r="B489" t="s">
        <v>46</v>
      </c>
      <c r="C489">
        <v>25</v>
      </c>
      <c r="D489">
        <v>297</v>
      </c>
      <c r="E489" t="s">
        <v>811</v>
      </c>
      <c r="F489" t="s">
        <v>752</v>
      </c>
      <c r="G489">
        <v>25297</v>
      </c>
      <c r="H489">
        <v>25297</v>
      </c>
      <c r="I489" t="s">
        <v>49</v>
      </c>
      <c r="J489">
        <v>2505</v>
      </c>
      <c r="K489" t="s">
        <v>808</v>
      </c>
      <c r="L489" t="s">
        <v>69</v>
      </c>
      <c r="M489" t="s">
        <v>53</v>
      </c>
      <c r="N489">
        <v>9583</v>
      </c>
      <c r="O489" t="s">
        <v>53</v>
      </c>
      <c r="P489" t="s">
        <v>70</v>
      </c>
      <c r="Q489" t="s">
        <v>71</v>
      </c>
      <c r="R489" t="s">
        <v>105</v>
      </c>
      <c r="S489" t="s">
        <v>57</v>
      </c>
      <c r="T489" t="s">
        <v>58</v>
      </c>
      <c r="U489" t="s">
        <v>81</v>
      </c>
      <c r="V489">
        <v>0.70524900000000001</v>
      </c>
      <c r="W489" t="s">
        <v>53</v>
      </c>
      <c r="X489" t="s">
        <v>53</v>
      </c>
      <c r="Y489" t="s">
        <v>228</v>
      </c>
      <c r="Z489" t="str">
        <f t="shared" si="14"/>
        <v>Mayor que 180 - hasta 200</v>
      </c>
      <c r="AA489">
        <f t="shared" si="15"/>
        <v>1</v>
      </c>
      <c r="AB489">
        <v>25297</v>
      </c>
      <c r="AC489" t="s">
        <v>330</v>
      </c>
      <c r="AD489" t="s">
        <v>809</v>
      </c>
      <c r="AE489">
        <v>2.7557900000000002</v>
      </c>
      <c r="AF489" t="s">
        <v>77</v>
      </c>
      <c r="AG489">
        <v>44.938687000000002</v>
      </c>
      <c r="AH489" t="s">
        <v>330</v>
      </c>
      <c r="AI489" t="s">
        <v>332</v>
      </c>
      <c r="AJ489">
        <v>3.6336529999999998</v>
      </c>
      <c r="AK489" t="s">
        <v>84</v>
      </c>
      <c r="AL489">
        <v>92.061941000000004</v>
      </c>
      <c r="AM489" s="4" t="s">
        <v>65</v>
      </c>
      <c r="AN489" s="5">
        <v>14661.856321824251</v>
      </c>
      <c r="AO489" s="4" t="s">
        <v>65</v>
      </c>
      <c r="AP489" s="6">
        <v>8299</v>
      </c>
      <c r="AQ489">
        <v>3</v>
      </c>
      <c r="AR489">
        <v>6548.9954360000002</v>
      </c>
      <c r="AS489" t="s">
        <v>66</v>
      </c>
      <c r="AT489" t="s">
        <v>53</v>
      </c>
    </row>
    <row r="490" spans="1:46">
      <c r="A490">
        <v>786</v>
      </c>
      <c r="B490" t="s">
        <v>46</v>
      </c>
      <c r="C490">
        <v>25</v>
      </c>
      <c r="D490">
        <v>299</v>
      </c>
      <c r="E490" t="s">
        <v>812</v>
      </c>
      <c r="F490" t="s">
        <v>752</v>
      </c>
      <c r="G490">
        <v>25299</v>
      </c>
      <c r="H490">
        <v>25299</v>
      </c>
      <c r="I490" t="s">
        <v>49</v>
      </c>
      <c r="J490">
        <v>2505</v>
      </c>
      <c r="K490" t="s">
        <v>808</v>
      </c>
      <c r="L490" t="s">
        <v>80</v>
      </c>
      <c r="M490" t="s">
        <v>53</v>
      </c>
      <c r="N490">
        <v>3556</v>
      </c>
      <c r="O490" t="s">
        <v>53</v>
      </c>
      <c r="P490" t="s">
        <v>70</v>
      </c>
      <c r="Q490" t="s">
        <v>71</v>
      </c>
      <c r="R490" t="s">
        <v>56</v>
      </c>
      <c r="S490" t="s">
        <v>57</v>
      </c>
      <c r="T490" t="s">
        <v>58</v>
      </c>
      <c r="U490" t="s">
        <v>81</v>
      </c>
      <c r="V490">
        <v>0.79211799999999999</v>
      </c>
      <c r="W490" t="s">
        <v>53</v>
      </c>
      <c r="X490" t="s">
        <v>53</v>
      </c>
      <c r="Y490" t="s">
        <v>187</v>
      </c>
      <c r="Z490" t="str">
        <f t="shared" si="14"/>
        <v>Mayor que 80 - hasta 100</v>
      </c>
      <c r="AA490">
        <f t="shared" si="15"/>
        <v>1</v>
      </c>
      <c r="AB490">
        <v>25299</v>
      </c>
      <c r="AC490" t="s">
        <v>330</v>
      </c>
      <c r="AD490" t="s">
        <v>809</v>
      </c>
      <c r="AE490">
        <v>3.3942459999999999</v>
      </c>
      <c r="AF490" t="s">
        <v>84</v>
      </c>
      <c r="AG490">
        <v>53.612698000000002</v>
      </c>
      <c r="AH490" t="s">
        <v>330</v>
      </c>
      <c r="AI490" t="s">
        <v>332</v>
      </c>
      <c r="AJ490">
        <v>4.2721090000000004</v>
      </c>
      <c r="AK490" t="s">
        <v>85</v>
      </c>
      <c r="AL490">
        <v>100.735952</v>
      </c>
      <c r="AM490" s="4" t="s">
        <v>65</v>
      </c>
      <c r="AN490" s="5">
        <v>4819.3912324321755</v>
      </c>
      <c r="AO490" s="4" t="s">
        <v>65</v>
      </c>
      <c r="AP490" s="6">
        <v>2484</v>
      </c>
      <c r="AQ490">
        <v>3</v>
      </c>
      <c r="AR490">
        <v>2859.1412059999998</v>
      </c>
      <c r="AS490" t="s">
        <v>66</v>
      </c>
      <c r="AT490" t="s">
        <v>53</v>
      </c>
    </row>
    <row r="491" spans="1:46">
      <c r="A491">
        <v>1107</v>
      </c>
      <c r="B491" t="s">
        <v>46</v>
      </c>
      <c r="C491">
        <v>25</v>
      </c>
      <c r="D491">
        <v>307</v>
      </c>
      <c r="E491" t="s">
        <v>813</v>
      </c>
      <c r="F491" t="s">
        <v>752</v>
      </c>
      <c r="G491">
        <v>25307</v>
      </c>
      <c r="H491">
        <v>25307</v>
      </c>
      <c r="I491" t="s">
        <v>49</v>
      </c>
      <c r="J491">
        <v>2502</v>
      </c>
      <c r="K491" t="s">
        <v>753</v>
      </c>
      <c r="L491" t="s">
        <v>51</v>
      </c>
      <c r="M491" t="s">
        <v>53</v>
      </c>
      <c r="N491">
        <v>119446</v>
      </c>
      <c r="O491" t="s">
        <v>53</v>
      </c>
      <c r="P491" t="s">
        <v>54</v>
      </c>
      <c r="Q491" t="s">
        <v>210</v>
      </c>
      <c r="R491" t="s">
        <v>294</v>
      </c>
      <c r="S491" t="s">
        <v>57</v>
      </c>
      <c r="T491" t="s">
        <v>58</v>
      </c>
      <c r="U491" t="s">
        <v>81</v>
      </c>
      <c r="V491">
        <v>0.276256</v>
      </c>
      <c r="W491" t="s">
        <v>53</v>
      </c>
      <c r="X491" t="s">
        <v>53</v>
      </c>
      <c r="Y491" t="s">
        <v>437</v>
      </c>
      <c r="Z491" t="str">
        <f t="shared" si="14"/>
        <v>Mayor que 160 - hasta 180</v>
      </c>
      <c r="AA491">
        <f t="shared" si="15"/>
        <v>1</v>
      </c>
      <c r="AB491">
        <v>25307</v>
      </c>
      <c r="AC491" t="s">
        <v>330</v>
      </c>
      <c r="AD491" t="s">
        <v>813</v>
      </c>
      <c r="AE491">
        <v>0</v>
      </c>
      <c r="AF491" t="s">
        <v>63</v>
      </c>
      <c r="AG491">
        <v>0</v>
      </c>
      <c r="AH491" t="s">
        <v>564</v>
      </c>
      <c r="AI491" t="s">
        <v>565</v>
      </c>
      <c r="AJ491">
        <v>1.6896180000000001</v>
      </c>
      <c r="AK491" t="s">
        <v>76</v>
      </c>
      <c r="AL491">
        <v>66.133514000000005</v>
      </c>
      <c r="AM491" s="4" t="s">
        <v>64</v>
      </c>
      <c r="AN491" s="5">
        <v>4729.4502572997599</v>
      </c>
      <c r="AO491" s="4" t="s">
        <v>65</v>
      </c>
      <c r="AP491" s="6">
        <v>1185</v>
      </c>
      <c r="AQ491">
        <v>4</v>
      </c>
      <c r="AR491">
        <v>5068.7684179999997</v>
      </c>
      <c r="AS491" t="s">
        <v>66</v>
      </c>
      <c r="AT491" t="s">
        <v>53</v>
      </c>
    </row>
    <row r="492" spans="1:46">
      <c r="A492">
        <v>787</v>
      </c>
      <c r="B492" t="s">
        <v>46</v>
      </c>
      <c r="C492">
        <v>25</v>
      </c>
      <c r="D492">
        <v>312</v>
      </c>
      <c r="E492" t="s">
        <v>197</v>
      </c>
      <c r="F492" t="s">
        <v>752</v>
      </c>
      <c r="G492">
        <v>25312</v>
      </c>
      <c r="H492">
        <v>25312</v>
      </c>
      <c r="I492" t="s">
        <v>49</v>
      </c>
      <c r="J492">
        <v>2513</v>
      </c>
      <c r="K492" t="s">
        <v>762</v>
      </c>
      <c r="L492" t="s">
        <v>91</v>
      </c>
      <c r="M492" t="s">
        <v>53</v>
      </c>
      <c r="N492">
        <v>8237</v>
      </c>
      <c r="O492" t="s">
        <v>53</v>
      </c>
      <c r="P492" t="s">
        <v>70</v>
      </c>
      <c r="Q492" t="s">
        <v>71</v>
      </c>
      <c r="R492" t="s">
        <v>122</v>
      </c>
      <c r="S492" t="s">
        <v>57</v>
      </c>
      <c r="T492" t="s">
        <v>58</v>
      </c>
      <c r="U492" t="s">
        <v>59</v>
      </c>
      <c r="V492">
        <v>0.13086</v>
      </c>
      <c r="W492" t="s">
        <v>53</v>
      </c>
      <c r="X492" t="s">
        <v>53</v>
      </c>
      <c r="Y492" t="s">
        <v>437</v>
      </c>
      <c r="Z492" t="str">
        <f t="shared" si="14"/>
        <v>Mayor que 160 - hasta 180</v>
      </c>
      <c r="AA492">
        <f t="shared" si="15"/>
        <v>1</v>
      </c>
      <c r="AB492">
        <v>25312</v>
      </c>
      <c r="AC492" t="s">
        <v>330</v>
      </c>
      <c r="AD492" t="s">
        <v>798</v>
      </c>
      <c r="AE492">
        <v>0.59946900000000003</v>
      </c>
      <c r="AF492" t="s">
        <v>63</v>
      </c>
      <c r="AG492">
        <v>22.852186</v>
      </c>
      <c r="AH492" t="s">
        <v>330</v>
      </c>
      <c r="AI492" t="s">
        <v>332</v>
      </c>
      <c r="AJ492">
        <v>0.99424299999999999</v>
      </c>
      <c r="AK492" t="s">
        <v>63</v>
      </c>
      <c r="AL492">
        <v>41.510260000000002</v>
      </c>
      <c r="AM492" s="4" t="s">
        <v>65</v>
      </c>
      <c r="AN492" s="5">
        <v>3660.8184782448279</v>
      </c>
      <c r="AO492" s="4" t="s">
        <v>65</v>
      </c>
      <c r="AP492" s="6">
        <v>1900</v>
      </c>
      <c r="AQ492">
        <v>2</v>
      </c>
      <c r="AR492">
        <v>3551.1955910000001</v>
      </c>
      <c r="AS492" t="s">
        <v>66</v>
      </c>
      <c r="AT492" t="s">
        <v>53</v>
      </c>
    </row>
    <row r="493" spans="1:46">
      <c r="A493">
        <v>788</v>
      </c>
      <c r="B493" t="s">
        <v>46</v>
      </c>
      <c r="C493">
        <v>25</v>
      </c>
      <c r="D493">
        <v>317</v>
      </c>
      <c r="E493" t="s">
        <v>814</v>
      </c>
      <c r="F493" t="s">
        <v>752</v>
      </c>
      <c r="G493">
        <v>25317</v>
      </c>
      <c r="H493">
        <v>25317</v>
      </c>
      <c r="I493" t="s">
        <v>49</v>
      </c>
      <c r="J493">
        <v>2515</v>
      </c>
      <c r="K493" t="s">
        <v>782</v>
      </c>
      <c r="L493" t="s">
        <v>91</v>
      </c>
      <c r="M493" t="s">
        <v>53</v>
      </c>
      <c r="N493">
        <v>15528</v>
      </c>
      <c r="O493" t="s">
        <v>53</v>
      </c>
      <c r="P493" t="s">
        <v>70</v>
      </c>
      <c r="Q493" t="s">
        <v>71</v>
      </c>
      <c r="R493" t="s">
        <v>93</v>
      </c>
      <c r="S493" t="s">
        <v>57</v>
      </c>
      <c r="T493" t="s">
        <v>58</v>
      </c>
      <c r="U493" t="s">
        <v>81</v>
      </c>
      <c r="V493">
        <v>0.56541300000000005</v>
      </c>
      <c r="W493" t="s">
        <v>53</v>
      </c>
      <c r="X493" t="s">
        <v>53</v>
      </c>
      <c r="Y493" t="s">
        <v>187</v>
      </c>
      <c r="Z493" t="str">
        <f t="shared" si="14"/>
        <v>Mayor que 80 - hasta 100</v>
      </c>
      <c r="AA493">
        <f t="shared" si="15"/>
        <v>1</v>
      </c>
      <c r="AB493">
        <v>25317</v>
      </c>
      <c r="AC493" t="s">
        <v>330</v>
      </c>
      <c r="AD493" t="s">
        <v>783</v>
      </c>
      <c r="AE493">
        <v>0.67130199999999995</v>
      </c>
      <c r="AF493" t="s">
        <v>63</v>
      </c>
      <c r="AG493">
        <v>20.596551000000002</v>
      </c>
      <c r="AH493" t="s">
        <v>234</v>
      </c>
      <c r="AI493" t="s">
        <v>407</v>
      </c>
      <c r="AJ493">
        <v>1.8965829999999999</v>
      </c>
      <c r="AK493" t="s">
        <v>76</v>
      </c>
      <c r="AL493">
        <v>51.642850000000003</v>
      </c>
      <c r="AM493" s="4" t="s">
        <v>65</v>
      </c>
      <c r="AN493" s="5">
        <v>12908.885815089674</v>
      </c>
      <c r="AO493" s="4" t="s">
        <v>65</v>
      </c>
      <c r="AP493" s="6">
        <v>5950</v>
      </c>
      <c r="AQ493">
        <v>3</v>
      </c>
      <c r="AR493">
        <v>11153.787075</v>
      </c>
      <c r="AS493" t="s">
        <v>66</v>
      </c>
      <c r="AT493" t="s">
        <v>53</v>
      </c>
    </row>
    <row r="494" spans="1:46">
      <c r="A494">
        <v>789</v>
      </c>
      <c r="B494" t="s">
        <v>46</v>
      </c>
      <c r="C494">
        <v>25</v>
      </c>
      <c r="D494">
        <v>320</v>
      </c>
      <c r="E494" t="s">
        <v>815</v>
      </c>
      <c r="F494" t="s">
        <v>752</v>
      </c>
      <c r="G494">
        <v>25320</v>
      </c>
      <c r="H494">
        <v>25320</v>
      </c>
      <c r="I494" t="s">
        <v>49</v>
      </c>
      <c r="J494">
        <v>2503</v>
      </c>
      <c r="K494" t="s">
        <v>779</v>
      </c>
      <c r="L494" t="s">
        <v>91</v>
      </c>
      <c r="M494" t="s">
        <v>53</v>
      </c>
      <c r="N494">
        <v>35904</v>
      </c>
      <c r="O494" t="s">
        <v>53</v>
      </c>
      <c r="P494" t="s">
        <v>92</v>
      </c>
      <c r="Q494" t="s">
        <v>71</v>
      </c>
      <c r="R494" t="s">
        <v>72</v>
      </c>
      <c r="S494" t="s">
        <v>57</v>
      </c>
      <c r="T494" t="s">
        <v>58</v>
      </c>
      <c r="U494" t="s">
        <v>81</v>
      </c>
      <c r="V494">
        <v>0.26388899999999998</v>
      </c>
      <c r="W494" t="s">
        <v>53</v>
      </c>
      <c r="X494" t="s">
        <v>53</v>
      </c>
      <c r="Y494" t="s">
        <v>127</v>
      </c>
      <c r="Z494" t="str">
        <f t="shared" si="14"/>
        <v>Mayor que 70 - hasta 80</v>
      </c>
      <c r="AA494">
        <f t="shared" si="15"/>
        <v>1</v>
      </c>
      <c r="AB494">
        <v>25320</v>
      </c>
      <c r="AC494" t="s">
        <v>564</v>
      </c>
      <c r="AD494" t="s">
        <v>569</v>
      </c>
      <c r="AE494">
        <v>1.540529</v>
      </c>
      <c r="AF494" t="s">
        <v>76</v>
      </c>
      <c r="AG494">
        <v>49.162951</v>
      </c>
      <c r="AH494" t="s">
        <v>330</v>
      </c>
      <c r="AI494" t="s">
        <v>332</v>
      </c>
      <c r="AJ494">
        <v>3.226175</v>
      </c>
      <c r="AK494" t="s">
        <v>84</v>
      </c>
      <c r="AL494">
        <v>104.66387400000001</v>
      </c>
      <c r="AM494" s="4" t="s">
        <v>64</v>
      </c>
      <c r="AN494" s="5">
        <v>35835.219574606926</v>
      </c>
      <c r="AO494" s="4" t="s">
        <v>65</v>
      </c>
      <c r="AP494" s="6">
        <v>3172</v>
      </c>
      <c r="AQ494">
        <v>3</v>
      </c>
      <c r="AR494">
        <v>32416.223865</v>
      </c>
      <c r="AS494" t="s">
        <v>66</v>
      </c>
      <c r="AT494" t="s">
        <v>53</v>
      </c>
    </row>
    <row r="495" spans="1:46">
      <c r="A495">
        <v>790</v>
      </c>
      <c r="B495" t="s">
        <v>46</v>
      </c>
      <c r="C495">
        <v>25</v>
      </c>
      <c r="D495">
        <v>322</v>
      </c>
      <c r="E495" t="s">
        <v>816</v>
      </c>
      <c r="F495" t="s">
        <v>752</v>
      </c>
      <c r="G495">
        <v>25322</v>
      </c>
      <c r="H495">
        <v>25322</v>
      </c>
      <c r="I495" t="s">
        <v>49</v>
      </c>
      <c r="J495">
        <v>2505</v>
      </c>
      <c r="K495" t="s">
        <v>808</v>
      </c>
      <c r="L495" t="s">
        <v>69</v>
      </c>
      <c r="M495" t="s">
        <v>53</v>
      </c>
      <c r="N495">
        <v>17989</v>
      </c>
      <c r="O495" t="s">
        <v>53</v>
      </c>
      <c r="P495" t="s">
        <v>70</v>
      </c>
      <c r="Q495" t="s">
        <v>71</v>
      </c>
      <c r="R495" t="s">
        <v>72</v>
      </c>
      <c r="S495" t="s">
        <v>57</v>
      </c>
      <c r="T495" t="s">
        <v>58</v>
      </c>
      <c r="U495" t="s">
        <v>81</v>
      </c>
      <c r="V495">
        <v>0.51875000000000004</v>
      </c>
      <c r="W495" t="s">
        <v>53</v>
      </c>
      <c r="X495" t="s">
        <v>53</v>
      </c>
      <c r="Y495" t="s">
        <v>139</v>
      </c>
      <c r="Z495" t="str">
        <f t="shared" si="14"/>
        <v>Mayor que 300 - hasta 400</v>
      </c>
      <c r="AA495">
        <f t="shared" si="15"/>
        <v>1</v>
      </c>
      <c r="AB495">
        <v>25322</v>
      </c>
      <c r="AC495" t="s">
        <v>330</v>
      </c>
      <c r="AD495" t="s">
        <v>809</v>
      </c>
      <c r="AE495">
        <v>0.33631899999999998</v>
      </c>
      <c r="AF495" t="s">
        <v>63</v>
      </c>
      <c r="AG495">
        <v>9.9568539999999999</v>
      </c>
      <c r="AH495" t="s">
        <v>330</v>
      </c>
      <c r="AI495" t="s">
        <v>332</v>
      </c>
      <c r="AJ495">
        <v>1.2141820000000001</v>
      </c>
      <c r="AK495" t="s">
        <v>76</v>
      </c>
      <c r="AL495">
        <v>57.080108000000003</v>
      </c>
      <c r="AM495" s="4" t="s">
        <v>65</v>
      </c>
      <c r="AN495" s="5">
        <v>9207.0194440599225</v>
      </c>
      <c r="AO495" s="4" t="s">
        <v>65</v>
      </c>
      <c r="AP495" s="6">
        <v>4524</v>
      </c>
      <c r="AQ495">
        <v>2</v>
      </c>
      <c r="AR495">
        <v>5715.569751</v>
      </c>
      <c r="AS495" t="s">
        <v>66</v>
      </c>
      <c r="AT495" t="s">
        <v>53</v>
      </c>
    </row>
    <row r="496" spans="1:46">
      <c r="A496">
        <v>791</v>
      </c>
      <c r="B496" t="s">
        <v>46</v>
      </c>
      <c r="C496">
        <v>25</v>
      </c>
      <c r="D496">
        <v>324</v>
      </c>
      <c r="E496" t="s">
        <v>817</v>
      </c>
      <c r="F496" t="s">
        <v>752</v>
      </c>
      <c r="G496">
        <v>25324</v>
      </c>
      <c r="H496">
        <v>25324</v>
      </c>
      <c r="I496" t="s">
        <v>49</v>
      </c>
      <c r="J496">
        <v>2502</v>
      </c>
      <c r="K496" t="s">
        <v>753</v>
      </c>
      <c r="L496" t="s">
        <v>69</v>
      </c>
      <c r="M496" t="s">
        <v>53</v>
      </c>
      <c r="N496">
        <v>3329</v>
      </c>
      <c r="O496" t="s">
        <v>53</v>
      </c>
      <c r="P496" t="s">
        <v>70</v>
      </c>
      <c r="Q496" t="s">
        <v>71</v>
      </c>
      <c r="R496" t="s">
        <v>72</v>
      </c>
      <c r="S496" t="s">
        <v>57</v>
      </c>
      <c r="T496" t="s">
        <v>58</v>
      </c>
      <c r="U496" t="s">
        <v>81</v>
      </c>
      <c r="V496">
        <v>0.57395499999999999</v>
      </c>
      <c r="W496" t="s">
        <v>53</v>
      </c>
      <c r="X496" t="s">
        <v>53</v>
      </c>
      <c r="Y496" t="s">
        <v>116</v>
      </c>
      <c r="Z496" t="str">
        <f t="shared" si="14"/>
        <v>Mayor que 30 - hasta 40</v>
      </c>
      <c r="AA496">
        <f t="shared" si="15"/>
        <v>1</v>
      </c>
      <c r="AB496">
        <v>25324</v>
      </c>
      <c r="AC496" t="s">
        <v>564</v>
      </c>
      <c r="AD496" t="s">
        <v>754</v>
      </c>
      <c r="AE496">
        <v>0.88849299999999998</v>
      </c>
      <c r="AF496" t="s">
        <v>63</v>
      </c>
      <c r="AG496">
        <v>43.806097000000001</v>
      </c>
      <c r="AH496" t="s">
        <v>564</v>
      </c>
      <c r="AI496" t="s">
        <v>565</v>
      </c>
      <c r="AJ496">
        <v>1.714062</v>
      </c>
      <c r="AK496" t="s">
        <v>76</v>
      </c>
      <c r="AL496">
        <v>64.938181999999998</v>
      </c>
      <c r="AM496" s="4" t="s">
        <v>64</v>
      </c>
      <c r="AN496" s="5">
        <v>4195.634431219416</v>
      </c>
      <c r="AO496" s="4" t="s">
        <v>65</v>
      </c>
      <c r="AP496" s="6">
        <v>283</v>
      </c>
      <c r="AQ496">
        <v>4</v>
      </c>
      <c r="AR496">
        <v>6528.1120680000004</v>
      </c>
      <c r="AS496" t="s">
        <v>66</v>
      </c>
      <c r="AT496" t="s">
        <v>53</v>
      </c>
    </row>
    <row r="497" spans="1:46">
      <c r="A497">
        <v>792</v>
      </c>
      <c r="B497" t="s">
        <v>46</v>
      </c>
      <c r="C497">
        <v>25</v>
      </c>
      <c r="D497">
        <v>326</v>
      </c>
      <c r="E497" t="s">
        <v>818</v>
      </c>
      <c r="F497" t="s">
        <v>752</v>
      </c>
      <c r="G497">
        <v>25326</v>
      </c>
      <c r="H497">
        <v>25326</v>
      </c>
      <c r="I497" t="s">
        <v>49</v>
      </c>
      <c r="J497">
        <v>2505</v>
      </c>
      <c r="K497" t="s">
        <v>808</v>
      </c>
      <c r="L497" t="s">
        <v>80</v>
      </c>
      <c r="M497" t="s">
        <v>53</v>
      </c>
      <c r="N497">
        <v>7382</v>
      </c>
      <c r="O497" t="s">
        <v>53</v>
      </c>
      <c r="P497" t="s">
        <v>70</v>
      </c>
      <c r="Q497" t="s">
        <v>71</v>
      </c>
      <c r="R497" t="s">
        <v>72</v>
      </c>
      <c r="S497" t="s">
        <v>57</v>
      </c>
      <c r="T497" t="s">
        <v>58</v>
      </c>
      <c r="U497" t="s">
        <v>81</v>
      </c>
      <c r="V497">
        <v>0.69630499999999995</v>
      </c>
      <c r="W497" t="s">
        <v>53</v>
      </c>
      <c r="X497" t="s">
        <v>53</v>
      </c>
      <c r="Y497" t="s">
        <v>139</v>
      </c>
      <c r="Z497" t="str">
        <f t="shared" si="14"/>
        <v>Mayor que 300 - hasta 400</v>
      </c>
      <c r="AA497">
        <f t="shared" si="15"/>
        <v>1</v>
      </c>
      <c r="AB497">
        <v>25326</v>
      </c>
      <c r="AC497" t="s">
        <v>330</v>
      </c>
      <c r="AD497" t="s">
        <v>809</v>
      </c>
      <c r="AE497">
        <v>0.53830599999999995</v>
      </c>
      <c r="AF497" t="s">
        <v>63</v>
      </c>
      <c r="AG497">
        <v>18.289444</v>
      </c>
      <c r="AH497" t="s">
        <v>330</v>
      </c>
      <c r="AI497" t="s">
        <v>332</v>
      </c>
      <c r="AJ497">
        <v>1.416169</v>
      </c>
      <c r="AK497" t="s">
        <v>76</v>
      </c>
      <c r="AL497">
        <v>65.412698000000006</v>
      </c>
      <c r="AM497" s="4" t="s">
        <v>65</v>
      </c>
      <c r="AN497" s="5">
        <v>8834.8920937363637</v>
      </c>
      <c r="AO497" s="4" t="s">
        <v>65</v>
      </c>
      <c r="AP497" s="6">
        <v>2937</v>
      </c>
      <c r="AQ497">
        <v>3</v>
      </c>
      <c r="AR497">
        <v>6564.603306</v>
      </c>
      <c r="AS497" t="s">
        <v>66</v>
      </c>
      <c r="AT497" t="s">
        <v>53</v>
      </c>
    </row>
    <row r="498" spans="1:46">
      <c r="A498">
        <v>793</v>
      </c>
      <c r="B498" t="s">
        <v>46</v>
      </c>
      <c r="C498">
        <v>25</v>
      </c>
      <c r="D498">
        <v>328</v>
      </c>
      <c r="E498" t="s">
        <v>819</v>
      </c>
      <c r="F498" t="s">
        <v>752</v>
      </c>
      <c r="G498">
        <v>25328</v>
      </c>
      <c r="H498">
        <v>25328</v>
      </c>
      <c r="I498" t="s">
        <v>49</v>
      </c>
      <c r="J498">
        <v>2506</v>
      </c>
      <c r="K498" t="s">
        <v>765</v>
      </c>
      <c r="L498" t="s">
        <v>69</v>
      </c>
      <c r="M498" t="s">
        <v>53</v>
      </c>
      <c r="N498">
        <v>5150</v>
      </c>
      <c r="O498" t="s">
        <v>53</v>
      </c>
      <c r="P498" t="s">
        <v>70</v>
      </c>
      <c r="Q498" t="s">
        <v>71</v>
      </c>
      <c r="R498" t="s">
        <v>93</v>
      </c>
      <c r="S498" t="s">
        <v>57</v>
      </c>
      <c r="T498" t="s">
        <v>73</v>
      </c>
      <c r="U498" t="s">
        <v>81</v>
      </c>
      <c r="V498">
        <v>0.51636400000000005</v>
      </c>
      <c r="W498" t="s">
        <v>53</v>
      </c>
      <c r="X498" t="s">
        <v>53</v>
      </c>
      <c r="Y498" t="s">
        <v>87</v>
      </c>
      <c r="Z498" t="str">
        <f t="shared" si="14"/>
        <v>Mayor que 40 - hasta 50</v>
      </c>
      <c r="AA498">
        <f t="shared" si="15"/>
        <v>1</v>
      </c>
      <c r="AB498">
        <v>25328</v>
      </c>
      <c r="AC498" t="s">
        <v>330</v>
      </c>
      <c r="AD498" t="s">
        <v>757</v>
      </c>
      <c r="AE498">
        <v>0.94633800000000001</v>
      </c>
      <c r="AF498" t="s">
        <v>63</v>
      </c>
      <c r="AG498">
        <v>24.414928</v>
      </c>
      <c r="AH498" t="s">
        <v>330</v>
      </c>
      <c r="AI498" t="s">
        <v>332</v>
      </c>
      <c r="AJ498">
        <v>1.6697839999999999</v>
      </c>
      <c r="AK498" t="s">
        <v>76</v>
      </c>
      <c r="AL498">
        <v>63.970771999999997</v>
      </c>
      <c r="AM498" s="4" t="s">
        <v>65</v>
      </c>
      <c r="AN498" s="5">
        <v>5257.5402265003349</v>
      </c>
      <c r="AO498" s="4" t="s">
        <v>65</v>
      </c>
      <c r="AP498" s="6">
        <v>2368</v>
      </c>
      <c r="AQ498">
        <v>4</v>
      </c>
      <c r="AR498">
        <v>3045.245613</v>
      </c>
      <c r="AS498" t="s">
        <v>66</v>
      </c>
      <c r="AT498" t="s">
        <v>53</v>
      </c>
    </row>
    <row r="499" spans="1:46">
      <c r="A499">
        <v>794</v>
      </c>
      <c r="B499" t="s">
        <v>46</v>
      </c>
      <c r="C499">
        <v>25</v>
      </c>
      <c r="D499">
        <v>335</v>
      </c>
      <c r="E499" t="s">
        <v>820</v>
      </c>
      <c r="F499" t="s">
        <v>752</v>
      </c>
      <c r="G499">
        <v>25335</v>
      </c>
      <c r="H499">
        <v>25335</v>
      </c>
      <c r="I499" t="s">
        <v>49</v>
      </c>
      <c r="J499">
        <v>2508</v>
      </c>
      <c r="K499" t="s">
        <v>68</v>
      </c>
      <c r="L499" t="s">
        <v>69</v>
      </c>
      <c r="M499" t="s">
        <v>53</v>
      </c>
      <c r="N499">
        <v>7326</v>
      </c>
      <c r="O499" t="s">
        <v>53</v>
      </c>
      <c r="P499" t="s">
        <v>70</v>
      </c>
      <c r="Q499" t="s">
        <v>71</v>
      </c>
      <c r="R499" t="s">
        <v>93</v>
      </c>
      <c r="S499" t="s">
        <v>57</v>
      </c>
      <c r="T499" t="s">
        <v>73</v>
      </c>
      <c r="U499" t="s">
        <v>59</v>
      </c>
      <c r="V499">
        <v>0.77237999999999996</v>
      </c>
      <c r="W499" t="s">
        <v>53</v>
      </c>
      <c r="X499" t="s">
        <v>53</v>
      </c>
      <c r="Y499" t="s">
        <v>187</v>
      </c>
      <c r="Z499" t="str">
        <f t="shared" si="14"/>
        <v>Mayor que 80 - hasta 100</v>
      </c>
      <c r="AA499">
        <f t="shared" si="15"/>
        <v>1</v>
      </c>
      <c r="AB499">
        <v>25335</v>
      </c>
      <c r="AC499" t="s">
        <v>512</v>
      </c>
      <c r="AD499" t="s">
        <v>513</v>
      </c>
      <c r="AE499">
        <v>0.872085</v>
      </c>
      <c r="AF499" t="s">
        <v>63</v>
      </c>
      <c r="AG499">
        <v>32.660511999999997</v>
      </c>
      <c r="AH499" t="s">
        <v>512</v>
      </c>
      <c r="AI499" t="s">
        <v>513</v>
      </c>
      <c r="AJ499">
        <v>0.80291900000000005</v>
      </c>
      <c r="AK499" t="s">
        <v>63</v>
      </c>
      <c r="AL499">
        <v>31.170563000000001</v>
      </c>
      <c r="AM499" s="4" t="s">
        <v>64</v>
      </c>
      <c r="AN499" s="5">
        <v>7954.1631453173241</v>
      </c>
      <c r="AO499" s="4" t="s">
        <v>65</v>
      </c>
      <c r="AP499" s="6">
        <v>1122</v>
      </c>
      <c r="AQ499">
        <v>4</v>
      </c>
      <c r="AR499">
        <v>17049.456475999999</v>
      </c>
      <c r="AS499" t="s">
        <v>66</v>
      </c>
      <c r="AT499" t="s">
        <v>53</v>
      </c>
    </row>
    <row r="500" spans="1:46">
      <c r="A500">
        <v>795</v>
      </c>
      <c r="B500" t="s">
        <v>46</v>
      </c>
      <c r="C500">
        <v>25</v>
      </c>
      <c r="D500">
        <v>339</v>
      </c>
      <c r="E500" t="s">
        <v>439</v>
      </c>
      <c r="F500" t="s">
        <v>752</v>
      </c>
      <c r="G500">
        <v>25339</v>
      </c>
      <c r="H500">
        <v>25339</v>
      </c>
      <c r="I500" t="s">
        <v>49</v>
      </c>
      <c r="J500">
        <v>2508</v>
      </c>
      <c r="K500" t="s">
        <v>68</v>
      </c>
      <c r="L500" t="s">
        <v>80</v>
      </c>
      <c r="M500" t="s">
        <v>53</v>
      </c>
      <c r="N500">
        <v>3932</v>
      </c>
      <c r="O500" t="s">
        <v>53</v>
      </c>
      <c r="P500" t="s">
        <v>70</v>
      </c>
      <c r="Q500" t="s">
        <v>71</v>
      </c>
      <c r="R500" t="s">
        <v>93</v>
      </c>
      <c r="S500" t="s">
        <v>57</v>
      </c>
      <c r="T500" t="s">
        <v>58</v>
      </c>
      <c r="U500" t="s">
        <v>59</v>
      </c>
      <c r="V500">
        <v>0.66608100000000003</v>
      </c>
      <c r="W500" t="s">
        <v>53</v>
      </c>
      <c r="X500" t="s">
        <v>53</v>
      </c>
      <c r="Y500" t="s">
        <v>87</v>
      </c>
      <c r="Z500" t="str">
        <f t="shared" si="14"/>
        <v>Mayor que 40 - hasta 50</v>
      </c>
      <c r="AA500">
        <f t="shared" si="15"/>
        <v>1</v>
      </c>
      <c r="AB500">
        <v>25339</v>
      </c>
      <c r="AC500" t="s">
        <v>512</v>
      </c>
      <c r="AD500" t="s">
        <v>513</v>
      </c>
      <c r="AE500">
        <v>2.4946730000000001</v>
      </c>
      <c r="AF500" t="s">
        <v>77</v>
      </c>
      <c r="AG500">
        <v>62.258282999999999</v>
      </c>
      <c r="AH500" t="s">
        <v>512</v>
      </c>
      <c r="AI500" t="s">
        <v>513</v>
      </c>
      <c r="AJ500">
        <v>2.4255080000000002</v>
      </c>
      <c r="AK500" t="s">
        <v>77</v>
      </c>
      <c r="AL500">
        <v>60.768332999999998</v>
      </c>
      <c r="AM500" s="4" t="s">
        <v>64</v>
      </c>
      <c r="AN500" s="5">
        <v>11888.405014426684</v>
      </c>
      <c r="AO500" s="4" t="s">
        <v>65</v>
      </c>
      <c r="AP500" s="6">
        <v>1888</v>
      </c>
      <c r="AQ500">
        <v>4</v>
      </c>
      <c r="AR500">
        <v>17122.376666</v>
      </c>
      <c r="AS500" t="s">
        <v>66</v>
      </c>
      <c r="AT500" t="s">
        <v>53</v>
      </c>
    </row>
    <row r="501" spans="1:46">
      <c r="A501">
        <v>796</v>
      </c>
      <c r="B501" t="s">
        <v>46</v>
      </c>
      <c r="C501">
        <v>25</v>
      </c>
      <c r="D501">
        <v>368</v>
      </c>
      <c r="E501" t="s">
        <v>821</v>
      </c>
      <c r="F501" t="s">
        <v>752</v>
      </c>
      <c r="G501">
        <v>25368</v>
      </c>
      <c r="H501">
        <v>25368</v>
      </c>
      <c r="I501" t="s">
        <v>49</v>
      </c>
      <c r="J501">
        <v>2502</v>
      </c>
      <c r="K501" t="s">
        <v>753</v>
      </c>
      <c r="L501" t="s">
        <v>80</v>
      </c>
      <c r="M501" t="s">
        <v>53</v>
      </c>
      <c r="N501">
        <v>2592</v>
      </c>
      <c r="O501" t="s">
        <v>53</v>
      </c>
      <c r="P501" t="s">
        <v>70</v>
      </c>
      <c r="Q501" t="s">
        <v>71</v>
      </c>
      <c r="R501" t="s">
        <v>72</v>
      </c>
      <c r="S501" t="s">
        <v>57</v>
      </c>
      <c r="T501" t="s">
        <v>58</v>
      </c>
      <c r="U501" t="s">
        <v>81</v>
      </c>
      <c r="V501">
        <v>0.48883799999999999</v>
      </c>
      <c r="W501" t="s">
        <v>53</v>
      </c>
      <c r="X501" t="s">
        <v>53</v>
      </c>
      <c r="Y501" t="s">
        <v>87</v>
      </c>
      <c r="Z501" t="str">
        <f t="shared" si="14"/>
        <v>Mayor que 40 - hasta 50</v>
      </c>
      <c r="AA501">
        <f t="shared" si="15"/>
        <v>1</v>
      </c>
      <c r="AB501">
        <v>25368</v>
      </c>
      <c r="AC501" t="s">
        <v>564</v>
      </c>
      <c r="AD501" t="s">
        <v>754</v>
      </c>
      <c r="AE501">
        <v>1.270934</v>
      </c>
      <c r="AF501" t="s">
        <v>76</v>
      </c>
      <c r="AG501">
        <v>57.4529</v>
      </c>
      <c r="AH501" t="s">
        <v>564</v>
      </c>
      <c r="AI501" t="s">
        <v>565</v>
      </c>
      <c r="AJ501">
        <v>2.0921120000000002</v>
      </c>
      <c r="AK501" t="s">
        <v>77</v>
      </c>
      <c r="AL501">
        <v>78.526407000000006</v>
      </c>
      <c r="AM501" s="4" t="s">
        <v>64</v>
      </c>
      <c r="AN501" s="5">
        <v>12745.765897208745</v>
      </c>
      <c r="AO501" s="4" t="s">
        <v>65</v>
      </c>
      <c r="AP501" s="6">
        <v>853</v>
      </c>
      <c r="AQ501">
        <v>4</v>
      </c>
      <c r="AR501">
        <v>11622.558010000001</v>
      </c>
      <c r="AS501" t="s">
        <v>66</v>
      </c>
      <c r="AT501" t="s">
        <v>53</v>
      </c>
    </row>
    <row r="502" spans="1:46">
      <c r="A502">
        <v>797</v>
      </c>
      <c r="B502" t="s">
        <v>46</v>
      </c>
      <c r="C502">
        <v>25</v>
      </c>
      <c r="D502">
        <v>372</v>
      </c>
      <c r="E502" t="s">
        <v>822</v>
      </c>
      <c r="F502" t="s">
        <v>752</v>
      </c>
      <c r="G502">
        <v>25372</v>
      </c>
      <c r="H502">
        <v>25372</v>
      </c>
      <c r="I502" t="s">
        <v>49</v>
      </c>
      <c r="J502">
        <v>2505</v>
      </c>
      <c r="K502" t="s">
        <v>808</v>
      </c>
      <c r="L502" t="s">
        <v>80</v>
      </c>
      <c r="M502" t="s">
        <v>53</v>
      </c>
      <c r="N502">
        <v>6630</v>
      </c>
      <c r="O502" t="s">
        <v>53</v>
      </c>
      <c r="P502" t="s">
        <v>70</v>
      </c>
      <c r="Q502" t="s">
        <v>71</v>
      </c>
      <c r="R502" t="s">
        <v>72</v>
      </c>
      <c r="S502" t="s">
        <v>57</v>
      </c>
      <c r="T502" t="s">
        <v>58</v>
      </c>
      <c r="U502" t="s">
        <v>81</v>
      </c>
      <c r="V502">
        <v>0.68597200000000003</v>
      </c>
      <c r="W502" t="s">
        <v>53</v>
      </c>
      <c r="X502" t="s">
        <v>53</v>
      </c>
      <c r="Y502" t="s">
        <v>127</v>
      </c>
      <c r="Z502" t="str">
        <f t="shared" si="14"/>
        <v>Mayor que 70 - hasta 80</v>
      </c>
      <c r="AA502">
        <f t="shared" si="15"/>
        <v>1</v>
      </c>
      <c r="AB502">
        <v>25372</v>
      </c>
      <c r="AC502" t="s">
        <v>330</v>
      </c>
      <c r="AD502" t="s">
        <v>809</v>
      </c>
      <c r="AE502">
        <v>2.826336</v>
      </c>
      <c r="AF502" t="s">
        <v>77</v>
      </c>
      <c r="AG502">
        <v>43.448737000000001</v>
      </c>
      <c r="AH502" t="s">
        <v>330</v>
      </c>
      <c r="AI502" t="s">
        <v>332</v>
      </c>
      <c r="AJ502">
        <v>3.704199</v>
      </c>
      <c r="AK502" t="s">
        <v>84</v>
      </c>
      <c r="AL502">
        <v>90.571990999999997</v>
      </c>
      <c r="AM502" s="4" t="s">
        <v>65</v>
      </c>
      <c r="AN502" s="5">
        <v>14655.659106084706</v>
      </c>
      <c r="AO502" s="4" t="s">
        <v>65</v>
      </c>
      <c r="AP502" s="6">
        <v>7774</v>
      </c>
      <c r="AQ502">
        <v>2</v>
      </c>
      <c r="AR502">
        <v>6953.4861350000001</v>
      </c>
      <c r="AS502" t="s">
        <v>66</v>
      </c>
      <c r="AT502" t="s">
        <v>53</v>
      </c>
    </row>
    <row r="503" spans="1:46">
      <c r="A503">
        <v>798</v>
      </c>
      <c r="B503" t="s">
        <v>46</v>
      </c>
      <c r="C503">
        <v>25</v>
      </c>
      <c r="D503">
        <v>377</v>
      </c>
      <c r="E503" t="s">
        <v>823</v>
      </c>
      <c r="F503" t="s">
        <v>752</v>
      </c>
      <c r="G503">
        <v>25377</v>
      </c>
      <c r="H503">
        <v>25377</v>
      </c>
      <c r="I503" t="s">
        <v>49</v>
      </c>
      <c r="J503">
        <v>2505</v>
      </c>
      <c r="K503" t="s">
        <v>808</v>
      </c>
      <c r="L503" t="s">
        <v>51</v>
      </c>
      <c r="M503" t="s">
        <v>53</v>
      </c>
      <c r="N503">
        <v>35317</v>
      </c>
      <c r="O503" t="s">
        <v>53</v>
      </c>
      <c r="P503" t="s">
        <v>92</v>
      </c>
      <c r="Q503" t="s">
        <v>118</v>
      </c>
      <c r="R503" t="s">
        <v>72</v>
      </c>
      <c r="S503" t="s">
        <v>57</v>
      </c>
      <c r="T503" t="s">
        <v>58</v>
      </c>
      <c r="U503" t="s">
        <v>81</v>
      </c>
      <c r="V503">
        <v>0.74134900000000004</v>
      </c>
      <c r="W503" t="s">
        <v>53</v>
      </c>
      <c r="X503" t="s">
        <v>53</v>
      </c>
      <c r="Y503" t="s">
        <v>60</v>
      </c>
      <c r="Z503" t="str">
        <f t="shared" si="14"/>
        <v>Mayor que 400 - hasta 500</v>
      </c>
      <c r="AA503">
        <f t="shared" si="15"/>
        <v>1</v>
      </c>
      <c r="AB503">
        <v>25377</v>
      </c>
      <c r="AC503" t="s">
        <v>330</v>
      </c>
      <c r="AD503" t="s">
        <v>809</v>
      </c>
      <c r="AE503">
        <v>0.63204499999999997</v>
      </c>
      <c r="AF503" t="s">
        <v>63</v>
      </c>
      <c r="AG503">
        <v>25.206602</v>
      </c>
      <c r="AH503" t="s">
        <v>330</v>
      </c>
      <c r="AI503" t="s">
        <v>332</v>
      </c>
      <c r="AJ503">
        <v>1.0709820000000001</v>
      </c>
      <c r="AK503" t="s">
        <v>76</v>
      </c>
      <c r="AL503">
        <v>23.870563000000001</v>
      </c>
      <c r="AM503" s="4" t="s">
        <v>65</v>
      </c>
      <c r="AN503" s="5">
        <v>18189.965035405679</v>
      </c>
      <c r="AO503" s="4" t="s">
        <v>65</v>
      </c>
      <c r="AP503" s="6">
        <v>9867</v>
      </c>
      <c r="AQ503">
        <v>3</v>
      </c>
      <c r="AR503">
        <v>11380.463507</v>
      </c>
      <c r="AS503" t="s">
        <v>66</v>
      </c>
      <c r="AT503" t="s">
        <v>53</v>
      </c>
    </row>
    <row r="504" spans="1:46">
      <c r="A504">
        <v>799</v>
      </c>
      <c r="B504" t="s">
        <v>46</v>
      </c>
      <c r="C504">
        <v>25</v>
      </c>
      <c r="D504">
        <v>386</v>
      </c>
      <c r="E504" t="s">
        <v>824</v>
      </c>
      <c r="F504" t="s">
        <v>752</v>
      </c>
      <c r="G504">
        <v>25386</v>
      </c>
      <c r="H504">
        <v>25386</v>
      </c>
      <c r="I504" t="s">
        <v>49</v>
      </c>
      <c r="J504">
        <v>2514</v>
      </c>
      <c r="K504" t="s">
        <v>759</v>
      </c>
      <c r="L504" t="s">
        <v>91</v>
      </c>
      <c r="M504" t="s">
        <v>53</v>
      </c>
      <c r="N504">
        <v>38759</v>
      </c>
      <c r="O504" t="s">
        <v>53</v>
      </c>
      <c r="P504" t="s">
        <v>92</v>
      </c>
      <c r="Q504" t="s">
        <v>118</v>
      </c>
      <c r="R504" t="s">
        <v>56</v>
      </c>
      <c r="S504" t="s">
        <v>57</v>
      </c>
      <c r="T504" t="s">
        <v>58</v>
      </c>
      <c r="U504" t="s">
        <v>81</v>
      </c>
      <c r="V504">
        <v>9.0407000000000001E-2</v>
      </c>
      <c r="W504" t="s">
        <v>53</v>
      </c>
      <c r="X504" t="s">
        <v>53</v>
      </c>
      <c r="Y504" t="s">
        <v>228</v>
      </c>
      <c r="Z504" t="str">
        <f t="shared" si="14"/>
        <v>Mayor que 180 - hasta 200</v>
      </c>
      <c r="AA504">
        <f t="shared" si="15"/>
        <v>1</v>
      </c>
      <c r="AB504">
        <v>25386</v>
      </c>
      <c r="AC504" t="s">
        <v>330</v>
      </c>
      <c r="AD504" t="s">
        <v>769</v>
      </c>
      <c r="AE504">
        <v>1.557906</v>
      </c>
      <c r="AF504" t="s">
        <v>76</v>
      </c>
      <c r="AG504">
        <v>41.175944999999999</v>
      </c>
      <c r="AH504" t="s">
        <v>330</v>
      </c>
      <c r="AI504" t="s">
        <v>332</v>
      </c>
      <c r="AJ504">
        <v>2.0880269999999999</v>
      </c>
      <c r="AK504" t="s">
        <v>77</v>
      </c>
      <c r="AL504">
        <v>66.956558000000001</v>
      </c>
      <c r="AM504" s="4" t="s">
        <v>65</v>
      </c>
      <c r="AN504" s="5">
        <v>11277.125881874452</v>
      </c>
      <c r="AO504" s="4" t="s">
        <v>65</v>
      </c>
      <c r="AP504" s="6">
        <v>10174</v>
      </c>
      <c r="AQ504">
        <v>3</v>
      </c>
      <c r="AR504">
        <v>6761.6937500000004</v>
      </c>
      <c r="AS504" t="s">
        <v>66</v>
      </c>
      <c r="AT504" t="s">
        <v>53</v>
      </c>
    </row>
    <row r="505" spans="1:46">
      <c r="A505">
        <v>800</v>
      </c>
      <c r="B505" t="s">
        <v>46</v>
      </c>
      <c r="C505">
        <v>25</v>
      </c>
      <c r="D505">
        <v>394</v>
      </c>
      <c r="E505" t="s">
        <v>825</v>
      </c>
      <c r="F505" t="s">
        <v>752</v>
      </c>
      <c r="G505">
        <v>25394</v>
      </c>
      <c r="H505">
        <v>25394</v>
      </c>
      <c r="I505" t="s">
        <v>49</v>
      </c>
      <c r="J505">
        <v>2509</v>
      </c>
      <c r="K505" t="s">
        <v>799</v>
      </c>
      <c r="L505" t="s">
        <v>91</v>
      </c>
      <c r="M505" t="s">
        <v>53</v>
      </c>
      <c r="N505">
        <v>10823</v>
      </c>
      <c r="O505" t="s">
        <v>53</v>
      </c>
      <c r="P505" t="s">
        <v>70</v>
      </c>
      <c r="Q505" t="s">
        <v>71</v>
      </c>
      <c r="R505" t="s">
        <v>72</v>
      </c>
      <c r="S505" t="s">
        <v>57</v>
      </c>
      <c r="T505" t="s">
        <v>73</v>
      </c>
      <c r="U505" t="s">
        <v>59</v>
      </c>
      <c r="V505">
        <v>0.64215</v>
      </c>
      <c r="W505" t="s">
        <v>53</v>
      </c>
      <c r="X505" t="s">
        <v>53</v>
      </c>
      <c r="Y505" t="s">
        <v>116</v>
      </c>
      <c r="Z505" t="str">
        <f t="shared" si="14"/>
        <v>Mayor que 30 - hasta 40</v>
      </c>
      <c r="AA505">
        <f t="shared" si="15"/>
        <v>1</v>
      </c>
      <c r="AB505">
        <v>25394</v>
      </c>
      <c r="AC505" t="s">
        <v>161</v>
      </c>
      <c r="AD505" t="s">
        <v>563</v>
      </c>
      <c r="AE505">
        <v>3.290889</v>
      </c>
      <c r="AF505" t="s">
        <v>84</v>
      </c>
      <c r="AG505">
        <v>70.376659000000004</v>
      </c>
      <c r="AH505" t="s">
        <v>330</v>
      </c>
      <c r="AI505" t="s">
        <v>332</v>
      </c>
      <c r="AJ505">
        <v>4.7237660000000004</v>
      </c>
      <c r="AK505" t="s">
        <v>85</v>
      </c>
      <c r="AL505">
        <v>116.21778500000001</v>
      </c>
      <c r="AM505" s="4" t="s">
        <v>65</v>
      </c>
      <c r="AN505" s="5">
        <v>13662.808318263702</v>
      </c>
      <c r="AO505" s="4" t="s">
        <v>65</v>
      </c>
      <c r="AP505" s="6">
        <v>4148</v>
      </c>
      <c r="AQ505">
        <v>4</v>
      </c>
      <c r="AR505">
        <v>14938.625674000001</v>
      </c>
      <c r="AS505" t="s">
        <v>66</v>
      </c>
      <c r="AT505" t="s">
        <v>53</v>
      </c>
    </row>
    <row r="506" spans="1:46">
      <c r="A506">
        <v>801</v>
      </c>
      <c r="B506" t="s">
        <v>46</v>
      </c>
      <c r="C506">
        <v>25</v>
      </c>
      <c r="D506">
        <v>398</v>
      </c>
      <c r="E506" t="s">
        <v>826</v>
      </c>
      <c r="F506" t="s">
        <v>752</v>
      </c>
      <c r="G506">
        <v>25398</v>
      </c>
      <c r="H506">
        <v>25398</v>
      </c>
      <c r="I506" t="s">
        <v>49</v>
      </c>
      <c r="J506">
        <v>2504</v>
      </c>
      <c r="K506" t="s">
        <v>756</v>
      </c>
      <c r="L506" t="s">
        <v>69</v>
      </c>
      <c r="M506" t="s">
        <v>53</v>
      </c>
      <c r="N506">
        <v>6756</v>
      </c>
      <c r="O506" t="s">
        <v>53</v>
      </c>
      <c r="P506" t="s">
        <v>70</v>
      </c>
      <c r="Q506" t="s">
        <v>71</v>
      </c>
      <c r="R506" t="s">
        <v>93</v>
      </c>
      <c r="S506" t="s">
        <v>57</v>
      </c>
      <c r="T506" t="s">
        <v>58</v>
      </c>
      <c r="U506" t="s">
        <v>81</v>
      </c>
      <c r="V506">
        <v>0.63006300000000004</v>
      </c>
      <c r="W506" t="s">
        <v>53</v>
      </c>
      <c r="X506" t="s">
        <v>53</v>
      </c>
      <c r="Y506" t="s">
        <v>167</v>
      </c>
      <c r="Z506" t="str">
        <f t="shared" si="14"/>
        <v>Mayor que 50 - hasta 60</v>
      </c>
      <c r="AA506">
        <f t="shared" si="15"/>
        <v>1</v>
      </c>
      <c r="AB506">
        <v>25398</v>
      </c>
      <c r="AC506" t="s">
        <v>330</v>
      </c>
      <c r="AD506" t="s">
        <v>800</v>
      </c>
      <c r="AE506">
        <v>2.495476</v>
      </c>
      <c r="AF506" t="s">
        <v>77</v>
      </c>
      <c r="AG506">
        <v>59.578384</v>
      </c>
      <c r="AH506" t="s">
        <v>330</v>
      </c>
      <c r="AI506" t="s">
        <v>332</v>
      </c>
      <c r="AJ506">
        <v>3.1471360000000002</v>
      </c>
      <c r="AK506" t="s">
        <v>84</v>
      </c>
      <c r="AL506">
        <v>92.265598999999995</v>
      </c>
      <c r="AM506" s="4" t="s">
        <v>65</v>
      </c>
      <c r="AN506" s="5">
        <v>9618.2681953369483</v>
      </c>
      <c r="AO506" s="4" t="s">
        <v>65</v>
      </c>
      <c r="AP506" s="6">
        <v>2967</v>
      </c>
      <c r="AQ506">
        <v>4</v>
      </c>
      <c r="AR506">
        <v>8293.4501</v>
      </c>
      <c r="AS506" t="s">
        <v>66</v>
      </c>
      <c r="AT506" t="s">
        <v>53</v>
      </c>
    </row>
    <row r="507" spans="1:46">
      <c r="A507">
        <v>802</v>
      </c>
      <c r="B507" t="s">
        <v>46</v>
      </c>
      <c r="C507">
        <v>25</v>
      </c>
      <c r="D507">
        <v>402</v>
      </c>
      <c r="E507" t="s">
        <v>637</v>
      </c>
      <c r="F507" t="s">
        <v>752</v>
      </c>
      <c r="G507">
        <v>25402</v>
      </c>
      <c r="H507">
        <v>25402</v>
      </c>
      <c r="I507" t="s">
        <v>49</v>
      </c>
      <c r="J507">
        <v>2504</v>
      </c>
      <c r="K507" t="s">
        <v>756</v>
      </c>
      <c r="L507" t="s">
        <v>91</v>
      </c>
      <c r="M507" t="s">
        <v>53</v>
      </c>
      <c r="N507">
        <v>20025</v>
      </c>
      <c r="O507" t="s">
        <v>53</v>
      </c>
      <c r="P507" t="s">
        <v>70</v>
      </c>
      <c r="Q507" t="s">
        <v>71</v>
      </c>
      <c r="R507" t="s">
        <v>122</v>
      </c>
      <c r="S507" t="s">
        <v>57</v>
      </c>
      <c r="T507" t="s">
        <v>58</v>
      </c>
      <c r="U507" t="s">
        <v>81</v>
      </c>
      <c r="V507">
        <v>0.40024799999999999</v>
      </c>
      <c r="W507" t="s">
        <v>53</v>
      </c>
      <c r="X507" t="s">
        <v>53</v>
      </c>
      <c r="Y507" t="s">
        <v>183</v>
      </c>
      <c r="Z507" t="str">
        <f t="shared" si="14"/>
        <v>Mayor que 120 - hasta 140</v>
      </c>
      <c r="AA507">
        <f t="shared" si="15"/>
        <v>1</v>
      </c>
      <c r="AB507">
        <v>25402</v>
      </c>
      <c r="AC507" t="s">
        <v>330</v>
      </c>
      <c r="AD507" t="s">
        <v>800</v>
      </c>
      <c r="AE507">
        <v>1.1691640000000001</v>
      </c>
      <c r="AF507" t="s">
        <v>76</v>
      </c>
      <c r="AG507">
        <v>27.849242</v>
      </c>
      <c r="AH507" t="s">
        <v>330</v>
      </c>
      <c r="AI507" t="s">
        <v>332</v>
      </c>
      <c r="AJ507">
        <v>1.820824</v>
      </c>
      <c r="AK507" t="s">
        <v>76</v>
      </c>
      <c r="AL507">
        <v>60.536456999999999</v>
      </c>
      <c r="AM507" s="4" t="s">
        <v>65</v>
      </c>
      <c r="AN507" s="5">
        <v>10786.176038122479</v>
      </c>
      <c r="AO507" s="4" t="s">
        <v>65</v>
      </c>
      <c r="AP507" s="6">
        <v>5019</v>
      </c>
      <c r="AQ507">
        <v>4</v>
      </c>
      <c r="AR507">
        <v>7296.3142109999999</v>
      </c>
      <c r="AS507" t="s">
        <v>66</v>
      </c>
      <c r="AT507" t="s">
        <v>53</v>
      </c>
    </row>
    <row r="508" spans="1:46">
      <c r="A508">
        <v>803</v>
      </c>
      <c r="B508" t="s">
        <v>46</v>
      </c>
      <c r="C508">
        <v>25</v>
      </c>
      <c r="D508">
        <v>407</v>
      </c>
      <c r="E508" t="s">
        <v>827</v>
      </c>
      <c r="F508" t="s">
        <v>752</v>
      </c>
      <c r="G508">
        <v>25407</v>
      </c>
      <c r="H508">
        <v>25407</v>
      </c>
      <c r="I508" t="s">
        <v>49</v>
      </c>
      <c r="J508">
        <v>2515</v>
      </c>
      <c r="K508" t="s">
        <v>782</v>
      </c>
      <c r="L508" t="s">
        <v>69</v>
      </c>
      <c r="M508" t="s">
        <v>53</v>
      </c>
      <c r="N508">
        <v>11753</v>
      </c>
      <c r="O508" t="s">
        <v>53</v>
      </c>
      <c r="P508" t="s">
        <v>70</v>
      </c>
      <c r="Q508" t="s">
        <v>71</v>
      </c>
      <c r="R508" t="s">
        <v>56</v>
      </c>
      <c r="S508" t="s">
        <v>57</v>
      </c>
      <c r="T508" t="s">
        <v>58</v>
      </c>
      <c r="U508" t="s">
        <v>81</v>
      </c>
      <c r="V508">
        <v>0.626444</v>
      </c>
      <c r="W508" t="s">
        <v>53</v>
      </c>
      <c r="X508" t="s">
        <v>53</v>
      </c>
      <c r="Y508" t="s">
        <v>187</v>
      </c>
      <c r="Z508" t="str">
        <f t="shared" si="14"/>
        <v>Mayor que 80 - hasta 100</v>
      </c>
      <c r="AA508">
        <f t="shared" si="15"/>
        <v>1</v>
      </c>
      <c r="AB508">
        <v>25407</v>
      </c>
      <c r="AC508" t="s">
        <v>330</v>
      </c>
      <c r="AD508" t="s">
        <v>783</v>
      </c>
      <c r="AE508">
        <v>0.54733399999999999</v>
      </c>
      <c r="AF508" t="s">
        <v>63</v>
      </c>
      <c r="AG508">
        <v>18.740915999999999</v>
      </c>
      <c r="AH508" t="s">
        <v>234</v>
      </c>
      <c r="AI508" t="s">
        <v>407</v>
      </c>
      <c r="AJ508">
        <v>2.2162380000000002</v>
      </c>
      <c r="AK508" t="s">
        <v>77</v>
      </c>
      <c r="AL508">
        <v>63.797980000000003</v>
      </c>
      <c r="AM508" s="4" t="s">
        <v>65</v>
      </c>
      <c r="AN508" s="5">
        <v>12036.688333648674</v>
      </c>
      <c r="AO508" s="4" t="s">
        <v>65</v>
      </c>
      <c r="AP508" s="6">
        <v>4500</v>
      </c>
      <c r="AQ508">
        <v>3</v>
      </c>
      <c r="AR508">
        <v>5539.6233389999998</v>
      </c>
      <c r="AS508" t="s">
        <v>66</v>
      </c>
      <c r="AT508" t="s">
        <v>53</v>
      </c>
    </row>
    <row r="509" spans="1:46">
      <c r="A509">
        <v>804</v>
      </c>
      <c r="B509" t="s">
        <v>46</v>
      </c>
      <c r="C509">
        <v>25</v>
      </c>
      <c r="D509">
        <v>426</v>
      </c>
      <c r="E509" t="s">
        <v>828</v>
      </c>
      <c r="F509" t="s">
        <v>752</v>
      </c>
      <c r="G509">
        <v>25426</v>
      </c>
      <c r="H509">
        <v>25426</v>
      </c>
      <c r="I509" t="s">
        <v>49</v>
      </c>
      <c r="J509">
        <v>2501</v>
      </c>
      <c r="K509" t="s">
        <v>791</v>
      </c>
      <c r="L509" t="s">
        <v>80</v>
      </c>
      <c r="M509" t="s">
        <v>53</v>
      </c>
      <c r="N509">
        <v>6963</v>
      </c>
      <c r="O509" t="s">
        <v>53</v>
      </c>
      <c r="P509" t="s">
        <v>70</v>
      </c>
      <c r="Q509" t="s">
        <v>71</v>
      </c>
      <c r="R509" t="s">
        <v>122</v>
      </c>
      <c r="S509" t="s">
        <v>57</v>
      </c>
      <c r="T509" t="s">
        <v>58</v>
      </c>
      <c r="U509" t="s">
        <v>81</v>
      </c>
      <c r="V509">
        <v>0.73303499999999999</v>
      </c>
      <c r="W509">
        <v>2022</v>
      </c>
      <c r="X509" t="s">
        <v>190</v>
      </c>
      <c r="Y509" t="s">
        <v>191</v>
      </c>
      <c r="Z509" t="str">
        <f t="shared" si="14"/>
        <v>Mayor que 100 - hasta 120</v>
      </c>
      <c r="AA509">
        <f t="shared" si="15"/>
        <v>0</v>
      </c>
      <c r="AB509">
        <v>25426</v>
      </c>
      <c r="AC509" t="s">
        <v>330</v>
      </c>
      <c r="AD509" t="s">
        <v>411</v>
      </c>
      <c r="AE509">
        <v>1.0895360000000001</v>
      </c>
      <c r="AF509" t="s">
        <v>76</v>
      </c>
      <c r="AG509">
        <v>44.045794000000001</v>
      </c>
      <c r="AH509" t="s">
        <v>330</v>
      </c>
      <c r="AI509" t="s">
        <v>332</v>
      </c>
      <c r="AJ509">
        <v>2.0365120000000001</v>
      </c>
      <c r="AK509" t="s">
        <v>77</v>
      </c>
      <c r="AL509">
        <v>93.466104000000001</v>
      </c>
      <c r="AM509" t="s">
        <v>65</v>
      </c>
      <c r="AN509" s="7">
        <v>2397.454892743754</v>
      </c>
      <c r="AO509" t="s">
        <v>65</v>
      </c>
      <c r="AP509" s="3">
        <v>1826</v>
      </c>
      <c r="AQ509">
        <v>2</v>
      </c>
      <c r="AR509">
        <v>1604.470454</v>
      </c>
      <c r="AS509" t="s">
        <v>66</v>
      </c>
      <c r="AT509" t="s">
        <v>53</v>
      </c>
    </row>
    <row r="510" spans="1:46">
      <c r="A510">
        <v>805</v>
      </c>
      <c r="B510" t="s">
        <v>46</v>
      </c>
      <c r="C510">
        <v>25</v>
      </c>
      <c r="D510">
        <v>430</v>
      </c>
      <c r="E510" t="s">
        <v>769</v>
      </c>
      <c r="F510" t="s">
        <v>752</v>
      </c>
      <c r="G510">
        <v>25430</v>
      </c>
      <c r="H510">
        <v>25430</v>
      </c>
      <c r="I510" t="s">
        <v>49</v>
      </c>
      <c r="J510">
        <v>2511</v>
      </c>
      <c r="K510" t="s">
        <v>768</v>
      </c>
      <c r="L510" t="s">
        <v>51</v>
      </c>
      <c r="M510" t="s">
        <v>53</v>
      </c>
      <c r="N510">
        <v>134736</v>
      </c>
      <c r="O510" t="s">
        <v>53</v>
      </c>
      <c r="P510" t="s">
        <v>54</v>
      </c>
      <c r="Q510" t="s">
        <v>210</v>
      </c>
      <c r="R510" t="s">
        <v>122</v>
      </c>
      <c r="S510" t="s">
        <v>57</v>
      </c>
      <c r="T510" t="s">
        <v>58</v>
      </c>
      <c r="U510" t="s">
        <v>81</v>
      </c>
      <c r="V510">
        <v>1.8471999999999999E-2</v>
      </c>
      <c r="W510" t="s">
        <v>53</v>
      </c>
      <c r="X510" t="s">
        <v>53</v>
      </c>
      <c r="Y510" t="s">
        <v>139</v>
      </c>
      <c r="Z510" t="str">
        <f t="shared" si="14"/>
        <v>Mayor que 300 - hasta 400</v>
      </c>
      <c r="AA510">
        <f t="shared" si="15"/>
        <v>1</v>
      </c>
      <c r="AB510">
        <v>25430</v>
      </c>
      <c r="AC510" t="s">
        <v>330</v>
      </c>
      <c r="AD510" t="s">
        <v>769</v>
      </c>
      <c r="AE510">
        <v>0</v>
      </c>
      <c r="AF510" t="s">
        <v>63</v>
      </c>
      <c r="AG510">
        <v>0</v>
      </c>
      <c r="AH510" t="s">
        <v>330</v>
      </c>
      <c r="AI510" t="s">
        <v>332</v>
      </c>
      <c r="AJ510">
        <v>0.53751199999999999</v>
      </c>
      <c r="AK510" t="s">
        <v>63</v>
      </c>
      <c r="AL510">
        <v>25.922035000000001</v>
      </c>
      <c r="AM510" s="4" t="s">
        <v>64</v>
      </c>
      <c r="AN510" s="5">
        <v>6135.2117279613221</v>
      </c>
      <c r="AO510" s="4" t="s">
        <v>65</v>
      </c>
      <c r="AP510" s="6">
        <v>1597</v>
      </c>
      <c r="AQ510">
        <v>1</v>
      </c>
      <c r="AR510">
        <v>4073.75261</v>
      </c>
      <c r="AS510" t="s">
        <v>66</v>
      </c>
      <c r="AT510" t="s">
        <v>53</v>
      </c>
    </row>
    <row r="511" spans="1:46">
      <c r="A511">
        <v>806</v>
      </c>
      <c r="B511" t="s">
        <v>46</v>
      </c>
      <c r="C511">
        <v>25</v>
      </c>
      <c r="D511">
        <v>436</v>
      </c>
      <c r="E511" t="s">
        <v>829</v>
      </c>
      <c r="F511" t="s">
        <v>752</v>
      </c>
      <c r="G511">
        <v>25436</v>
      </c>
      <c r="H511">
        <v>25436</v>
      </c>
      <c r="I511" t="s">
        <v>49</v>
      </c>
      <c r="J511">
        <v>2501</v>
      </c>
      <c r="K511" t="s">
        <v>791</v>
      </c>
      <c r="L511" t="s">
        <v>80</v>
      </c>
      <c r="M511" t="s">
        <v>53</v>
      </c>
      <c r="N511">
        <v>4234</v>
      </c>
      <c r="O511" t="s">
        <v>53</v>
      </c>
      <c r="P511" t="s">
        <v>70</v>
      </c>
      <c r="Q511" t="s">
        <v>71</v>
      </c>
      <c r="R511" t="s">
        <v>56</v>
      </c>
      <c r="S511" t="s">
        <v>57</v>
      </c>
      <c r="T511" t="s">
        <v>58</v>
      </c>
      <c r="U511" t="s">
        <v>81</v>
      </c>
      <c r="V511">
        <v>0.71781600000000001</v>
      </c>
      <c r="W511">
        <v>2022</v>
      </c>
      <c r="X511" t="s">
        <v>190</v>
      </c>
      <c r="Y511" t="s">
        <v>191</v>
      </c>
      <c r="Z511" t="str">
        <f t="shared" si="14"/>
        <v>Mayor que 100 - hasta 120</v>
      </c>
      <c r="AA511">
        <f t="shared" si="15"/>
        <v>0</v>
      </c>
      <c r="AB511">
        <v>25436</v>
      </c>
      <c r="AC511" t="s">
        <v>330</v>
      </c>
      <c r="AD511" t="s">
        <v>411</v>
      </c>
      <c r="AE511">
        <v>1.704672</v>
      </c>
      <c r="AF511" t="s">
        <v>76</v>
      </c>
      <c r="AG511">
        <v>62.406810999999998</v>
      </c>
      <c r="AH511" t="s">
        <v>330</v>
      </c>
      <c r="AI511" t="s">
        <v>332</v>
      </c>
      <c r="AJ511">
        <v>2.6516470000000001</v>
      </c>
      <c r="AK511" t="s">
        <v>77</v>
      </c>
      <c r="AL511">
        <v>111.82712100000001</v>
      </c>
      <c r="AM511" t="s">
        <v>65</v>
      </c>
      <c r="AN511" s="7">
        <v>645.00825093314006</v>
      </c>
      <c r="AO511" t="s">
        <v>65</v>
      </c>
      <c r="AP511" s="3">
        <v>874</v>
      </c>
      <c r="AQ511">
        <v>2</v>
      </c>
      <c r="AR511">
        <v>540.47457699999995</v>
      </c>
      <c r="AS511" t="s">
        <v>66</v>
      </c>
      <c r="AT511" t="s">
        <v>53</v>
      </c>
    </row>
    <row r="512" spans="1:46">
      <c r="A512">
        <v>807</v>
      </c>
      <c r="B512" t="s">
        <v>46</v>
      </c>
      <c r="C512">
        <v>25</v>
      </c>
      <c r="D512">
        <v>438</v>
      </c>
      <c r="E512" t="s">
        <v>830</v>
      </c>
      <c r="F512" t="s">
        <v>752</v>
      </c>
      <c r="G512">
        <v>25438</v>
      </c>
      <c r="H512">
        <v>25438</v>
      </c>
      <c r="I512" t="s">
        <v>49</v>
      </c>
      <c r="J512">
        <v>2507</v>
      </c>
      <c r="K512" t="s">
        <v>830</v>
      </c>
      <c r="L512" t="s">
        <v>80</v>
      </c>
      <c r="M512" t="s">
        <v>53</v>
      </c>
      <c r="N512">
        <v>9093</v>
      </c>
      <c r="O512" t="s">
        <v>53</v>
      </c>
      <c r="P512" t="s">
        <v>70</v>
      </c>
      <c r="Q512" t="s">
        <v>71</v>
      </c>
      <c r="R512" t="s">
        <v>122</v>
      </c>
      <c r="S512" t="s">
        <v>57</v>
      </c>
      <c r="T512" t="s">
        <v>73</v>
      </c>
      <c r="U512" t="s">
        <v>119</v>
      </c>
      <c r="V512">
        <v>0.49943300000000002</v>
      </c>
      <c r="W512" t="s">
        <v>53</v>
      </c>
      <c r="X512" t="s">
        <v>53</v>
      </c>
      <c r="Y512" t="s">
        <v>116</v>
      </c>
      <c r="Z512" t="str">
        <f t="shared" si="14"/>
        <v>Mayor que 30 - hasta 40</v>
      </c>
      <c r="AA512">
        <f t="shared" si="15"/>
        <v>1</v>
      </c>
      <c r="AB512">
        <v>25438</v>
      </c>
      <c r="AC512" t="s">
        <v>432</v>
      </c>
      <c r="AD512" t="s">
        <v>405</v>
      </c>
      <c r="AE512">
        <v>1.6188800000000001</v>
      </c>
      <c r="AF512" t="s">
        <v>76</v>
      </c>
      <c r="AG512">
        <v>76.077878999999996</v>
      </c>
      <c r="AH512" t="s">
        <v>512</v>
      </c>
      <c r="AI512" t="s">
        <v>513</v>
      </c>
      <c r="AJ512">
        <v>1.642282</v>
      </c>
      <c r="AK512" t="s">
        <v>76</v>
      </c>
      <c r="AL512">
        <v>74.592091999999994</v>
      </c>
      <c r="AM512" s="4" t="s">
        <v>64</v>
      </c>
      <c r="AN512" s="5">
        <v>33928.709668157222</v>
      </c>
      <c r="AO512" s="4" t="s">
        <v>65</v>
      </c>
      <c r="AP512" s="6">
        <v>2665</v>
      </c>
      <c r="AQ512">
        <v>3</v>
      </c>
      <c r="AR512">
        <v>22329.270345000001</v>
      </c>
      <c r="AS512" t="s">
        <v>66</v>
      </c>
      <c r="AT512" t="s">
        <v>53</v>
      </c>
    </row>
    <row r="513" spans="1:46">
      <c r="A513">
        <v>1111</v>
      </c>
      <c r="B513" t="s">
        <v>46</v>
      </c>
      <c r="C513">
        <v>25</v>
      </c>
      <c r="D513">
        <v>473</v>
      </c>
      <c r="E513" t="s">
        <v>831</v>
      </c>
      <c r="F513" t="s">
        <v>752</v>
      </c>
      <c r="G513">
        <v>25473</v>
      </c>
      <c r="H513">
        <v>25473</v>
      </c>
      <c r="I513" t="s">
        <v>49</v>
      </c>
      <c r="J513">
        <v>2511</v>
      </c>
      <c r="K513" t="s">
        <v>768</v>
      </c>
      <c r="L513" t="s">
        <v>51</v>
      </c>
      <c r="M513" t="s">
        <v>53</v>
      </c>
      <c r="N513">
        <v>151244</v>
      </c>
      <c r="O513" t="s">
        <v>53</v>
      </c>
      <c r="P513" t="s">
        <v>54</v>
      </c>
      <c r="Q513" t="s">
        <v>138</v>
      </c>
      <c r="R513" t="s">
        <v>93</v>
      </c>
      <c r="S513" t="s">
        <v>57</v>
      </c>
      <c r="T513" t="s">
        <v>58</v>
      </c>
      <c r="U513" t="s">
        <v>81</v>
      </c>
      <c r="V513">
        <v>5.8050000000000003E-3</v>
      </c>
      <c r="W513" t="s">
        <v>53</v>
      </c>
      <c r="X513" t="s">
        <v>53</v>
      </c>
      <c r="Y513" t="s">
        <v>795</v>
      </c>
      <c r="Z513" t="str">
        <f t="shared" si="14"/>
        <v>Mayor que 500 - hasta 600</v>
      </c>
      <c r="AA513">
        <f t="shared" si="15"/>
        <v>1</v>
      </c>
      <c r="AB513">
        <v>25473</v>
      </c>
      <c r="AC513" t="s">
        <v>330</v>
      </c>
      <c r="AD513" t="s">
        <v>831</v>
      </c>
      <c r="AE513">
        <v>0</v>
      </c>
      <c r="AF513" t="s">
        <v>63</v>
      </c>
      <c r="AG513">
        <v>0</v>
      </c>
      <c r="AH513" t="s">
        <v>330</v>
      </c>
      <c r="AI513" t="s">
        <v>332</v>
      </c>
      <c r="AJ513">
        <v>0.57530300000000001</v>
      </c>
      <c r="AK513" t="s">
        <v>63</v>
      </c>
      <c r="AL513">
        <v>22.486501000000001</v>
      </c>
      <c r="AM513" s="4" t="s">
        <v>64</v>
      </c>
      <c r="AN513" s="5">
        <v>3828.9314381311169</v>
      </c>
      <c r="AO513" s="4" t="s">
        <v>65</v>
      </c>
      <c r="AP513" s="6">
        <v>482</v>
      </c>
      <c r="AQ513">
        <v>3</v>
      </c>
      <c r="AR513">
        <v>4243.7659480000002</v>
      </c>
      <c r="AS513" t="s">
        <v>66</v>
      </c>
      <c r="AT513" t="s">
        <v>53</v>
      </c>
    </row>
    <row r="514" spans="1:46">
      <c r="A514">
        <v>808</v>
      </c>
      <c r="B514" t="s">
        <v>46</v>
      </c>
      <c r="C514">
        <v>25</v>
      </c>
      <c r="D514">
        <v>483</v>
      </c>
      <c r="E514" t="s">
        <v>223</v>
      </c>
      <c r="F514" t="s">
        <v>752</v>
      </c>
      <c r="G514">
        <v>25483</v>
      </c>
      <c r="H514">
        <v>25483</v>
      </c>
      <c r="I514" t="s">
        <v>49</v>
      </c>
      <c r="J514">
        <v>2502</v>
      </c>
      <c r="K514" t="s">
        <v>753</v>
      </c>
      <c r="L514" t="s">
        <v>69</v>
      </c>
      <c r="M514" t="s">
        <v>53</v>
      </c>
      <c r="N514">
        <v>2741</v>
      </c>
      <c r="O514" t="s">
        <v>53</v>
      </c>
      <c r="P514" t="s">
        <v>70</v>
      </c>
      <c r="Q514" t="s">
        <v>71</v>
      </c>
      <c r="R514" t="s">
        <v>72</v>
      </c>
      <c r="S514" t="s">
        <v>57</v>
      </c>
      <c r="T514" t="s">
        <v>58</v>
      </c>
      <c r="U514" t="s">
        <v>81</v>
      </c>
      <c r="V514">
        <v>0.50819700000000001</v>
      </c>
      <c r="W514" t="s">
        <v>53</v>
      </c>
      <c r="X514" t="s">
        <v>53</v>
      </c>
      <c r="Y514" t="s">
        <v>136</v>
      </c>
      <c r="Z514" t="str">
        <f t="shared" si="14"/>
        <v>Mayor que 100 - hasta 120</v>
      </c>
      <c r="AA514">
        <f t="shared" si="15"/>
        <v>1</v>
      </c>
      <c r="AB514">
        <v>25483</v>
      </c>
      <c r="AC514" t="s">
        <v>564</v>
      </c>
      <c r="AD514" t="s">
        <v>754</v>
      </c>
      <c r="AE514">
        <v>0.51791100000000001</v>
      </c>
      <c r="AF514" t="s">
        <v>63</v>
      </c>
      <c r="AG514">
        <v>27.313707999999998</v>
      </c>
      <c r="AH514" t="s">
        <v>564</v>
      </c>
      <c r="AI514" t="s">
        <v>565</v>
      </c>
      <c r="AJ514">
        <v>1.696831</v>
      </c>
      <c r="AK514" t="s">
        <v>76</v>
      </c>
      <c r="AL514">
        <v>72.299199000000002</v>
      </c>
      <c r="AM514" s="4" t="s">
        <v>64</v>
      </c>
      <c r="AN514" s="5">
        <v>3393.4098185873972</v>
      </c>
      <c r="AO514" s="4" t="s">
        <v>65</v>
      </c>
      <c r="AP514" s="6">
        <v>197</v>
      </c>
      <c r="AQ514">
        <v>4</v>
      </c>
      <c r="AR514">
        <v>3920.7452699999999</v>
      </c>
      <c r="AS514" t="s">
        <v>66</v>
      </c>
      <c r="AT514" t="s">
        <v>53</v>
      </c>
    </row>
    <row r="515" spans="1:46">
      <c r="A515">
        <v>809</v>
      </c>
      <c r="B515" t="s">
        <v>46</v>
      </c>
      <c r="C515">
        <v>25</v>
      </c>
      <c r="D515">
        <v>486</v>
      </c>
      <c r="E515" t="s">
        <v>832</v>
      </c>
      <c r="F515" t="s">
        <v>752</v>
      </c>
      <c r="G515">
        <v>25486</v>
      </c>
      <c r="H515">
        <v>25486</v>
      </c>
      <c r="I515" t="s">
        <v>49</v>
      </c>
      <c r="J515">
        <v>2510</v>
      </c>
      <c r="K515" t="s">
        <v>774</v>
      </c>
      <c r="L515" t="s">
        <v>51</v>
      </c>
      <c r="M515" t="s">
        <v>53</v>
      </c>
      <c r="N515">
        <v>15588</v>
      </c>
      <c r="O515" t="s">
        <v>53</v>
      </c>
      <c r="P515" t="s">
        <v>70</v>
      </c>
      <c r="Q515" t="s">
        <v>71</v>
      </c>
      <c r="R515" t="s">
        <v>122</v>
      </c>
      <c r="S515" t="s">
        <v>57</v>
      </c>
      <c r="T515" t="s">
        <v>58</v>
      </c>
      <c r="U515" t="s">
        <v>81</v>
      </c>
      <c r="V515">
        <v>0.47128599999999998</v>
      </c>
      <c r="W515">
        <v>2024</v>
      </c>
      <c r="X515" t="s">
        <v>833</v>
      </c>
      <c r="Y515" t="s">
        <v>834</v>
      </c>
      <c r="Z515" t="str">
        <f t="shared" ref="Z515:Z578" si="16">IF(LEFT(Y515,10)="Irradiado_",
   RIGHT(Y515, LEN(Y515)-10),   Y515)</f>
        <v>Mayor que 300 - hasta 400</v>
      </c>
      <c r="AA515">
        <f t="shared" ref="AA515:AA578" si="17">IF(LEFT(Y515,10)="Irradiado_", 1, 0)</f>
        <v>0</v>
      </c>
      <c r="AB515">
        <v>25486</v>
      </c>
      <c r="AC515" t="s">
        <v>330</v>
      </c>
      <c r="AD515" t="s">
        <v>793</v>
      </c>
      <c r="AE515">
        <v>0.39737899999999998</v>
      </c>
      <c r="AF515" t="s">
        <v>63</v>
      </c>
      <c r="AG515">
        <v>16.382338000000001</v>
      </c>
      <c r="AH515" t="s">
        <v>330</v>
      </c>
      <c r="AI515" t="s">
        <v>332</v>
      </c>
      <c r="AJ515">
        <v>1.359024</v>
      </c>
      <c r="AK515" t="s">
        <v>76</v>
      </c>
      <c r="AL515">
        <v>66.632799000000006</v>
      </c>
      <c r="AM515" t="s">
        <v>64</v>
      </c>
      <c r="AN515" s="7">
        <v>2216.5853145916221</v>
      </c>
      <c r="AO515" t="s">
        <v>65</v>
      </c>
      <c r="AP515" s="3">
        <v>607</v>
      </c>
      <c r="AQ515">
        <v>2</v>
      </c>
      <c r="AR515">
        <v>1967.431568</v>
      </c>
      <c r="AS515" t="s">
        <v>66</v>
      </c>
      <c r="AT515" t="s">
        <v>53</v>
      </c>
    </row>
    <row r="516" spans="1:46">
      <c r="A516">
        <v>810</v>
      </c>
      <c r="B516" t="s">
        <v>46</v>
      </c>
      <c r="C516">
        <v>25</v>
      </c>
      <c r="D516">
        <v>488</v>
      </c>
      <c r="E516" t="s">
        <v>835</v>
      </c>
      <c r="F516" t="s">
        <v>752</v>
      </c>
      <c r="G516">
        <v>25488</v>
      </c>
      <c r="H516">
        <v>25488</v>
      </c>
      <c r="I516" t="s">
        <v>49</v>
      </c>
      <c r="J516">
        <v>2502</v>
      </c>
      <c r="K516" t="s">
        <v>753</v>
      </c>
      <c r="L516" t="s">
        <v>69</v>
      </c>
      <c r="M516" t="s">
        <v>53</v>
      </c>
      <c r="N516">
        <v>12746</v>
      </c>
      <c r="O516" t="s">
        <v>53</v>
      </c>
      <c r="P516" t="s">
        <v>70</v>
      </c>
      <c r="Q516" t="s">
        <v>71</v>
      </c>
      <c r="R516" t="s">
        <v>72</v>
      </c>
      <c r="S516" t="s">
        <v>57</v>
      </c>
      <c r="T516" t="s">
        <v>58</v>
      </c>
      <c r="U516" t="s">
        <v>81</v>
      </c>
      <c r="V516">
        <v>0.58727700000000005</v>
      </c>
      <c r="W516" t="s">
        <v>53</v>
      </c>
      <c r="X516" t="s">
        <v>53</v>
      </c>
      <c r="Y516" t="s">
        <v>136</v>
      </c>
      <c r="Z516" t="str">
        <f t="shared" si="16"/>
        <v>Mayor que 100 - hasta 120</v>
      </c>
      <c r="AA516">
        <f t="shared" si="17"/>
        <v>1</v>
      </c>
      <c r="AB516">
        <v>25488</v>
      </c>
      <c r="AC516" t="s">
        <v>564</v>
      </c>
      <c r="AD516" t="s">
        <v>754</v>
      </c>
      <c r="AE516">
        <v>0.72809400000000002</v>
      </c>
      <c r="AF516" t="s">
        <v>63</v>
      </c>
      <c r="AG516">
        <v>30.290664</v>
      </c>
      <c r="AH516" t="s">
        <v>564</v>
      </c>
      <c r="AI516" t="s">
        <v>565</v>
      </c>
      <c r="AJ516">
        <v>2.1026660000000001</v>
      </c>
      <c r="AK516" t="s">
        <v>77</v>
      </c>
      <c r="AL516">
        <v>86.080316999999994</v>
      </c>
      <c r="AM516" s="4" t="s">
        <v>64</v>
      </c>
      <c r="AN516" s="5">
        <v>8616.4379563327711</v>
      </c>
      <c r="AO516" s="4" t="s">
        <v>65</v>
      </c>
      <c r="AP516" s="6">
        <v>1345</v>
      </c>
      <c r="AQ516">
        <v>3</v>
      </c>
      <c r="AR516">
        <v>10710.058168</v>
      </c>
      <c r="AS516" t="s">
        <v>66</v>
      </c>
      <c r="AT516" t="s">
        <v>53</v>
      </c>
    </row>
    <row r="517" spans="1:46">
      <c r="A517">
        <v>811</v>
      </c>
      <c r="B517" t="s">
        <v>46</v>
      </c>
      <c r="C517">
        <v>25</v>
      </c>
      <c r="D517">
        <v>489</v>
      </c>
      <c r="E517" t="s">
        <v>836</v>
      </c>
      <c r="F517" t="s">
        <v>752</v>
      </c>
      <c r="G517">
        <v>25489</v>
      </c>
      <c r="H517">
        <v>25489</v>
      </c>
      <c r="I517" t="s">
        <v>49</v>
      </c>
      <c r="J517">
        <v>2504</v>
      </c>
      <c r="K517" t="s">
        <v>756</v>
      </c>
      <c r="L517" t="s">
        <v>91</v>
      </c>
      <c r="M517" t="s">
        <v>53</v>
      </c>
      <c r="N517">
        <v>4138</v>
      </c>
      <c r="O517" t="s">
        <v>53</v>
      </c>
      <c r="P517" t="s">
        <v>70</v>
      </c>
      <c r="Q517" t="s">
        <v>71</v>
      </c>
      <c r="R517" t="s">
        <v>105</v>
      </c>
      <c r="S517" t="s">
        <v>57</v>
      </c>
      <c r="T517" t="s">
        <v>58</v>
      </c>
      <c r="U517" t="s">
        <v>81</v>
      </c>
      <c r="V517">
        <v>0.44228000000000001</v>
      </c>
      <c r="W517" t="s">
        <v>53</v>
      </c>
      <c r="X517" t="s">
        <v>53</v>
      </c>
      <c r="Y517" t="s">
        <v>136</v>
      </c>
      <c r="Z517" t="str">
        <f t="shared" si="16"/>
        <v>Mayor que 100 - hasta 120</v>
      </c>
      <c r="AA517">
        <f t="shared" si="17"/>
        <v>1</v>
      </c>
      <c r="AB517">
        <v>25489</v>
      </c>
      <c r="AC517" t="s">
        <v>330</v>
      </c>
      <c r="AD517" t="s">
        <v>800</v>
      </c>
      <c r="AE517">
        <v>1.948539</v>
      </c>
      <c r="AF517" t="s">
        <v>76</v>
      </c>
      <c r="AG517">
        <v>47.473000999999996</v>
      </c>
      <c r="AH517" t="s">
        <v>330</v>
      </c>
      <c r="AI517" t="s">
        <v>332</v>
      </c>
      <c r="AJ517">
        <v>2.6001989999999999</v>
      </c>
      <c r="AK517" t="s">
        <v>77</v>
      </c>
      <c r="AL517">
        <v>80.160216000000005</v>
      </c>
      <c r="AM517" s="4" t="s">
        <v>65</v>
      </c>
      <c r="AN517" s="5">
        <v>5021.0053715565682</v>
      </c>
      <c r="AO517" s="4" t="s">
        <v>65</v>
      </c>
      <c r="AP517" s="6">
        <v>1714</v>
      </c>
      <c r="AQ517">
        <v>4</v>
      </c>
      <c r="AR517">
        <v>3001.9502889999999</v>
      </c>
      <c r="AS517" t="s">
        <v>66</v>
      </c>
      <c r="AT517" t="s">
        <v>53</v>
      </c>
    </row>
    <row r="518" spans="1:46">
      <c r="A518">
        <v>812</v>
      </c>
      <c r="B518" t="s">
        <v>46</v>
      </c>
      <c r="C518">
        <v>25</v>
      </c>
      <c r="D518">
        <v>491</v>
      </c>
      <c r="E518" t="s">
        <v>837</v>
      </c>
      <c r="F518" t="s">
        <v>752</v>
      </c>
      <c r="G518">
        <v>25491</v>
      </c>
      <c r="H518">
        <v>25491</v>
      </c>
      <c r="I518" t="s">
        <v>49</v>
      </c>
      <c r="J518">
        <v>2504</v>
      </c>
      <c r="K518" t="s">
        <v>756</v>
      </c>
      <c r="L518" t="s">
        <v>91</v>
      </c>
      <c r="M518" t="s">
        <v>53</v>
      </c>
      <c r="N518">
        <v>7074</v>
      </c>
      <c r="O518" t="s">
        <v>53</v>
      </c>
      <c r="P518" t="s">
        <v>70</v>
      </c>
      <c r="Q518" t="s">
        <v>71</v>
      </c>
      <c r="R518" t="s">
        <v>105</v>
      </c>
      <c r="S518" t="s">
        <v>57</v>
      </c>
      <c r="T518" t="s">
        <v>58</v>
      </c>
      <c r="U518" t="s">
        <v>81</v>
      </c>
      <c r="V518">
        <v>0.49910700000000002</v>
      </c>
      <c r="W518" t="s">
        <v>53</v>
      </c>
      <c r="X518" t="s">
        <v>53</v>
      </c>
      <c r="Y518" t="s">
        <v>136</v>
      </c>
      <c r="Z518" t="str">
        <f t="shared" si="16"/>
        <v>Mayor que 100 - hasta 120</v>
      </c>
      <c r="AA518">
        <f t="shared" si="17"/>
        <v>1</v>
      </c>
      <c r="AB518">
        <v>25491</v>
      </c>
      <c r="AC518" t="s">
        <v>330</v>
      </c>
      <c r="AD518" t="s">
        <v>800</v>
      </c>
      <c r="AE518">
        <v>1.4615959999999999</v>
      </c>
      <c r="AF518" t="s">
        <v>76</v>
      </c>
      <c r="AG518">
        <v>39.478889000000002</v>
      </c>
      <c r="AH518" t="s">
        <v>330</v>
      </c>
      <c r="AI518" t="s">
        <v>332</v>
      </c>
      <c r="AJ518">
        <v>2.1132559999999998</v>
      </c>
      <c r="AK518" t="s">
        <v>77</v>
      </c>
      <c r="AL518">
        <v>72.166104000000004</v>
      </c>
      <c r="AM518" s="4" t="s">
        <v>65</v>
      </c>
      <c r="AN518" s="5">
        <v>6095.4300116907134</v>
      </c>
      <c r="AO518" s="4" t="s">
        <v>65</v>
      </c>
      <c r="AP518" s="6">
        <v>2309</v>
      </c>
      <c r="AQ518">
        <v>2</v>
      </c>
      <c r="AR518">
        <v>3186.0614650000002</v>
      </c>
      <c r="AS518" t="s">
        <v>66</v>
      </c>
      <c r="AT518" t="s">
        <v>53</v>
      </c>
    </row>
    <row r="519" spans="1:46">
      <c r="A519">
        <v>813</v>
      </c>
      <c r="B519" t="s">
        <v>46</v>
      </c>
      <c r="C519">
        <v>25</v>
      </c>
      <c r="D519">
        <v>506</v>
      </c>
      <c r="E519" t="s">
        <v>275</v>
      </c>
      <c r="F519" t="s">
        <v>752</v>
      </c>
      <c r="G519">
        <v>25506</v>
      </c>
      <c r="H519">
        <v>25506</v>
      </c>
      <c r="I519" t="s">
        <v>49</v>
      </c>
      <c r="J519">
        <v>2513</v>
      </c>
      <c r="K519" t="s">
        <v>762</v>
      </c>
      <c r="L519" t="s">
        <v>80</v>
      </c>
      <c r="M519" t="s">
        <v>53</v>
      </c>
      <c r="N519">
        <v>4877</v>
      </c>
      <c r="O519" t="s">
        <v>53</v>
      </c>
      <c r="P519" t="s">
        <v>70</v>
      </c>
      <c r="Q519" t="s">
        <v>71</v>
      </c>
      <c r="R519" t="s">
        <v>105</v>
      </c>
      <c r="S519" t="s">
        <v>57</v>
      </c>
      <c r="T519" t="s">
        <v>58</v>
      </c>
      <c r="U519" t="s">
        <v>59</v>
      </c>
      <c r="V519">
        <v>0.51329199999999997</v>
      </c>
      <c r="W519" t="s">
        <v>53</v>
      </c>
      <c r="X519" t="s">
        <v>53</v>
      </c>
      <c r="Y519" t="s">
        <v>127</v>
      </c>
      <c r="Z519" t="str">
        <f t="shared" si="16"/>
        <v>Mayor que 70 - hasta 80</v>
      </c>
      <c r="AA519">
        <f t="shared" si="17"/>
        <v>1</v>
      </c>
      <c r="AB519">
        <v>25506</v>
      </c>
      <c r="AC519" t="s">
        <v>564</v>
      </c>
      <c r="AD519" t="s">
        <v>771</v>
      </c>
      <c r="AE519">
        <v>1.7537259999999999</v>
      </c>
      <c r="AF519" t="s">
        <v>76</v>
      </c>
      <c r="AG519">
        <v>33.729140999999998</v>
      </c>
      <c r="AH519" t="s">
        <v>564</v>
      </c>
      <c r="AI519" t="s">
        <v>565</v>
      </c>
      <c r="AJ519">
        <v>3.593661</v>
      </c>
      <c r="AK519" t="s">
        <v>84</v>
      </c>
      <c r="AL519">
        <v>118.47098099999999</v>
      </c>
      <c r="AM519" s="4" t="s">
        <v>65</v>
      </c>
      <c r="AN519" s="5">
        <v>5034.2687359713209</v>
      </c>
      <c r="AO519" s="4" t="s">
        <v>65</v>
      </c>
      <c r="AP519" s="6">
        <v>1580</v>
      </c>
      <c r="AQ519">
        <v>2</v>
      </c>
      <c r="AR519">
        <v>5975.5950739999998</v>
      </c>
      <c r="AS519" t="s">
        <v>66</v>
      </c>
      <c r="AT519" t="s">
        <v>53</v>
      </c>
    </row>
    <row r="520" spans="1:46">
      <c r="A520">
        <v>814</v>
      </c>
      <c r="B520" t="s">
        <v>46</v>
      </c>
      <c r="C520">
        <v>25</v>
      </c>
      <c r="D520">
        <v>513</v>
      </c>
      <c r="E520" t="s">
        <v>838</v>
      </c>
      <c r="F520" t="s">
        <v>752</v>
      </c>
      <c r="G520">
        <v>25513</v>
      </c>
      <c r="H520">
        <v>25513</v>
      </c>
      <c r="I520" t="s">
        <v>49</v>
      </c>
      <c r="J520">
        <v>2509</v>
      </c>
      <c r="K520" t="s">
        <v>799</v>
      </c>
      <c r="L520" t="s">
        <v>91</v>
      </c>
      <c r="M520" t="s">
        <v>53</v>
      </c>
      <c r="N520">
        <v>28412</v>
      </c>
      <c r="O520" t="s">
        <v>53</v>
      </c>
      <c r="P520" t="s">
        <v>70</v>
      </c>
      <c r="Q520" t="s">
        <v>71</v>
      </c>
      <c r="R520" t="s">
        <v>93</v>
      </c>
      <c r="S520" t="s">
        <v>57</v>
      </c>
      <c r="T520" t="s">
        <v>58</v>
      </c>
      <c r="U520" t="s">
        <v>81</v>
      </c>
      <c r="V520">
        <v>0.40694599999999997</v>
      </c>
      <c r="W520" t="s">
        <v>53</v>
      </c>
      <c r="X520" t="s">
        <v>53</v>
      </c>
      <c r="Y520" t="s">
        <v>228</v>
      </c>
      <c r="Z520" t="str">
        <f t="shared" si="16"/>
        <v>Mayor que 180 - hasta 200</v>
      </c>
      <c r="AA520">
        <f t="shared" si="17"/>
        <v>1</v>
      </c>
      <c r="AB520">
        <v>25513</v>
      </c>
      <c r="AC520" t="s">
        <v>330</v>
      </c>
      <c r="AD520" t="s">
        <v>793</v>
      </c>
      <c r="AE520">
        <v>1.8093710000000001</v>
      </c>
      <c r="AF520" t="s">
        <v>76</v>
      </c>
      <c r="AG520">
        <v>31.80904</v>
      </c>
      <c r="AH520" t="s">
        <v>330</v>
      </c>
      <c r="AI520" t="s">
        <v>332</v>
      </c>
      <c r="AJ520">
        <v>2.7549869999999999</v>
      </c>
      <c r="AK520" t="s">
        <v>77</v>
      </c>
      <c r="AL520">
        <v>81.152394999999999</v>
      </c>
      <c r="AM520" s="4" t="s">
        <v>65</v>
      </c>
      <c r="AN520" s="5">
        <v>25156.582730488695</v>
      </c>
      <c r="AO520" s="4" t="s">
        <v>65</v>
      </c>
      <c r="AP520" s="6">
        <v>9550</v>
      </c>
      <c r="AQ520">
        <v>4</v>
      </c>
      <c r="AR520">
        <v>17824.975083000001</v>
      </c>
      <c r="AS520" t="s">
        <v>66</v>
      </c>
      <c r="AT520" t="s">
        <v>53</v>
      </c>
    </row>
    <row r="521" spans="1:46">
      <c r="A521">
        <v>815</v>
      </c>
      <c r="B521" t="s">
        <v>46</v>
      </c>
      <c r="C521">
        <v>25</v>
      </c>
      <c r="D521">
        <v>518</v>
      </c>
      <c r="E521" t="s">
        <v>839</v>
      </c>
      <c r="F521" t="s">
        <v>752</v>
      </c>
      <c r="G521">
        <v>25518</v>
      </c>
      <c r="H521">
        <v>25518</v>
      </c>
      <c r="I521" t="s">
        <v>49</v>
      </c>
      <c r="J521">
        <v>2509</v>
      </c>
      <c r="K521" t="s">
        <v>799</v>
      </c>
      <c r="L521" t="s">
        <v>80</v>
      </c>
      <c r="M521" t="s">
        <v>53</v>
      </c>
      <c r="N521">
        <v>4742</v>
      </c>
      <c r="O521" t="s">
        <v>53</v>
      </c>
      <c r="P521" t="s">
        <v>70</v>
      </c>
      <c r="Q521" t="s">
        <v>71</v>
      </c>
      <c r="R521" t="s">
        <v>105</v>
      </c>
      <c r="S521" t="s">
        <v>57</v>
      </c>
      <c r="T521" t="s">
        <v>58</v>
      </c>
      <c r="U521" t="s">
        <v>81</v>
      </c>
      <c r="V521">
        <v>0.310583</v>
      </c>
      <c r="W521" t="s">
        <v>53</v>
      </c>
      <c r="X521" t="s">
        <v>53</v>
      </c>
      <c r="Y521" t="s">
        <v>82</v>
      </c>
      <c r="Z521" t="str">
        <f t="shared" si="16"/>
        <v>Mayor que 15 - hasta 20</v>
      </c>
      <c r="AA521">
        <f t="shared" si="17"/>
        <v>1</v>
      </c>
      <c r="AB521">
        <v>25518</v>
      </c>
      <c r="AC521" t="s">
        <v>330</v>
      </c>
      <c r="AD521" t="s">
        <v>793</v>
      </c>
      <c r="AE521">
        <v>3.6717330000000001</v>
      </c>
      <c r="AF521" t="s">
        <v>84</v>
      </c>
      <c r="AG521">
        <v>73.873716000000002</v>
      </c>
      <c r="AH521" t="s">
        <v>330</v>
      </c>
      <c r="AI521" t="s">
        <v>332</v>
      </c>
      <c r="AJ521">
        <v>4.6173479999999998</v>
      </c>
      <c r="AK521" t="s">
        <v>85</v>
      </c>
      <c r="AL521">
        <v>123.217071</v>
      </c>
      <c r="AM521" s="4" t="s">
        <v>65</v>
      </c>
      <c r="AN521" s="5">
        <v>10851.721058430971</v>
      </c>
      <c r="AO521" s="4" t="s">
        <v>65</v>
      </c>
      <c r="AP521" s="6">
        <v>2078</v>
      </c>
      <c r="AQ521">
        <v>4</v>
      </c>
      <c r="AR521">
        <v>10795.836036000001</v>
      </c>
      <c r="AS521" t="s">
        <v>66</v>
      </c>
      <c r="AT521" t="s">
        <v>53</v>
      </c>
    </row>
    <row r="522" spans="1:46">
      <c r="A522">
        <v>816</v>
      </c>
      <c r="B522" t="s">
        <v>46</v>
      </c>
      <c r="C522">
        <v>25</v>
      </c>
      <c r="D522">
        <v>524</v>
      </c>
      <c r="E522" t="s">
        <v>840</v>
      </c>
      <c r="F522" t="s">
        <v>752</v>
      </c>
      <c r="G522">
        <v>25524</v>
      </c>
      <c r="H522">
        <v>25524</v>
      </c>
      <c r="I522" t="s">
        <v>49</v>
      </c>
      <c r="J522">
        <v>2513</v>
      </c>
      <c r="K522" t="s">
        <v>762</v>
      </c>
      <c r="L522" t="s">
        <v>69</v>
      </c>
      <c r="M522" t="s">
        <v>53</v>
      </c>
      <c r="N522">
        <v>5792</v>
      </c>
      <c r="O522" t="s">
        <v>53</v>
      </c>
      <c r="P522" t="s">
        <v>70</v>
      </c>
      <c r="Q522" t="s">
        <v>71</v>
      </c>
      <c r="R522" t="s">
        <v>93</v>
      </c>
      <c r="S522" t="s">
        <v>57</v>
      </c>
      <c r="T522" t="s">
        <v>58</v>
      </c>
      <c r="U522" t="s">
        <v>81</v>
      </c>
      <c r="V522">
        <v>0.403609</v>
      </c>
      <c r="W522" t="s">
        <v>53</v>
      </c>
      <c r="X522" t="s">
        <v>53</v>
      </c>
      <c r="Y522" t="s">
        <v>187</v>
      </c>
      <c r="Z522" t="str">
        <f t="shared" si="16"/>
        <v>Mayor que 80 - hasta 100</v>
      </c>
      <c r="AA522">
        <f t="shared" si="17"/>
        <v>1</v>
      </c>
      <c r="AB522">
        <v>25524</v>
      </c>
      <c r="AC522" t="s">
        <v>564</v>
      </c>
      <c r="AD522" t="s">
        <v>771</v>
      </c>
      <c r="AE522">
        <v>1.1162479999999999</v>
      </c>
      <c r="AF522" t="s">
        <v>76</v>
      </c>
      <c r="AG522">
        <v>23.545079000000001</v>
      </c>
      <c r="AH522" t="s">
        <v>564</v>
      </c>
      <c r="AI522" t="s">
        <v>565</v>
      </c>
      <c r="AJ522">
        <v>2.9561839999999999</v>
      </c>
      <c r="AK522" t="s">
        <v>77</v>
      </c>
      <c r="AL522">
        <v>108.286919</v>
      </c>
      <c r="AM522" s="4" t="s">
        <v>65</v>
      </c>
      <c r="AN522" s="5">
        <v>4439.1088150386404</v>
      </c>
      <c r="AO522" s="4" t="s">
        <v>65</v>
      </c>
      <c r="AP522" s="6">
        <v>1887</v>
      </c>
      <c r="AQ522">
        <v>3</v>
      </c>
      <c r="AR522">
        <v>3155.9789500000002</v>
      </c>
      <c r="AS522" t="s">
        <v>66</v>
      </c>
      <c r="AT522" t="s">
        <v>53</v>
      </c>
    </row>
    <row r="523" spans="1:46">
      <c r="A523">
        <v>817</v>
      </c>
      <c r="B523" t="s">
        <v>46</v>
      </c>
      <c r="C523">
        <v>25</v>
      </c>
      <c r="D523">
        <v>530</v>
      </c>
      <c r="E523" t="s">
        <v>841</v>
      </c>
      <c r="F523" t="s">
        <v>752</v>
      </c>
      <c r="G523">
        <v>25530</v>
      </c>
      <c r="H523">
        <v>25530</v>
      </c>
      <c r="I523" t="s">
        <v>49</v>
      </c>
      <c r="J523">
        <v>2507</v>
      </c>
      <c r="K523" t="s">
        <v>830</v>
      </c>
      <c r="L523" t="s">
        <v>80</v>
      </c>
      <c r="M523" t="s">
        <v>53</v>
      </c>
      <c r="N523">
        <v>9851</v>
      </c>
      <c r="O523" t="s">
        <v>53</v>
      </c>
      <c r="P523" t="s">
        <v>70</v>
      </c>
      <c r="Q523" t="s">
        <v>71</v>
      </c>
      <c r="R523" t="s">
        <v>93</v>
      </c>
      <c r="S523" t="s">
        <v>57</v>
      </c>
      <c r="T523" t="s">
        <v>73</v>
      </c>
      <c r="U523" t="s">
        <v>59</v>
      </c>
      <c r="V523">
        <v>0.55360399999999998</v>
      </c>
      <c r="W523" t="s">
        <v>53</v>
      </c>
      <c r="X523" t="s">
        <v>53</v>
      </c>
      <c r="Y523" t="s">
        <v>116</v>
      </c>
      <c r="Z523" t="str">
        <f t="shared" si="16"/>
        <v>Mayor que 30 - hasta 40</v>
      </c>
      <c r="AA523">
        <f t="shared" si="17"/>
        <v>1</v>
      </c>
      <c r="AB523">
        <v>25530</v>
      </c>
      <c r="AC523" t="s">
        <v>432</v>
      </c>
      <c r="AD523" t="s">
        <v>405</v>
      </c>
      <c r="AE523">
        <v>0.94611000000000001</v>
      </c>
      <c r="AF523" t="s">
        <v>63</v>
      </c>
      <c r="AG523">
        <v>50.001429000000002</v>
      </c>
      <c r="AH523" t="s">
        <v>512</v>
      </c>
      <c r="AI523" t="s">
        <v>513</v>
      </c>
      <c r="AJ523">
        <v>1.336692</v>
      </c>
      <c r="AK523" t="s">
        <v>76</v>
      </c>
      <c r="AL523">
        <v>69.318081000000006</v>
      </c>
      <c r="AM523" s="4" t="s">
        <v>64</v>
      </c>
      <c r="AN523" s="5">
        <v>47653.732809141598</v>
      </c>
      <c r="AO523" s="4" t="s">
        <v>65</v>
      </c>
      <c r="AP523" s="6">
        <v>1271</v>
      </c>
      <c r="AQ523">
        <v>2</v>
      </c>
      <c r="AR523">
        <v>35272.852606</v>
      </c>
      <c r="AS523" t="s">
        <v>66</v>
      </c>
      <c r="AT523" t="s">
        <v>53</v>
      </c>
    </row>
    <row r="524" spans="1:46">
      <c r="A524">
        <v>818</v>
      </c>
      <c r="B524" t="s">
        <v>46</v>
      </c>
      <c r="C524">
        <v>25</v>
      </c>
      <c r="D524">
        <v>535</v>
      </c>
      <c r="E524" t="s">
        <v>842</v>
      </c>
      <c r="F524" t="s">
        <v>752</v>
      </c>
      <c r="G524">
        <v>25535</v>
      </c>
      <c r="H524">
        <v>25535</v>
      </c>
      <c r="I524" t="s">
        <v>49</v>
      </c>
      <c r="J524">
        <v>2513</v>
      </c>
      <c r="K524" t="s">
        <v>762</v>
      </c>
      <c r="L524" t="s">
        <v>80</v>
      </c>
      <c r="M524" t="s">
        <v>53</v>
      </c>
      <c r="N524">
        <v>10525</v>
      </c>
      <c r="O524" t="s">
        <v>53</v>
      </c>
      <c r="P524" t="s">
        <v>70</v>
      </c>
      <c r="Q524" t="s">
        <v>71</v>
      </c>
      <c r="R524" t="s">
        <v>72</v>
      </c>
      <c r="S524" t="s">
        <v>57</v>
      </c>
      <c r="T524" t="s">
        <v>58</v>
      </c>
      <c r="U524" t="s">
        <v>59</v>
      </c>
      <c r="V524">
        <v>0.39010600000000001</v>
      </c>
      <c r="W524" t="s">
        <v>53</v>
      </c>
      <c r="X524" t="s">
        <v>53</v>
      </c>
      <c r="Y524" t="s">
        <v>187</v>
      </c>
      <c r="Z524" t="str">
        <f t="shared" si="16"/>
        <v>Mayor que 80 - hasta 100</v>
      </c>
      <c r="AA524">
        <f t="shared" si="17"/>
        <v>1</v>
      </c>
      <c r="AB524">
        <v>25535</v>
      </c>
      <c r="AC524" t="s">
        <v>330</v>
      </c>
      <c r="AD524" t="s">
        <v>763</v>
      </c>
      <c r="AE524">
        <v>0.42806899999999998</v>
      </c>
      <c r="AF524" t="s">
        <v>63</v>
      </c>
      <c r="AG524">
        <v>10.066905</v>
      </c>
      <c r="AH524" t="s">
        <v>330</v>
      </c>
      <c r="AI524" t="s">
        <v>332</v>
      </c>
      <c r="AJ524">
        <v>1.988917</v>
      </c>
      <c r="AK524" t="s">
        <v>76</v>
      </c>
      <c r="AL524">
        <v>78.40925</v>
      </c>
      <c r="AM524" s="4" t="s">
        <v>65</v>
      </c>
      <c r="AN524" s="5">
        <v>12983.461599843882</v>
      </c>
      <c r="AO524" s="4" t="s">
        <v>65</v>
      </c>
      <c r="AP524" s="6">
        <v>4007</v>
      </c>
      <c r="AQ524">
        <v>2</v>
      </c>
      <c r="AR524">
        <v>8062.8245939999997</v>
      </c>
      <c r="AS524" t="s">
        <v>66</v>
      </c>
      <c r="AT524" t="s">
        <v>53</v>
      </c>
    </row>
    <row r="525" spans="1:46">
      <c r="A525">
        <v>819</v>
      </c>
      <c r="B525" t="s">
        <v>46</v>
      </c>
      <c r="C525">
        <v>25</v>
      </c>
      <c r="D525">
        <v>572</v>
      </c>
      <c r="E525" t="s">
        <v>843</v>
      </c>
      <c r="F525" t="s">
        <v>752</v>
      </c>
      <c r="G525">
        <v>25572</v>
      </c>
      <c r="H525">
        <v>25572</v>
      </c>
      <c r="I525" t="s">
        <v>49</v>
      </c>
      <c r="J525">
        <v>2503</v>
      </c>
      <c r="K525" t="s">
        <v>779</v>
      </c>
      <c r="L525" t="s">
        <v>69</v>
      </c>
      <c r="M525" t="s">
        <v>53</v>
      </c>
      <c r="N525">
        <v>18181</v>
      </c>
      <c r="O525" t="s">
        <v>53</v>
      </c>
      <c r="P525" t="s">
        <v>70</v>
      </c>
      <c r="Q525" t="s">
        <v>71</v>
      </c>
      <c r="R525" t="s">
        <v>93</v>
      </c>
      <c r="S525" t="s">
        <v>57</v>
      </c>
      <c r="T525" t="s">
        <v>58</v>
      </c>
      <c r="U525" t="s">
        <v>59</v>
      </c>
      <c r="V525">
        <v>0.320519</v>
      </c>
      <c r="W525" t="s">
        <v>53</v>
      </c>
      <c r="X525" t="s">
        <v>53</v>
      </c>
      <c r="Y525" t="s">
        <v>187</v>
      </c>
      <c r="Z525" t="str">
        <f t="shared" si="16"/>
        <v>Mayor que 80 - hasta 100</v>
      </c>
      <c r="AA525">
        <f t="shared" si="17"/>
        <v>1</v>
      </c>
      <c r="AB525">
        <v>25572</v>
      </c>
      <c r="AC525" t="s">
        <v>161</v>
      </c>
      <c r="AD525" t="s">
        <v>563</v>
      </c>
      <c r="AE525">
        <v>0.35711199999999999</v>
      </c>
      <c r="AF525" t="s">
        <v>63</v>
      </c>
      <c r="AG525">
        <v>6.5112699999999997</v>
      </c>
      <c r="AH525" t="s">
        <v>564</v>
      </c>
      <c r="AI525" t="s">
        <v>565</v>
      </c>
      <c r="AJ525">
        <v>3.8307820000000001</v>
      </c>
      <c r="AK525" t="s">
        <v>84</v>
      </c>
      <c r="AL525">
        <v>177.15281400000001</v>
      </c>
      <c r="AM525" s="4" t="s">
        <v>64</v>
      </c>
      <c r="AN525" s="5">
        <v>29215.722572116487</v>
      </c>
      <c r="AO525" s="4" t="s">
        <v>65</v>
      </c>
      <c r="AP525" s="6">
        <v>585</v>
      </c>
      <c r="AQ525">
        <v>3</v>
      </c>
      <c r="AR525">
        <v>21570.541300000001</v>
      </c>
      <c r="AS525" t="s">
        <v>66</v>
      </c>
      <c r="AT525" t="s">
        <v>53</v>
      </c>
    </row>
    <row r="526" spans="1:46">
      <c r="A526">
        <v>820</v>
      </c>
      <c r="B526" t="s">
        <v>46</v>
      </c>
      <c r="C526">
        <v>25</v>
      </c>
      <c r="D526">
        <v>580</v>
      </c>
      <c r="E526" t="s">
        <v>844</v>
      </c>
      <c r="F526" t="s">
        <v>752</v>
      </c>
      <c r="G526">
        <v>25580</v>
      </c>
      <c r="H526">
        <v>25580</v>
      </c>
      <c r="I526" t="s">
        <v>49</v>
      </c>
      <c r="J526">
        <v>2506</v>
      </c>
      <c r="K526" t="s">
        <v>765</v>
      </c>
      <c r="L526" t="s">
        <v>80</v>
      </c>
      <c r="M526" t="s">
        <v>53</v>
      </c>
      <c r="N526">
        <v>3830</v>
      </c>
      <c r="O526" t="s">
        <v>53</v>
      </c>
      <c r="P526" t="s">
        <v>70</v>
      </c>
      <c r="Q526" t="s">
        <v>71</v>
      </c>
      <c r="R526" t="s">
        <v>122</v>
      </c>
      <c r="S526" t="s">
        <v>57</v>
      </c>
      <c r="T526" t="s">
        <v>73</v>
      </c>
      <c r="U526" t="s">
        <v>81</v>
      </c>
      <c r="V526">
        <v>0.58458100000000002</v>
      </c>
      <c r="W526" t="s">
        <v>53</v>
      </c>
      <c r="X526" t="s">
        <v>53</v>
      </c>
      <c r="Y526" t="s">
        <v>102</v>
      </c>
      <c r="Z526" t="str">
        <f t="shared" si="16"/>
        <v>Mayor que 20 - hasta 30</v>
      </c>
      <c r="AA526">
        <f t="shared" si="17"/>
        <v>1</v>
      </c>
      <c r="AB526">
        <v>25580</v>
      </c>
      <c r="AC526" t="s">
        <v>564</v>
      </c>
      <c r="AD526" t="s">
        <v>754</v>
      </c>
      <c r="AE526">
        <v>1.9963379999999999</v>
      </c>
      <c r="AF526" t="s">
        <v>76</v>
      </c>
      <c r="AG526">
        <v>73.592596999999998</v>
      </c>
      <c r="AH526" t="s">
        <v>564</v>
      </c>
      <c r="AI526" t="s">
        <v>565</v>
      </c>
      <c r="AJ526">
        <v>2.8175159999999999</v>
      </c>
      <c r="AK526" t="s">
        <v>77</v>
      </c>
      <c r="AL526">
        <v>94.666104000000004</v>
      </c>
      <c r="AM526" s="4" t="s">
        <v>64</v>
      </c>
      <c r="AN526" s="5">
        <v>9610.370657077181</v>
      </c>
      <c r="AO526" s="4" t="s">
        <v>65</v>
      </c>
      <c r="AP526" s="6">
        <v>970</v>
      </c>
      <c r="AQ526">
        <v>4</v>
      </c>
      <c r="AR526">
        <v>10565.335539</v>
      </c>
      <c r="AS526" t="s">
        <v>66</v>
      </c>
      <c r="AT526" t="s">
        <v>53</v>
      </c>
    </row>
    <row r="527" spans="1:46">
      <c r="A527">
        <v>821</v>
      </c>
      <c r="B527" t="s">
        <v>46</v>
      </c>
      <c r="C527">
        <v>25</v>
      </c>
      <c r="D527">
        <v>592</v>
      </c>
      <c r="E527" t="s">
        <v>845</v>
      </c>
      <c r="F527" t="s">
        <v>752</v>
      </c>
      <c r="G527">
        <v>25592</v>
      </c>
      <c r="H527">
        <v>25592</v>
      </c>
      <c r="I527" t="s">
        <v>49</v>
      </c>
      <c r="J527">
        <v>2504</v>
      </c>
      <c r="K527" t="s">
        <v>756</v>
      </c>
      <c r="L527" t="s">
        <v>69</v>
      </c>
      <c r="M527" t="s">
        <v>53</v>
      </c>
      <c r="N527">
        <v>5397</v>
      </c>
      <c r="O527" t="s">
        <v>53</v>
      </c>
      <c r="P527" t="s">
        <v>70</v>
      </c>
      <c r="Q527" t="s">
        <v>71</v>
      </c>
      <c r="R527" t="s">
        <v>122</v>
      </c>
      <c r="S527" t="s">
        <v>57</v>
      </c>
      <c r="T527" t="s">
        <v>58</v>
      </c>
      <c r="U527" t="s">
        <v>81</v>
      </c>
      <c r="V527">
        <v>0.41196100000000002</v>
      </c>
      <c r="W527" t="s">
        <v>53</v>
      </c>
      <c r="X527" t="s">
        <v>53</v>
      </c>
      <c r="Y527" t="s">
        <v>165</v>
      </c>
      <c r="Z527" t="str">
        <f t="shared" si="16"/>
        <v>Mayor que 60 - hasta 70</v>
      </c>
      <c r="AA527">
        <f t="shared" si="17"/>
        <v>1</v>
      </c>
      <c r="AB527">
        <v>25592</v>
      </c>
      <c r="AC527" t="s">
        <v>330</v>
      </c>
      <c r="AD527" t="s">
        <v>757</v>
      </c>
      <c r="AE527">
        <v>2.0465300000000002</v>
      </c>
      <c r="AF527" t="s">
        <v>77</v>
      </c>
      <c r="AG527">
        <v>54.819805000000002</v>
      </c>
      <c r="AH527" t="s">
        <v>330</v>
      </c>
      <c r="AI527" t="s">
        <v>332</v>
      </c>
      <c r="AJ527">
        <v>2.7699750000000001</v>
      </c>
      <c r="AK527" t="s">
        <v>77</v>
      </c>
      <c r="AL527">
        <v>94.375648999999996</v>
      </c>
      <c r="AM527" s="4" t="s">
        <v>65</v>
      </c>
      <c r="AN527" s="5">
        <v>6237.635539915651</v>
      </c>
      <c r="AO527" s="4" t="s">
        <v>65</v>
      </c>
      <c r="AP527" s="6">
        <v>2077</v>
      </c>
      <c r="AQ527">
        <v>4</v>
      </c>
      <c r="AR527">
        <v>6054.7988910000004</v>
      </c>
      <c r="AS527" t="s">
        <v>66</v>
      </c>
      <c r="AT527" t="s">
        <v>53</v>
      </c>
    </row>
    <row r="528" spans="1:46">
      <c r="A528">
        <v>822</v>
      </c>
      <c r="B528" t="s">
        <v>46</v>
      </c>
      <c r="C528">
        <v>25</v>
      </c>
      <c r="D528">
        <v>594</v>
      </c>
      <c r="E528" t="s">
        <v>846</v>
      </c>
      <c r="F528" t="s">
        <v>752</v>
      </c>
      <c r="G528">
        <v>25594</v>
      </c>
      <c r="H528">
        <v>25594</v>
      </c>
      <c r="I528" t="s">
        <v>49</v>
      </c>
      <c r="J528">
        <v>2508</v>
      </c>
      <c r="K528" t="s">
        <v>68</v>
      </c>
      <c r="L528" t="s">
        <v>69</v>
      </c>
      <c r="M528" t="s">
        <v>53</v>
      </c>
      <c r="N528">
        <v>5855</v>
      </c>
      <c r="O528" t="s">
        <v>53</v>
      </c>
      <c r="P528" t="s">
        <v>70</v>
      </c>
      <c r="Q528" t="s">
        <v>71</v>
      </c>
      <c r="R528" t="s">
        <v>93</v>
      </c>
      <c r="S528" t="s">
        <v>57</v>
      </c>
      <c r="T528" t="s">
        <v>58</v>
      </c>
      <c r="U528" t="s">
        <v>81</v>
      </c>
      <c r="V528">
        <v>0.53190599999999999</v>
      </c>
      <c r="W528" t="s">
        <v>53</v>
      </c>
      <c r="X528" t="s">
        <v>53</v>
      </c>
      <c r="Y528" t="s">
        <v>187</v>
      </c>
      <c r="Z528" t="str">
        <f t="shared" si="16"/>
        <v>Mayor que 80 - hasta 100</v>
      </c>
      <c r="AA528">
        <f t="shared" si="17"/>
        <v>1</v>
      </c>
      <c r="AB528">
        <v>25594</v>
      </c>
      <c r="AC528" t="s">
        <v>512</v>
      </c>
      <c r="AD528" t="s">
        <v>513</v>
      </c>
      <c r="AE528">
        <v>1.508586</v>
      </c>
      <c r="AF528" t="s">
        <v>76</v>
      </c>
      <c r="AG528">
        <v>48.960006999999997</v>
      </c>
      <c r="AH528" t="s">
        <v>512</v>
      </c>
      <c r="AI528" t="s">
        <v>513</v>
      </c>
      <c r="AJ528">
        <v>1.4394210000000001</v>
      </c>
      <c r="AK528" t="s">
        <v>76</v>
      </c>
      <c r="AL528">
        <v>47.470058000000002</v>
      </c>
      <c r="AM528" s="4" t="s">
        <v>65</v>
      </c>
      <c r="AN528" s="5">
        <v>7995.798559724868</v>
      </c>
      <c r="AO528" s="4" t="s">
        <v>65</v>
      </c>
      <c r="AP528" s="6">
        <v>2289</v>
      </c>
      <c r="AQ528">
        <v>4</v>
      </c>
      <c r="AR528">
        <v>8631.0660370000005</v>
      </c>
      <c r="AS528" t="s">
        <v>66</v>
      </c>
      <c r="AT528" t="s">
        <v>53</v>
      </c>
    </row>
    <row r="529" spans="1:46">
      <c r="A529">
        <v>823</v>
      </c>
      <c r="B529" t="s">
        <v>46</v>
      </c>
      <c r="C529">
        <v>25</v>
      </c>
      <c r="D529">
        <v>596</v>
      </c>
      <c r="E529" t="s">
        <v>847</v>
      </c>
      <c r="F529" t="s">
        <v>752</v>
      </c>
      <c r="G529">
        <v>25596</v>
      </c>
      <c r="H529">
        <v>25596</v>
      </c>
      <c r="I529" t="s">
        <v>49</v>
      </c>
      <c r="J529">
        <v>2514</v>
      </c>
      <c r="K529" t="s">
        <v>759</v>
      </c>
      <c r="L529" t="s">
        <v>69</v>
      </c>
      <c r="M529" t="s">
        <v>53</v>
      </c>
      <c r="N529">
        <v>7143</v>
      </c>
      <c r="O529" t="s">
        <v>53</v>
      </c>
      <c r="P529" t="s">
        <v>70</v>
      </c>
      <c r="Q529" t="s">
        <v>71</v>
      </c>
      <c r="R529" t="s">
        <v>93</v>
      </c>
      <c r="S529" t="s">
        <v>57</v>
      </c>
      <c r="T529" t="s">
        <v>58</v>
      </c>
      <c r="U529" t="s">
        <v>59</v>
      </c>
      <c r="V529">
        <v>0.51756000000000002</v>
      </c>
      <c r="W529" t="s">
        <v>53</v>
      </c>
      <c r="X529" t="s">
        <v>53</v>
      </c>
      <c r="Y529" t="s">
        <v>165</v>
      </c>
      <c r="Z529" t="str">
        <f t="shared" si="16"/>
        <v>Mayor que 60 - hasta 70</v>
      </c>
      <c r="AA529">
        <f t="shared" si="17"/>
        <v>1</v>
      </c>
      <c r="AB529">
        <v>25596</v>
      </c>
      <c r="AC529" t="s">
        <v>330</v>
      </c>
      <c r="AD529" t="s">
        <v>757</v>
      </c>
      <c r="AE529">
        <v>1.6764019999999999</v>
      </c>
      <c r="AF529" t="s">
        <v>76</v>
      </c>
      <c r="AG529">
        <v>36.378889000000001</v>
      </c>
      <c r="AH529" t="s">
        <v>330</v>
      </c>
      <c r="AI529" t="s">
        <v>332</v>
      </c>
      <c r="AJ529">
        <v>2.3998469999999998</v>
      </c>
      <c r="AK529" t="s">
        <v>77</v>
      </c>
      <c r="AL529">
        <v>75.934732999999994</v>
      </c>
      <c r="AM529" s="4" t="s">
        <v>65</v>
      </c>
      <c r="AN529" s="5">
        <v>11112.827772607141</v>
      </c>
      <c r="AO529" s="4" t="s">
        <v>65</v>
      </c>
      <c r="AP529" s="6">
        <v>3756</v>
      </c>
      <c r="AQ529">
        <v>4</v>
      </c>
      <c r="AR529">
        <v>8183.0605329999999</v>
      </c>
      <c r="AS529" t="s">
        <v>66</v>
      </c>
      <c r="AT529" t="s">
        <v>53</v>
      </c>
    </row>
    <row r="530" spans="1:46">
      <c r="A530">
        <v>824</v>
      </c>
      <c r="B530" t="s">
        <v>46</v>
      </c>
      <c r="C530">
        <v>25</v>
      </c>
      <c r="D530">
        <v>599</v>
      </c>
      <c r="E530" t="s">
        <v>848</v>
      </c>
      <c r="F530" t="s">
        <v>752</v>
      </c>
      <c r="G530">
        <v>25599</v>
      </c>
      <c r="H530">
        <v>25599</v>
      </c>
      <c r="I530" t="s">
        <v>49</v>
      </c>
      <c r="J530">
        <v>2514</v>
      </c>
      <c r="K530" t="s">
        <v>759</v>
      </c>
      <c r="L530" t="s">
        <v>91</v>
      </c>
      <c r="M530" t="s">
        <v>53</v>
      </c>
      <c r="N530">
        <v>9561</v>
      </c>
      <c r="O530" t="s">
        <v>53</v>
      </c>
      <c r="P530" t="s">
        <v>70</v>
      </c>
      <c r="Q530" t="s">
        <v>71</v>
      </c>
      <c r="R530" t="s">
        <v>56</v>
      </c>
      <c r="S530" t="s">
        <v>57</v>
      </c>
      <c r="T530" t="s">
        <v>58</v>
      </c>
      <c r="U530" t="s">
        <v>81</v>
      </c>
      <c r="V530">
        <v>0.33450400000000002</v>
      </c>
      <c r="W530" t="s">
        <v>53</v>
      </c>
      <c r="X530" t="s">
        <v>53</v>
      </c>
      <c r="Y530" t="s">
        <v>136</v>
      </c>
      <c r="Z530" t="str">
        <f t="shared" si="16"/>
        <v>Mayor que 100 - hasta 120</v>
      </c>
      <c r="AA530">
        <f t="shared" si="17"/>
        <v>1</v>
      </c>
      <c r="AB530">
        <v>25599</v>
      </c>
      <c r="AC530" t="s">
        <v>564</v>
      </c>
      <c r="AD530" t="s">
        <v>754</v>
      </c>
      <c r="AE530">
        <v>1.47661</v>
      </c>
      <c r="AF530" t="s">
        <v>76</v>
      </c>
      <c r="AG530">
        <v>46.407316000000002</v>
      </c>
      <c r="AH530" t="s">
        <v>564</v>
      </c>
      <c r="AI530" t="s">
        <v>565</v>
      </c>
      <c r="AJ530">
        <v>2.9068640000000001</v>
      </c>
      <c r="AK530" t="s">
        <v>77</v>
      </c>
      <c r="AL530">
        <v>105.605296</v>
      </c>
      <c r="AM530" s="4" t="s">
        <v>65</v>
      </c>
      <c r="AN530" s="5">
        <v>8414.3570037258087</v>
      </c>
      <c r="AO530" s="4" t="s">
        <v>65</v>
      </c>
      <c r="AP530" s="6">
        <v>4076</v>
      </c>
      <c r="AQ530">
        <v>4</v>
      </c>
      <c r="AR530">
        <v>5629.9745929999999</v>
      </c>
      <c r="AS530" t="s">
        <v>66</v>
      </c>
      <c r="AT530" t="s">
        <v>53</v>
      </c>
    </row>
    <row r="531" spans="1:46">
      <c r="A531">
        <v>825</v>
      </c>
      <c r="B531" t="s">
        <v>46</v>
      </c>
      <c r="C531">
        <v>25</v>
      </c>
      <c r="D531">
        <v>612</v>
      </c>
      <c r="E531" t="s">
        <v>418</v>
      </c>
      <c r="F531" t="s">
        <v>752</v>
      </c>
      <c r="G531">
        <v>25612</v>
      </c>
      <c r="H531">
        <v>25612</v>
      </c>
      <c r="I531" t="s">
        <v>49</v>
      </c>
      <c r="J531">
        <v>2502</v>
      </c>
      <c r="K531" t="s">
        <v>753</v>
      </c>
      <c r="L531" t="s">
        <v>91</v>
      </c>
      <c r="M531" t="s">
        <v>53</v>
      </c>
      <c r="N531">
        <v>15324</v>
      </c>
      <c r="O531" t="s">
        <v>53</v>
      </c>
      <c r="P531" t="s">
        <v>70</v>
      </c>
      <c r="Q531" t="s">
        <v>134</v>
      </c>
      <c r="R531" t="s">
        <v>72</v>
      </c>
      <c r="S531" t="s">
        <v>57</v>
      </c>
      <c r="T531" t="s">
        <v>58</v>
      </c>
      <c r="U531" t="s">
        <v>81</v>
      </c>
      <c r="V531">
        <v>0.54667100000000002</v>
      </c>
      <c r="W531" t="s">
        <v>53</v>
      </c>
      <c r="X531" t="s">
        <v>53</v>
      </c>
      <c r="Y531" t="s">
        <v>74</v>
      </c>
      <c r="Z531" t="str">
        <f t="shared" si="16"/>
        <v>Mayor que 140 - hasta 160</v>
      </c>
      <c r="AA531">
        <f t="shared" si="17"/>
        <v>1</v>
      </c>
      <c r="AB531">
        <v>25612</v>
      </c>
      <c r="AC531" t="s">
        <v>564</v>
      </c>
      <c r="AD531" t="s">
        <v>754</v>
      </c>
      <c r="AE531">
        <v>0.10673199999999999</v>
      </c>
      <c r="AF531" t="s">
        <v>63</v>
      </c>
      <c r="AG531">
        <v>5.6183769999999997</v>
      </c>
      <c r="AH531" t="s">
        <v>564</v>
      </c>
      <c r="AI531" t="s">
        <v>565</v>
      </c>
      <c r="AJ531">
        <v>1.5730900000000001</v>
      </c>
      <c r="AK531" t="s">
        <v>76</v>
      </c>
      <c r="AL531">
        <v>66.602142999999998</v>
      </c>
      <c r="AM531" s="4" t="s">
        <v>64</v>
      </c>
      <c r="AN531" s="5">
        <v>6350.4379121022203</v>
      </c>
      <c r="AO531" s="4" t="s">
        <v>65</v>
      </c>
      <c r="AP531" s="6">
        <v>2729</v>
      </c>
      <c r="AQ531">
        <v>2</v>
      </c>
      <c r="AR531">
        <v>6042.5243650000002</v>
      </c>
      <c r="AS531" t="s">
        <v>66</v>
      </c>
      <c r="AT531" t="s">
        <v>53</v>
      </c>
    </row>
    <row r="532" spans="1:46">
      <c r="A532">
        <v>826</v>
      </c>
      <c r="B532" t="s">
        <v>46</v>
      </c>
      <c r="C532">
        <v>25</v>
      </c>
      <c r="D532">
        <v>645</v>
      </c>
      <c r="E532" t="s">
        <v>849</v>
      </c>
      <c r="F532" t="s">
        <v>752</v>
      </c>
      <c r="G532">
        <v>25645</v>
      </c>
      <c r="H532">
        <v>25645</v>
      </c>
      <c r="I532" t="s">
        <v>49</v>
      </c>
      <c r="J532">
        <v>2514</v>
      </c>
      <c r="K532" t="s">
        <v>759</v>
      </c>
      <c r="L532" t="s">
        <v>91</v>
      </c>
      <c r="M532" t="s">
        <v>53</v>
      </c>
      <c r="N532">
        <v>13831</v>
      </c>
      <c r="O532" t="s">
        <v>53</v>
      </c>
      <c r="P532" t="s">
        <v>70</v>
      </c>
      <c r="Q532" t="s">
        <v>71</v>
      </c>
      <c r="R532" t="s">
        <v>105</v>
      </c>
      <c r="S532" t="s">
        <v>57</v>
      </c>
      <c r="T532" t="s">
        <v>58</v>
      </c>
      <c r="U532" t="s">
        <v>81</v>
      </c>
      <c r="V532">
        <v>0.364788</v>
      </c>
      <c r="W532" t="s">
        <v>53</v>
      </c>
      <c r="X532" t="s">
        <v>53</v>
      </c>
      <c r="Y532" t="s">
        <v>74</v>
      </c>
      <c r="Z532" t="str">
        <f t="shared" si="16"/>
        <v>Mayor que 140 - hasta 160</v>
      </c>
      <c r="AA532">
        <f t="shared" si="17"/>
        <v>1</v>
      </c>
      <c r="AB532">
        <v>25645</v>
      </c>
      <c r="AC532" t="s">
        <v>330</v>
      </c>
      <c r="AD532" t="s">
        <v>798</v>
      </c>
      <c r="AE532">
        <v>1.0661769999999999</v>
      </c>
      <c r="AF532" t="s">
        <v>76</v>
      </c>
      <c r="AG532">
        <v>26.711984000000001</v>
      </c>
      <c r="AH532" t="s">
        <v>330</v>
      </c>
      <c r="AI532" t="s">
        <v>332</v>
      </c>
      <c r="AJ532">
        <v>1.4609510000000001</v>
      </c>
      <c r="AK532" t="s">
        <v>76</v>
      </c>
      <c r="AL532">
        <v>45.370058</v>
      </c>
      <c r="AM532" s="4" t="s">
        <v>65</v>
      </c>
      <c r="AN532" s="5">
        <v>6394.7659600613861</v>
      </c>
      <c r="AO532" s="4" t="s">
        <v>65</v>
      </c>
      <c r="AP532" s="6">
        <v>5780</v>
      </c>
      <c r="AQ532">
        <v>2</v>
      </c>
      <c r="AR532">
        <v>5025.5985499999997</v>
      </c>
      <c r="AS532" t="s">
        <v>66</v>
      </c>
      <c r="AT532" t="s">
        <v>53</v>
      </c>
    </row>
    <row r="533" spans="1:46">
      <c r="A533">
        <v>827</v>
      </c>
      <c r="B533" t="s">
        <v>46</v>
      </c>
      <c r="C533">
        <v>25</v>
      </c>
      <c r="D533">
        <v>649</v>
      </c>
      <c r="E533" t="s">
        <v>850</v>
      </c>
      <c r="F533" t="s">
        <v>752</v>
      </c>
      <c r="G533">
        <v>25649</v>
      </c>
      <c r="H533">
        <v>25649</v>
      </c>
      <c r="I533" t="s">
        <v>49</v>
      </c>
      <c r="J533">
        <v>2513</v>
      </c>
      <c r="K533" t="s">
        <v>762</v>
      </c>
      <c r="L533" t="s">
        <v>69</v>
      </c>
      <c r="M533" t="s">
        <v>53</v>
      </c>
      <c r="N533">
        <v>9723</v>
      </c>
      <c r="O533" t="s">
        <v>53</v>
      </c>
      <c r="P533" t="s">
        <v>70</v>
      </c>
      <c r="Q533" t="s">
        <v>71</v>
      </c>
      <c r="R533" t="s">
        <v>72</v>
      </c>
      <c r="S533" t="s">
        <v>57</v>
      </c>
      <c r="T533" t="s">
        <v>58</v>
      </c>
      <c r="U533" t="s">
        <v>81</v>
      </c>
      <c r="V533">
        <v>0.442938</v>
      </c>
      <c r="W533" t="s">
        <v>53</v>
      </c>
      <c r="X533" t="s">
        <v>53</v>
      </c>
      <c r="Y533" t="s">
        <v>187</v>
      </c>
      <c r="Z533" t="str">
        <f t="shared" si="16"/>
        <v>Mayor que 80 - hasta 100</v>
      </c>
      <c r="AA533">
        <f t="shared" si="17"/>
        <v>1</v>
      </c>
      <c r="AB533">
        <v>25649</v>
      </c>
      <c r="AC533" t="s">
        <v>330</v>
      </c>
      <c r="AD533" t="s">
        <v>763</v>
      </c>
      <c r="AE533">
        <v>1.6687080000000001</v>
      </c>
      <c r="AF533" t="s">
        <v>76</v>
      </c>
      <c r="AG533">
        <v>28.193607</v>
      </c>
      <c r="AH533" t="s">
        <v>330</v>
      </c>
      <c r="AI533" t="s">
        <v>332</v>
      </c>
      <c r="AJ533">
        <v>3.1586020000000001</v>
      </c>
      <c r="AK533" t="s">
        <v>84</v>
      </c>
      <c r="AL533">
        <v>94.146002999999993</v>
      </c>
      <c r="AM533" s="4" t="s">
        <v>65</v>
      </c>
      <c r="AN533" s="5">
        <v>9558.2537105571046</v>
      </c>
      <c r="AO533" s="4" t="s">
        <v>65</v>
      </c>
      <c r="AP533" s="6">
        <v>3432</v>
      </c>
      <c r="AQ533">
        <v>3</v>
      </c>
      <c r="AR533">
        <v>7563.7297129999997</v>
      </c>
      <c r="AS533" t="s">
        <v>66</v>
      </c>
      <c r="AT533" t="s">
        <v>53</v>
      </c>
    </row>
    <row r="534" spans="1:46">
      <c r="A534">
        <v>828</v>
      </c>
      <c r="B534" t="s">
        <v>46</v>
      </c>
      <c r="C534">
        <v>25</v>
      </c>
      <c r="D534">
        <v>653</v>
      </c>
      <c r="E534" t="s">
        <v>851</v>
      </c>
      <c r="F534" t="s">
        <v>752</v>
      </c>
      <c r="G534">
        <v>25653</v>
      </c>
      <c r="H534">
        <v>25653</v>
      </c>
      <c r="I534" t="s">
        <v>49</v>
      </c>
      <c r="J534">
        <v>2509</v>
      </c>
      <c r="K534" t="s">
        <v>799</v>
      </c>
      <c r="L534" t="s">
        <v>80</v>
      </c>
      <c r="M534" t="s">
        <v>53</v>
      </c>
      <c r="N534">
        <v>5549</v>
      </c>
      <c r="O534" t="s">
        <v>53</v>
      </c>
      <c r="P534" t="s">
        <v>70</v>
      </c>
      <c r="Q534" t="s">
        <v>71</v>
      </c>
      <c r="R534" t="s">
        <v>72</v>
      </c>
      <c r="S534" t="s">
        <v>57</v>
      </c>
      <c r="T534" t="s">
        <v>58</v>
      </c>
      <c r="U534" t="s">
        <v>81</v>
      </c>
      <c r="V534">
        <v>0.64221700000000004</v>
      </c>
      <c r="W534" t="s">
        <v>53</v>
      </c>
      <c r="X534" t="s">
        <v>53</v>
      </c>
      <c r="Y534" t="s">
        <v>82</v>
      </c>
      <c r="Z534" t="str">
        <f t="shared" si="16"/>
        <v>Mayor que 15 - hasta 20</v>
      </c>
      <c r="AA534">
        <f t="shared" si="17"/>
        <v>1</v>
      </c>
      <c r="AB534">
        <v>25653</v>
      </c>
      <c r="AC534" t="s">
        <v>330</v>
      </c>
      <c r="AD534" t="s">
        <v>783</v>
      </c>
      <c r="AE534">
        <v>2.0774219999999999</v>
      </c>
      <c r="AF534" t="s">
        <v>77</v>
      </c>
      <c r="AG534">
        <v>36.094827000000002</v>
      </c>
      <c r="AH534" t="s">
        <v>330</v>
      </c>
      <c r="AI534" t="s">
        <v>332</v>
      </c>
      <c r="AJ534">
        <v>3.7052200000000002</v>
      </c>
      <c r="AK534" t="s">
        <v>84</v>
      </c>
      <c r="AL534">
        <v>98.179097999999996</v>
      </c>
      <c r="AM534" s="4" t="s">
        <v>65</v>
      </c>
      <c r="AN534" s="5">
        <v>14331.063671979069</v>
      </c>
      <c r="AO534" s="4" t="s">
        <v>65</v>
      </c>
      <c r="AP534" s="6">
        <v>3220</v>
      </c>
      <c r="AQ534">
        <v>4</v>
      </c>
      <c r="AR534">
        <v>13264.873976000001</v>
      </c>
      <c r="AS534" t="s">
        <v>66</v>
      </c>
      <c r="AT534" t="s">
        <v>53</v>
      </c>
    </row>
    <row r="535" spans="1:46">
      <c r="A535">
        <v>829</v>
      </c>
      <c r="B535" t="s">
        <v>46</v>
      </c>
      <c r="C535">
        <v>25</v>
      </c>
      <c r="D535">
        <v>658</v>
      </c>
      <c r="E535" t="s">
        <v>245</v>
      </c>
      <c r="F535" t="s">
        <v>752</v>
      </c>
      <c r="G535">
        <v>25658</v>
      </c>
      <c r="H535">
        <v>25658</v>
      </c>
      <c r="I535" t="s">
        <v>49</v>
      </c>
      <c r="J535">
        <v>2504</v>
      </c>
      <c r="K535" t="s">
        <v>756</v>
      </c>
      <c r="L535" t="s">
        <v>91</v>
      </c>
      <c r="M535" t="s">
        <v>53</v>
      </c>
      <c r="N535">
        <v>12685</v>
      </c>
      <c r="O535" t="s">
        <v>53</v>
      </c>
      <c r="P535" t="s">
        <v>70</v>
      </c>
      <c r="Q535" t="s">
        <v>71</v>
      </c>
      <c r="R535" t="s">
        <v>56</v>
      </c>
      <c r="S535" t="s">
        <v>57</v>
      </c>
      <c r="T535" t="s">
        <v>58</v>
      </c>
      <c r="U535" t="s">
        <v>81</v>
      </c>
      <c r="V535">
        <v>0.43853599999999998</v>
      </c>
      <c r="W535" t="s">
        <v>53</v>
      </c>
      <c r="X535" t="s">
        <v>53</v>
      </c>
      <c r="Y535" t="s">
        <v>183</v>
      </c>
      <c r="Z535" t="str">
        <f t="shared" si="16"/>
        <v>Mayor que 120 - hasta 140</v>
      </c>
      <c r="AA535">
        <f t="shared" si="17"/>
        <v>1</v>
      </c>
      <c r="AB535">
        <v>25658</v>
      </c>
      <c r="AC535" t="s">
        <v>330</v>
      </c>
      <c r="AD535" t="s">
        <v>800</v>
      </c>
      <c r="AE535">
        <v>1.1021529999999999</v>
      </c>
      <c r="AF535" t="s">
        <v>76</v>
      </c>
      <c r="AG535">
        <v>23.479393999999999</v>
      </c>
      <c r="AH535" t="s">
        <v>330</v>
      </c>
      <c r="AI535" t="s">
        <v>332</v>
      </c>
      <c r="AJ535">
        <v>1.7538119999999999</v>
      </c>
      <c r="AK535" t="s">
        <v>76</v>
      </c>
      <c r="AL535">
        <v>56.166609000000001</v>
      </c>
      <c r="AM535" s="4" t="s">
        <v>65</v>
      </c>
      <c r="AN535" s="5">
        <v>6234.3404509169286</v>
      </c>
      <c r="AO535" s="4" t="s">
        <v>65</v>
      </c>
      <c r="AP535" s="6">
        <v>3769</v>
      </c>
      <c r="AQ535">
        <v>4</v>
      </c>
      <c r="AR535">
        <v>4430.1260750000001</v>
      </c>
      <c r="AS535" t="s">
        <v>66</v>
      </c>
      <c r="AT535" t="s">
        <v>53</v>
      </c>
    </row>
    <row r="536" spans="1:46">
      <c r="A536">
        <v>1114</v>
      </c>
      <c r="B536" t="s">
        <v>46</v>
      </c>
      <c r="C536">
        <v>25</v>
      </c>
      <c r="D536">
        <v>662</v>
      </c>
      <c r="E536" t="s">
        <v>852</v>
      </c>
      <c r="F536" t="s">
        <v>752</v>
      </c>
      <c r="G536">
        <v>25662</v>
      </c>
      <c r="H536">
        <v>25662</v>
      </c>
      <c r="I536" t="s">
        <v>49</v>
      </c>
      <c r="J536">
        <v>2506</v>
      </c>
      <c r="K536" t="s">
        <v>765</v>
      </c>
      <c r="L536" t="s">
        <v>69</v>
      </c>
      <c r="M536" t="s">
        <v>53</v>
      </c>
      <c r="N536">
        <v>9388</v>
      </c>
      <c r="O536" t="s">
        <v>53</v>
      </c>
      <c r="P536" t="s">
        <v>70</v>
      </c>
      <c r="Q536" t="s">
        <v>71</v>
      </c>
      <c r="R536" t="s">
        <v>93</v>
      </c>
      <c r="S536" t="s">
        <v>57</v>
      </c>
      <c r="T536" t="s">
        <v>58</v>
      </c>
      <c r="U536" t="s">
        <v>59</v>
      </c>
      <c r="V536">
        <v>0.55334000000000005</v>
      </c>
      <c r="W536" t="s">
        <v>53</v>
      </c>
      <c r="X536" t="s">
        <v>53</v>
      </c>
      <c r="Y536" t="s">
        <v>87</v>
      </c>
      <c r="Z536" t="str">
        <f t="shared" si="16"/>
        <v>Mayor que 40 - hasta 50</v>
      </c>
      <c r="AA536">
        <f t="shared" si="17"/>
        <v>1</v>
      </c>
      <c r="AB536">
        <v>25662</v>
      </c>
      <c r="AC536" t="s">
        <v>564</v>
      </c>
      <c r="AD536" t="s">
        <v>754</v>
      </c>
      <c r="AE536">
        <v>2.5137</v>
      </c>
      <c r="AF536" t="s">
        <v>77</v>
      </c>
      <c r="AG536">
        <v>103.983261</v>
      </c>
      <c r="AH536" t="s">
        <v>564</v>
      </c>
      <c r="AI536" t="s">
        <v>565</v>
      </c>
      <c r="AJ536">
        <v>3.3111229999999998</v>
      </c>
      <c r="AK536" t="s">
        <v>84</v>
      </c>
      <c r="AL536">
        <v>119.91118299999999</v>
      </c>
      <c r="AM536" s="4" t="s">
        <v>64</v>
      </c>
      <c r="AN536" s="5">
        <v>15683.721985055756</v>
      </c>
      <c r="AO536" s="4" t="s">
        <v>65</v>
      </c>
      <c r="AP536" s="6">
        <v>2415</v>
      </c>
      <c r="AQ536">
        <v>3</v>
      </c>
      <c r="AR536">
        <v>17710.078742999998</v>
      </c>
      <c r="AS536" t="s">
        <v>66</v>
      </c>
      <c r="AT536" t="s">
        <v>53</v>
      </c>
    </row>
    <row r="537" spans="1:46">
      <c r="A537">
        <v>830</v>
      </c>
      <c r="B537" t="s">
        <v>46</v>
      </c>
      <c r="C537">
        <v>25</v>
      </c>
      <c r="D537">
        <v>718</v>
      </c>
      <c r="E537" t="s">
        <v>853</v>
      </c>
      <c r="F537" t="s">
        <v>752</v>
      </c>
      <c r="G537">
        <v>25718</v>
      </c>
      <c r="H537">
        <v>25718</v>
      </c>
      <c r="I537" t="s">
        <v>49</v>
      </c>
      <c r="J537">
        <v>2504</v>
      </c>
      <c r="K537" t="s">
        <v>756</v>
      </c>
      <c r="L537" t="s">
        <v>69</v>
      </c>
      <c r="M537" t="s">
        <v>53</v>
      </c>
      <c r="N537">
        <v>12518</v>
      </c>
      <c r="O537" t="s">
        <v>53</v>
      </c>
      <c r="P537" t="s">
        <v>70</v>
      </c>
      <c r="Q537" t="s">
        <v>71</v>
      </c>
      <c r="R537" t="s">
        <v>56</v>
      </c>
      <c r="S537" t="s">
        <v>57</v>
      </c>
      <c r="T537" t="s">
        <v>58</v>
      </c>
      <c r="U537" t="s">
        <v>81</v>
      </c>
      <c r="V537">
        <v>0.38001699999999999</v>
      </c>
      <c r="W537" t="s">
        <v>53</v>
      </c>
      <c r="X537" t="s">
        <v>53</v>
      </c>
      <c r="Y537" t="s">
        <v>127</v>
      </c>
      <c r="Z537" t="str">
        <f t="shared" si="16"/>
        <v>Mayor que 70 - hasta 80</v>
      </c>
      <c r="AA537">
        <f t="shared" si="17"/>
        <v>1</v>
      </c>
      <c r="AB537">
        <v>25718</v>
      </c>
      <c r="AC537" t="s">
        <v>330</v>
      </c>
      <c r="AD537" t="s">
        <v>757</v>
      </c>
      <c r="AE537">
        <v>1.0554300000000001</v>
      </c>
      <c r="AF537" t="s">
        <v>76</v>
      </c>
      <c r="AG537">
        <v>29.491883000000001</v>
      </c>
      <c r="AH537" t="s">
        <v>330</v>
      </c>
      <c r="AI537" t="s">
        <v>332</v>
      </c>
      <c r="AJ537">
        <v>1.7788759999999999</v>
      </c>
      <c r="AK537" t="s">
        <v>76</v>
      </c>
      <c r="AL537">
        <v>69.047726999999995</v>
      </c>
      <c r="AM537" s="4" t="s">
        <v>65</v>
      </c>
      <c r="AN537" s="5">
        <v>8067.3941596964169</v>
      </c>
      <c r="AO537" s="4" t="s">
        <v>65</v>
      </c>
      <c r="AP537" s="6">
        <v>4049</v>
      </c>
      <c r="AQ537">
        <v>4</v>
      </c>
      <c r="AR537">
        <v>6083.7999769999997</v>
      </c>
      <c r="AS537" t="s">
        <v>66</v>
      </c>
      <c r="AT537" t="s">
        <v>53</v>
      </c>
    </row>
    <row r="538" spans="1:46">
      <c r="A538">
        <v>831</v>
      </c>
      <c r="B538" t="s">
        <v>46</v>
      </c>
      <c r="C538">
        <v>25</v>
      </c>
      <c r="D538">
        <v>736</v>
      </c>
      <c r="E538" t="s">
        <v>854</v>
      </c>
      <c r="F538" t="s">
        <v>752</v>
      </c>
      <c r="G538">
        <v>25736</v>
      </c>
      <c r="H538">
        <v>25736</v>
      </c>
      <c r="I538" t="s">
        <v>49</v>
      </c>
      <c r="J538">
        <v>2501</v>
      </c>
      <c r="K538" t="s">
        <v>791</v>
      </c>
      <c r="L538" t="s">
        <v>51</v>
      </c>
      <c r="M538" t="s">
        <v>53</v>
      </c>
      <c r="N538">
        <v>13506</v>
      </c>
      <c r="O538" t="s">
        <v>53</v>
      </c>
      <c r="P538" t="s">
        <v>70</v>
      </c>
      <c r="Q538" t="s">
        <v>71</v>
      </c>
      <c r="R538" t="s">
        <v>72</v>
      </c>
      <c r="S538" t="s">
        <v>57</v>
      </c>
      <c r="T538" t="s">
        <v>58</v>
      </c>
      <c r="U538" t="s">
        <v>81</v>
      </c>
      <c r="V538">
        <v>0.40361000000000002</v>
      </c>
      <c r="W538" t="s">
        <v>53</v>
      </c>
      <c r="X538" t="s">
        <v>53</v>
      </c>
      <c r="Y538" t="s">
        <v>120</v>
      </c>
      <c r="Z538" t="str">
        <f t="shared" si="16"/>
        <v>Mayor que 200 - hasta 250</v>
      </c>
      <c r="AA538">
        <f t="shared" si="17"/>
        <v>1</v>
      </c>
      <c r="AB538">
        <v>25736</v>
      </c>
      <c r="AC538" t="s">
        <v>330</v>
      </c>
      <c r="AD538" t="s">
        <v>411</v>
      </c>
      <c r="AE538">
        <v>0.33222699999999999</v>
      </c>
      <c r="AF538" t="s">
        <v>63</v>
      </c>
      <c r="AG538">
        <v>18.800713999999999</v>
      </c>
      <c r="AH538" t="s">
        <v>330</v>
      </c>
      <c r="AI538" t="s">
        <v>332</v>
      </c>
      <c r="AJ538">
        <v>1.279202</v>
      </c>
      <c r="AK538" t="s">
        <v>76</v>
      </c>
      <c r="AL538">
        <v>68.221024</v>
      </c>
      <c r="AM538" s="4" t="s">
        <v>65</v>
      </c>
      <c r="AN538" s="5">
        <v>7166.5711884566545</v>
      </c>
      <c r="AO538" s="4" t="s">
        <v>65</v>
      </c>
      <c r="AP538" s="6">
        <v>2895</v>
      </c>
      <c r="AQ538">
        <v>2</v>
      </c>
      <c r="AR538">
        <v>4376.4811040000004</v>
      </c>
      <c r="AS538" t="s">
        <v>66</v>
      </c>
      <c r="AT538" t="s">
        <v>53</v>
      </c>
    </row>
    <row r="539" spans="1:46">
      <c r="A539">
        <v>1112</v>
      </c>
      <c r="B539" t="s">
        <v>46</v>
      </c>
      <c r="C539">
        <v>25</v>
      </c>
      <c r="D539">
        <v>740</v>
      </c>
      <c r="E539" t="s">
        <v>855</v>
      </c>
      <c r="F539" t="s">
        <v>752</v>
      </c>
      <c r="G539">
        <v>25740</v>
      </c>
      <c r="H539">
        <v>25740</v>
      </c>
      <c r="I539" t="s">
        <v>49</v>
      </c>
      <c r="J539">
        <v>2512</v>
      </c>
      <c r="K539" t="s">
        <v>798</v>
      </c>
      <c r="L539" t="s">
        <v>51</v>
      </c>
      <c r="M539" t="s">
        <v>53</v>
      </c>
      <c r="N539">
        <v>39761</v>
      </c>
      <c r="O539" t="s">
        <v>53</v>
      </c>
      <c r="P539" t="s">
        <v>92</v>
      </c>
      <c r="Q539" t="s">
        <v>118</v>
      </c>
      <c r="R539" t="s">
        <v>56</v>
      </c>
      <c r="S539" t="s">
        <v>57</v>
      </c>
      <c r="T539" t="s">
        <v>58</v>
      </c>
      <c r="U539" t="s">
        <v>81</v>
      </c>
      <c r="V539">
        <v>0.67897300000000005</v>
      </c>
      <c r="W539" t="s">
        <v>53</v>
      </c>
      <c r="X539" t="s">
        <v>53</v>
      </c>
      <c r="Y539" t="s">
        <v>437</v>
      </c>
      <c r="Z539" t="str">
        <f t="shared" si="16"/>
        <v>Mayor que 160 - hasta 180</v>
      </c>
      <c r="AA539">
        <f t="shared" si="17"/>
        <v>1</v>
      </c>
      <c r="AB539">
        <v>25740</v>
      </c>
      <c r="AC539" t="s">
        <v>330</v>
      </c>
      <c r="AD539" t="s">
        <v>856</v>
      </c>
      <c r="AE539">
        <v>0</v>
      </c>
      <c r="AF539" t="s">
        <v>63</v>
      </c>
      <c r="AG539">
        <v>0</v>
      </c>
      <c r="AH539" t="s">
        <v>330</v>
      </c>
      <c r="AI539" t="s">
        <v>332</v>
      </c>
      <c r="AJ539">
        <v>0.70838800000000002</v>
      </c>
      <c r="AK539" t="s">
        <v>63</v>
      </c>
      <c r="AL539">
        <v>31.484776</v>
      </c>
      <c r="AM539" s="4" t="s">
        <v>65</v>
      </c>
      <c r="AN539" s="5">
        <v>6964.7752605402602</v>
      </c>
      <c r="AO539" s="4" t="s">
        <v>65</v>
      </c>
      <c r="AP539" s="6">
        <v>2068</v>
      </c>
      <c r="AQ539">
        <v>3</v>
      </c>
      <c r="AR539">
        <v>4563.6412769999997</v>
      </c>
      <c r="AS539" t="s">
        <v>66</v>
      </c>
      <c r="AT539" t="s">
        <v>53</v>
      </c>
    </row>
    <row r="540" spans="1:46">
      <c r="A540">
        <v>832</v>
      </c>
      <c r="B540" t="s">
        <v>46</v>
      </c>
      <c r="C540">
        <v>25</v>
      </c>
      <c r="D540">
        <v>743</v>
      </c>
      <c r="E540" t="s">
        <v>857</v>
      </c>
      <c r="F540" t="s">
        <v>752</v>
      </c>
      <c r="G540">
        <v>25743</v>
      </c>
      <c r="H540">
        <v>25743</v>
      </c>
      <c r="I540" t="s">
        <v>49</v>
      </c>
      <c r="J540">
        <v>2513</v>
      </c>
      <c r="K540" t="s">
        <v>762</v>
      </c>
      <c r="L540" t="s">
        <v>91</v>
      </c>
      <c r="M540" t="s">
        <v>53</v>
      </c>
      <c r="N540">
        <v>25347</v>
      </c>
      <c r="O540" t="s">
        <v>53</v>
      </c>
      <c r="P540" t="s">
        <v>70</v>
      </c>
      <c r="Q540" t="s">
        <v>71</v>
      </c>
      <c r="R540" t="s">
        <v>93</v>
      </c>
      <c r="S540" t="s">
        <v>57</v>
      </c>
      <c r="T540" t="s">
        <v>73</v>
      </c>
      <c r="U540" t="s">
        <v>81</v>
      </c>
      <c r="V540">
        <v>0.13981099999999999</v>
      </c>
      <c r="W540" t="s">
        <v>53</v>
      </c>
      <c r="X540" t="s">
        <v>53</v>
      </c>
      <c r="Y540" t="s">
        <v>139</v>
      </c>
      <c r="Z540" t="str">
        <f t="shared" si="16"/>
        <v>Mayor que 300 - hasta 400</v>
      </c>
      <c r="AA540">
        <f t="shared" si="17"/>
        <v>1</v>
      </c>
      <c r="AB540">
        <v>25743</v>
      </c>
      <c r="AC540" t="s">
        <v>330</v>
      </c>
      <c r="AD540" t="s">
        <v>763</v>
      </c>
      <c r="AE540">
        <v>0.32816400000000001</v>
      </c>
      <c r="AF540" t="s">
        <v>63</v>
      </c>
      <c r="AG540">
        <v>9.0012190000000007</v>
      </c>
      <c r="AH540" t="s">
        <v>330</v>
      </c>
      <c r="AI540" t="s">
        <v>332</v>
      </c>
      <c r="AJ540">
        <v>1.536807</v>
      </c>
      <c r="AK540" t="s">
        <v>76</v>
      </c>
      <c r="AL540">
        <v>62.531075000000001</v>
      </c>
      <c r="AM540" s="4" t="s">
        <v>65</v>
      </c>
      <c r="AN540" s="5">
        <v>12446.405429938319</v>
      </c>
      <c r="AO540" s="4" t="s">
        <v>65</v>
      </c>
      <c r="AP540" s="6">
        <v>8146</v>
      </c>
      <c r="AQ540">
        <v>3</v>
      </c>
      <c r="AR540">
        <v>6108.1813430000002</v>
      </c>
      <c r="AS540" t="s">
        <v>66</v>
      </c>
      <c r="AT540" t="s">
        <v>53</v>
      </c>
    </row>
    <row r="541" spans="1:46">
      <c r="A541">
        <v>833</v>
      </c>
      <c r="B541" t="s">
        <v>46</v>
      </c>
      <c r="C541">
        <v>25</v>
      </c>
      <c r="D541">
        <v>745</v>
      </c>
      <c r="E541" t="s">
        <v>858</v>
      </c>
      <c r="F541" t="s">
        <v>752</v>
      </c>
      <c r="G541">
        <v>25745</v>
      </c>
      <c r="H541">
        <v>25745</v>
      </c>
      <c r="I541" t="s">
        <v>49</v>
      </c>
      <c r="J541">
        <v>2515</v>
      </c>
      <c r="K541" t="s">
        <v>782</v>
      </c>
      <c r="L541" t="s">
        <v>91</v>
      </c>
      <c r="M541" t="s">
        <v>53</v>
      </c>
      <c r="N541">
        <v>15149</v>
      </c>
      <c r="O541" t="s">
        <v>53</v>
      </c>
      <c r="P541" t="s">
        <v>70</v>
      </c>
      <c r="Q541" t="s">
        <v>71</v>
      </c>
      <c r="R541" t="s">
        <v>93</v>
      </c>
      <c r="S541" t="s">
        <v>57</v>
      </c>
      <c r="T541" t="s">
        <v>58</v>
      </c>
      <c r="U541" t="s">
        <v>81</v>
      </c>
      <c r="V541">
        <v>0.46533000000000002</v>
      </c>
      <c r="W541" t="s">
        <v>53</v>
      </c>
      <c r="X541" t="s">
        <v>53</v>
      </c>
      <c r="Y541" t="s">
        <v>183</v>
      </c>
      <c r="Z541" t="str">
        <f t="shared" si="16"/>
        <v>Mayor que 120 - hasta 140</v>
      </c>
      <c r="AA541">
        <f t="shared" si="17"/>
        <v>1</v>
      </c>
      <c r="AB541">
        <v>25745</v>
      </c>
      <c r="AC541" t="s">
        <v>234</v>
      </c>
      <c r="AD541" t="s">
        <v>428</v>
      </c>
      <c r="AE541">
        <v>0.36061500000000002</v>
      </c>
      <c r="AF541" t="s">
        <v>63</v>
      </c>
      <c r="AG541">
        <v>15.068123999999999</v>
      </c>
      <c r="AH541" t="s">
        <v>234</v>
      </c>
      <c r="AI541" t="s">
        <v>407</v>
      </c>
      <c r="AJ541">
        <v>2.3682639999999999</v>
      </c>
      <c r="AK541" t="s">
        <v>77</v>
      </c>
      <c r="AL541">
        <v>86.990368000000004</v>
      </c>
      <c r="AM541" s="4" t="s">
        <v>65</v>
      </c>
      <c r="AN541" s="5">
        <v>7841.2441798985856</v>
      </c>
      <c r="AO541" s="4" t="s">
        <v>65</v>
      </c>
      <c r="AP541" s="6">
        <v>4548</v>
      </c>
      <c r="AQ541">
        <v>3</v>
      </c>
      <c r="AR541">
        <v>5823.0923839999996</v>
      </c>
      <c r="AS541" t="s">
        <v>66</v>
      </c>
      <c r="AT541" t="s">
        <v>53</v>
      </c>
    </row>
    <row r="542" spans="1:46">
      <c r="A542">
        <v>1108</v>
      </c>
      <c r="B542" t="s">
        <v>46</v>
      </c>
      <c r="C542">
        <v>25</v>
      </c>
      <c r="D542">
        <v>754</v>
      </c>
      <c r="E542" t="s">
        <v>798</v>
      </c>
      <c r="F542" t="s">
        <v>752</v>
      </c>
      <c r="G542">
        <v>25754</v>
      </c>
      <c r="H542">
        <v>25754</v>
      </c>
      <c r="I542" t="s">
        <v>49</v>
      </c>
      <c r="J542">
        <v>2512</v>
      </c>
      <c r="K542" t="s">
        <v>798</v>
      </c>
      <c r="L542" t="s">
        <v>51</v>
      </c>
      <c r="M542" t="s">
        <v>53</v>
      </c>
      <c r="N542">
        <v>782647</v>
      </c>
      <c r="O542" t="s">
        <v>53</v>
      </c>
      <c r="P542" t="s">
        <v>54</v>
      </c>
      <c r="Q542" t="s">
        <v>138</v>
      </c>
      <c r="R542" t="s">
        <v>93</v>
      </c>
      <c r="S542" t="s">
        <v>57</v>
      </c>
      <c r="T542" t="s">
        <v>58</v>
      </c>
      <c r="U542" t="s">
        <v>59</v>
      </c>
      <c r="V542">
        <v>7.9674999999999996E-2</v>
      </c>
      <c r="W542" t="s">
        <v>53</v>
      </c>
      <c r="X542" t="s">
        <v>53</v>
      </c>
      <c r="Y542" t="s">
        <v>195</v>
      </c>
      <c r="Z542" t="str">
        <f t="shared" si="16"/>
        <v>Mayor que 250 - hasta 300</v>
      </c>
      <c r="AA542">
        <f t="shared" si="17"/>
        <v>1</v>
      </c>
      <c r="AB542">
        <v>25754</v>
      </c>
      <c r="AC542" t="s">
        <v>330</v>
      </c>
      <c r="AD542" t="s">
        <v>798</v>
      </c>
      <c r="AE542">
        <v>0</v>
      </c>
      <c r="AF542" t="s">
        <v>63</v>
      </c>
      <c r="AG542">
        <v>0</v>
      </c>
      <c r="AH542" t="s">
        <v>330</v>
      </c>
      <c r="AI542" t="s">
        <v>332</v>
      </c>
      <c r="AJ542">
        <v>0.41070800000000002</v>
      </c>
      <c r="AK542" t="s">
        <v>63</v>
      </c>
      <c r="AL542">
        <v>18.716652</v>
      </c>
      <c r="AM542" s="4" t="s">
        <v>64</v>
      </c>
      <c r="AN542" s="5">
        <v>5120.3813438690886</v>
      </c>
      <c r="AO542" s="4" t="s">
        <v>65</v>
      </c>
      <c r="AP542" s="6">
        <v>1194</v>
      </c>
      <c r="AQ542">
        <v>3</v>
      </c>
      <c r="AR542">
        <v>6809.9720420000003</v>
      </c>
      <c r="AS542" t="s">
        <v>66</v>
      </c>
      <c r="AT542" t="s">
        <v>53</v>
      </c>
    </row>
    <row r="543" spans="1:46">
      <c r="A543">
        <v>834</v>
      </c>
      <c r="B543" t="s">
        <v>46</v>
      </c>
      <c r="C543">
        <v>25</v>
      </c>
      <c r="D543">
        <v>758</v>
      </c>
      <c r="E543" t="s">
        <v>859</v>
      </c>
      <c r="F543" t="s">
        <v>752</v>
      </c>
      <c r="G543">
        <v>25758</v>
      </c>
      <c r="H543">
        <v>25758</v>
      </c>
      <c r="I543" t="s">
        <v>49</v>
      </c>
      <c r="J543">
        <v>2510</v>
      </c>
      <c r="K543" t="s">
        <v>774</v>
      </c>
      <c r="L543" t="s">
        <v>51</v>
      </c>
      <c r="M543" t="s">
        <v>53</v>
      </c>
      <c r="N543">
        <v>30780</v>
      </c>
      <c r="O543" t="s">
        <v>53</v>
      </c>
      <c r="P543" t="s">
        <v>92</v>
      </c>
      <c r="Q543" t="s">
        <v>125</v>
      </c>
      <c r="R543" t="s">
        <v>122</v>
      </c>
      <c r="S543" t="s">
        <v>57</v>
      </c>
      <c r="T543" t="s">
        <v>58</v>
      </c>
      <c r="U543" t="s">
        <v>81</v>
      </c>
      <c r="V543">
        <v>0.28379700000000002</v>
      </c>
      <c r="W543">
        <v>2024</v>
      </c>
      <c r="X543" t="s">
        <v>190</v>
      </c>
      <c r="Y543" t="s">
        <v>776</v>
      </c>
      <c r="Z543" t="str">
        <f t="shared" si="16"/>
        <v>Mayor que 400 - hasta 500</v>
      </c>
      <c r="AA543">
        <f t="shared" si="17"/>
        <v>0</v>
      </c>
      <c r="AB543">
        <v>25758</v>
      </c>
      <c r="AC543" t="s">
        <v>330</v>
      </c>
      <c r="AD543" t="s">
        <v>809</v>
      </c>
      <c r="AE543">
        <v>0</v>
      </c>
      <c r="AF543" t="s">
        <v>63</v>
      </c>
      <c r="AG543">
        <v>0</v>
      </c>
      <c r="AH543" t="s">
        <v>330</v>
      </c>
      <c r="AI543" t="s">
        <v>332</v>
      </c>
      <c r="AJ543">
        <v>0.94456399999999996</v>
      </c>
      <c r="AK543" t="s">
        <v>63</v>
      </c>
      <c r="AL543">
        <v>47.547517999999997</v>
      </c>
      <c r="AM543" t="s">
        <v>65</v>
      </c>
      <c r="AN543" s="7">
        <v>709.59846704449581</v>
      </c>
      <c r="AO543" t="s">
        <v>65</v>
      </c>
      <c r="AP543" s="3">
        <v>774</v>
      </c>
      <c r="AQ543">
        <v>2</v>
      </c>
      <c r="AR543">
        <v>962.154359</v>
      </c>
      <c r="AS543" t="s">
        <v>66</v>
      </c>
      <c r="AT543" t="s">
        <v>53</v>
      </c>
    </row>
    <row r="544" spans="1:46">
      <c r="A544">
        <v>835</v>
      </c>
      <c r="B544" t="s">
        <v>46</v>
      </c>
      <c r="C544">
        <v>25</v>
      </c>
      <c r="D544">
        <v>769</v>
      </c>
      <c r="E544" t="s">
        <v>860</v>
      </c>
      <c r="F544" t="s">
        <v>752</v>
      </c>
      <c r="G544">
        <v>25769</v>
      </c>
      <c r="H544">
        <v>25769</v>
      </c>
      <c r="I544" t="s">
        <v>49</v>
      </c>
      <c r="J544">
        <v>2511</v>
      </c>
      <c r="K544" t="s">
        <v>768</v>
      </c>
      <c r="L544" t="s">
        <v>91</v>
      </c>
      <c r="M544" t="s">
        <v>53</v>
      </c>
      <c r="N544">
        <v>17544</v>
      </c>
      <c r="O544" t="s">
        <v>53</v>
      </c>
      <c r="P544" t="s">
        <v>70</v>
      </c>
      <c r="Q544" t="s">
        <v>71</v>
      </c>
      <c r="R544" t="s">
        <v>93</v>
      </c>
      <c r="S544" t="s">
        <v>57</v>
      </c>
      <c r="T544" t="s">
        <v>58</v>
      </c>
      <c r="U544" t="s">
        <v>81</v>
      </c>
      <c r="V544">
        <v>0.68378700000000003</v>
      </c>
      <c r="W544" t="s">
        <v>53</v>
      </c>
      <c r="X544" t="s">
        <v>53</v>
      </c>
      <c r="Y544" t="s">
        <v>139</v>
      </c>
      <c r="Z544" t="str">
        <f t="shared" si="16"/>
        <v>Mayor que 300 - hasta 400</v>
      </c>
      <c r="AA544">
        <f t="shared" si="17"/>
        <v>1</v>
      </c>
      <c r="AB544">
        <v>25769</v>
      </c>
      <c r="AC544" t="s">
        <v>330</v>
      </c>
      <c r="AD544" t="s">
        <v>800</v>
      </c>
      <c r="AE544">
        <v>0.44862099999999999</v>
      </c>
      <c r="AF544" t="s">
        <v>63</v>
      </c>
      <c r="AG544">
        <v>14.675231</v>
      </c>
      <c r="AH544" t="s">
        <v>330</v>
      </c>
      <c r="AI544" t="s">
        <v>332</v>
      </c>
      <c r="AJ544">
        <v>1.1378299999999999</v>
      </c>
      <c r="AK544" t="s">
        <v>76</v>
      </c>
      <c r="AL544">
        <v>42.792597000000001</v>
      </c>
      <c r="AM544" s="4" t="s">
        <v>65</v>
      </c>
      <c r="AN544" s="5">
        <v>12746.831153019288</v>
      </c>
      <c r="AO544" s="4" t="s">
        <v>65</v>
      </c>
      <c r="AP544" s="6">
        <v>4324</v>
      </c>
      <c r="AQ544">
        <v>3</v>
      </c>
      <c r="AR544">
        <v>8119.8439900000003</v>
      </c>
      <c r="AS544" t="s">
        <v>66</v>
      </c>
      <c r="AT544" t="s">
        <v>53</v>
      </c>
    </row>
    <row r="545" spans="1:46">
      <c r="A545">
        <v>836</v>
      </c>
      <c r="B545" t="s">
        <v>46</v>
      </c>
      <c r="C545">
        <v>25</v>
      </c>
      <c r="D545">
        <v>772</v>
      </c>
      <c r="E545" t="s">
        <v>861</v>
      </c>
      <c r="F545" t="s">
        <v>752</v>
      </c>
      <c r="G545">
        <v>25772</v>
      </c>
      <c r="H545">
        <v>25772</v>
      </c>
      <c r="I545" t="s">
        <v>49</v>
      </c>
      <c r="J545">
        <v>2501</v>
      </c>
      <c r="K545" t="s">
        <v>791</v>
      </c>
      <c r="L545" t="s">
        <v>91</v>
      </c>
      <c r="M545" t="s">
        <v>53</v>
      </c>
      <c r="N545">
        <v>20120</v>
      </c>
      <c r="O545" t="s">
        <v>53</v>
      </c>
      <c r="P545" t="s">
        <v>70</v>
      </c>
      <c r="Q545" t="s">
        <v>71</v>
      </c>
      <c r="R545" t="s">
        <v>93</v>
      </c>
      <c r="S545" t="s">
        <v>57</v>
      </c>
      <c r="T545" t="s">
        <v>58</v>
      </c>
      <c r="U545" t="s">
        <v>81</v>
      </c>
      <c r="V545">
        <v>0.66393000000000002</v>
      </c>
      <c r="W545">
        <v>2016</v>
      </c>
      <c r="X545" t="s">
        <v>106</v>
      </c>
      <c r="Y545" t="s">
        <v>136</v>
      </c>
      <c r="Z545" t="str">
        <f t="shared" si="16"/>
        <v>Mayor que 100 - hasta 120</v>
      </c>
      <c r="AA545">
        <f t="shared" si="17"/>
        <v>1</v>
      </c>
      <c r="AB545">
        <v>25772</v>
      </c>
      <c r="AC545" t="s">
        <v>330</v>
      </c>
      <c r="AD545" t="s">
        <v>411</v>
      </c>
      <c r="AE545">
        <v>0.48389500000000002</v>
      </c>
      <c r="AF545" t="s">
        <v>63</v>
      </c>
      <c r="AG545">
        <v>23.056349000000001</v>
      </c>
      <c r="AH545" t="s">
        <v>330</v>
      </c>
      <c r="AI545" t="s">
        <v>332</v>
      </c>
      <c r="AJ545">
        <v>1.4308700000000001</v>
      </c>
      <c r="AK545" t="s">
        <v>76</v>
      </c>
      <c r="AL545">
        <v>72.476658999999998</v>
      </c>
      <c r="AM545" t="s">
        <v>64</v>
      </c>
      <c r="AN545" s="7">
        <v>817.71652989206063</v>
      </c>
      <c r="AO545" t="s">
        <v>65</v>
      </c>
      <c r="AP545" s="3">
        <v>369</v>
      </c>
      <c r="AQ545">
        <v>2</v>
      </c>
      <c r="AR545">
        <v>1770.7967739999999</v>
      </c>
      <c r="AS545" t="s">
        <v>66</v>
      </c>
      <c r="AT545" t="s">
        <v>53</v>
      </c>
    </row>
    <row r="546" spans="1:46">
      <c r="A546">
        <v>837</v>
      </c>
      <c r="B546" t="s">
        <v>46</v>
      </c>
      <c r="C546">
        <v>25</v>
      </c>
      <c r="D546">
        <v>777</v>
      </c>
      <c r="E546" t="s">
        <v>862</v>
      </c>
      <c r="F546" t="s">
        <v>752</v>
      </c>
      <c r="G546">
        <v>25777</v>
      </c>
      <c r="H546">
        <v>25777</v>
      </c>
      <c r="I546" t="s">
        <v>49</v>
      </c>
      <c r="J546">
        <v>2504</v>
      </c>
      <c r="K546" t="s">
        <v>756</v>
      </c>
      <c r="L546" t="s">
        <v>69</v>
      </c>
      <c r="M546" t="s">
        <v>53</v>
      </c>
      <c r="N546">
        <v>6040</v>
      </c>
      <c r="O546" t="s">
        <v>53</v>
      </c>
      <c r="P546" t="s">
        <v>70</v>
      </c>
      <c r="Q546" t="s">
        <v>71</v>
      </c>
      <c r="R546" t="s">
        <v>105</v>
      </c>
      <c r="S546" t="s">
        <v>57</v>
      </c>
      <c r="T546" t="s">
        <v>58</v>
      </c>
      <c r="U546" t="s">
        <v>81</v>
      </c>
      <c r="V546">
        <v>0.54969000000000001</v>
      </c>
      <c r="W546" t="s">
        <v>53</v>
      </c>
      <c r="X546" t="s">
        <v>53</v>
      </c>
      <c r="Y546" t="s">
        <v>136</v>
      </c>
      <c r="Z546" t="str">
        <f t="shared" si="16"/>
        <v>Mayor que 100 - hasta 120</v>
      </c>
      <c r="AA546">
        <f t="shared" si="17"/>
        <v>1</v>
      </c>
      <c r="AB546">
        <v>25777</v>
      </c>
      <c r="AC546" t="s">
        <v>330</v>
      </c>
      <c r="AD546" t="s">
        <v>800</v>
      </c>
      <c r="AE546">
        <v>1.9141379999999999</v>
      </c>
      <c r="AF546" t="s">
        <v>76</v>
      </c>
      <c r="AG546">
        <v>39.806097000000001</v>
      </c>
      <c r="AH546" t="s">
        <v>330</v>
      </c>
      <c r="AI546" t="s">
        <v>332</v>
      </c>
      <c r="AJ546">
        <v>2.565798</v>
      </c>
      <c r="AK546" t="s">
        <v>77</v>
      </c>
      <c r="AL546">
        <v>72.493312000000003</v>
      </c>
      <c r="AM546" s="4" t="s">
        <v>65</v>
      </c>
      <c r="AN546" s="5">
        <v>7335.6573961386048</v>
      </c>
      <c r="AO546" s="4" t="s">
        <v>65</v>
      </c>
      <c r="AP546" s="6">
        <v>2732</v>
      </c>
      <c r="AQ546">
        <v>4</v>
      </c>
      <c r="AR546">
        <v>4927.3787860000002</v>
      </c>
      <c r="AS546" t="s">
        <v>66</v>
      </c>
      <c r="AT546" t="s">
        <v>53</v>
      </c>
    </row>
    <row r="547" spans="1:46">
      <c r="A547">
        <v>838</v>
      </c>
      <c r="B547" t="s">
        <v>46</v>
      </c>
      <c r="C547">
        <v>25</v>
      </c>
      <c r="D547">
        <v>779</v>
      </c>
      <c r="E547" t="s">
        <v>863</v>
      </c>
      <c r="F547" t="s">
        <v>752</v>
      </c>
      <c r="G547">
        <v>25779</v>
      </c>
      <c r="H547">
        <v>25779</v>
      </c>
      <c r="I547" t="s">
        <v>49</v>
      </c>
      <c r="J547">
        <v>2515</v>
      </c>
      <c r="K547" t="s">
        <v>782</v>
      </c>
      <c r="L547" t="s">
        <v>91</v>
      </c>
      <c r="M547" t="s">
        <v>53</v>
      </c>
      <c r="N547">
        <v>7508</v>
      </c>
      <c r="O547" t="s">
        <v>53</v>
      </c>
      <c r="P547" t="s">
        <v>70</v>
      </c>
      <c r="Q547" t="s">
        <v>71</v>
      </c>
      <c r="R547" t="s">
        <v>122</v>
      </c>
      <c r="S547" t="s">
        <v>57</v>
      </c>
      <c r="T547" t="s">
        <v>58</v>
      </c>
      <c r="U547" t="s">
        <v>81</v>
      </c>
      <c r="V547">
        <v>0.52446800000000005</v>
      </c>
      <c r="W547" t="s">
        <v>53</v>
      </c>
      <c r="X547" t="s">
        <v>53</v>
      </c>
      <c r="Y547" t="s">
        <v>183</v>
      </c>
      <c r="Z547" t="str">
        <f t="shared" si="16"/>
        <v>Mayor que 120 - hasta 140</v>
      </c>
      <c r="AA547">
        <f t="shared" si="17"/>
        <v>1</v>
      </c>
      <c r="AB547">
        <v>25779</v>
      </c>
      <c r="AC547" t="s">
        <v>234</v>
      </c>
      <c r="AD547" t="s">
        <v>428</v>
      </c>
      <c r="AE547">
        <v>0.44514900000000002</v>
      </c>
      <c r="AF547" t="s">
        <v>63</v>
      </c>
      <c r="AG547">
        <v>20.96518</v>
      </c>
      <c r="AH547" t="s">
        <v>234</v>
      </c>
      <c r="AI547" t="s">
        <v>407</v>
      </c>
      <c r="AJ547">
        <v>2.4527969999999999</v>
      </c>
      <c r="AK547" t="s">
        <v>77</v>
      </c>
      <c r="AL547">
        <v>92.887423999999996</v>
      </c>
      <c r="AM547" s="4" t="s">
        <v>65</v>
      </c>
      <c r="AN547" s="5">
        <v>8008.7485523032583</v>
      </c>
      <c r="AO547" s="4" t="s">
        <v>65</v>
      </c>
      <c r="AP547" s="6">
        <v>5498</v>
      </c>
      <c r="AQ547">
        <v>3</v>
      </c>
      <c r="AR547">
        <v>4204.273083</v>
      </c>
      <c r="AS547" t="s">
        <v>66</v>
      </c>
      <c r="AT547" t="s">
        <v>53</v>
      </c>
    </row>
    <row r="548" spans="1:46">
      <c r="A548">
        <v>839</v>
      </c>
      <c r="B548" t="s">
        <v>46</v>
      </c>
      <c r="C548">
        <v>25</v>
      </c>
      <c r="D548">
        <v>781</v>
      </c>
      <c r="E548" t="s">
        <v>864</v>
      </c>
      <c r="F548" t="s">
        <v>752</v>
      </c>
      <c r="G548">
        <v>25781</v>
      </c>
      <c r="H548">
        <v>25781</v>
      </c>
      <c r="I548" t="s">
        <v>49</v>
      </c>
      <c r="J548">
        <v>2515</v>
      </c>
      <c r="K548" t="s">
        <v>782</v>
      </c>
      <c r="L548" t="s">
        <v>51</v>
      </c>
      <c r="M548" t="s">
        <v>53</v>
      </c>
      <c r="N548">
        <v>6923</v>
      </c>
      <c r="O548" t="s">
        <v>53</v>
      </c>
      <c r="P548" t="s">
        <v>70</v>
      </c>
      <c r="Q548" t="s">
        <v>71</v>
      </c>
      <c r="R548" t="s">
        <v>56</v>
      </c>
      <c r="S548" t="s">
        <v>57</v>
      </c>
      <c r="T548" t="s">
        <v>58</v>
      </c>
      <c r="U548" t="s">
        <v>81</v>
      </c>
      <c r="V548">
        <v>0.55066700000000002</v>
      </c>
      <c r="W548" t="s">
        <v>53</v>
      </c>
      <c r="X548" t="s">
        <v>53</v>
      </c>
      <c r="Y548" t="s">
        <v>136</v>
      </c>
      <c r="Z548" t="str">
        <f t="shared" si="16"/>
        <v>Mayor que 100 - hasta 120</v>
      </c>
      <c r="AA548">
        <f t="shared" si="17"/>
        <v>1</v>
      </c>
      <c r="AB548">
        <v>25781</v>
      </c>
      <c r="AC548" t="s">
        <v>330</v>
      </c>
      <c r="AD548" t="s">
        <v>783</v>
      </c>
      <c r="AE548">
        <v>0.207207</v>
      </c>
      <c r="AF548" t="s">
        <v>63</v>
      </c>
      <c r="AG548">
        <v>9.0740119999999997</v>
      </c>
      <c r="AH548" t="s">
        <v>330</v>
      </c>
      <c r="AI548" t="s">
        <v>332</v>
      </c>
      <c r="AJ548">
        <v>1.7595730000000001</v>
      </c>
      <c r="AK548" t="s">
        <v>76</v>
      </c>
      <c r="AL548">
        <v>83.453614999999999</v>
      </c>
      <c r="AM548" s="4" t="s">
        <v>65</v>
      </c>
      <c r="AN548" s="5">
        <v>5398.8749988338677</v>
      </c>
      <c r="AO548" s="4" t="s">
        <v>65</v>
      </c>
      <c r="AP548" s="6">
        <v>2728</v>
      </c>
      <c r="AQ548">
        <v>4</v>
      </c>
      <c r="AR548">
        <v>3524.4882459999999</v>
      </c>
      <c r="AS548" t="s">
        <v>66</v>
      </c>
      <c r="AT548" t="s">
        <v>53</v>
      </c>
    </row>
    <row r="549" spans="1:46">
      <c r="A549">
        <v>840</v>
      </c>
      <c r="B549" t="s">
        <v>46</v>
      </c>
      <c r="C549">
        <v>25</v>
      </c>
      <c r="D549">
        <v>785</v>
      </c>
      <c r="E549" t="s">
        <v>865</v>
      </c>
      <c r="F549" t="s">
        <v>752</v>
      </c>
      <c r="G549">
        <v>25785</v>
      </c>
      <c r="H549">
        <v>25785</v>
      </c>
      <c r="I549" t="s">
        <v>49</v>
      </c>
      <c r="J549">
        <v>2510</v>
      </c>
      <c r="K549" t="s">
        <v>774</v>
      </c>
      <c r="L549" t="s">
        <v>51</v>
      </c>
      <c r="M549" t="s">
        <v>53</v>
      </c>
      <c r="N549">
        <v>25692</v>
      </c>
      <c r="O549" t="s">
        <v>53</v>
      </c>
      <c r="P549" t="s">
        <v>70</v>
      </c>
      <c r="Q549" t="s">
        <v>71</v>
      </c>
      <c r="R549" t="s">
        <v>72</v>
      </c>
      <c r="S549" t="s">
        <v>57</v>
      </c>
      <c r="T549" t="s">
        <v>58</v>
      </c>
      <c r="U549" t="s">
        <v>81</v>
      </c>
      <c r="V549">
        <v>9.5238000000000003E-2</v>
      </c>
      <c r="W549">
        <v>2024</v>
      </c>
      <c r="X549" t="s">
        <v>265</v>
      </c>
      <c r="Y549" t="s">
        <v>834</v>
      </c>
      <c r="Z549" t="str">
        <f t="shared" si="16"/>
        <v>Mayor que 300 - hasta 400</v>
      </c>
      <c r="AA549">
        <f t="shared" si="17"/>
        <v>0</v>
      </c>
      <c r="AB549">
        <v>25785</v>
      </c>
      <c r="AC549" t="s">
        <v>330</v>
      </c>
      <c r="AD549" t="s">
        <v>777</v>
      </c>
      <c r="AE549">
        <v>0.315855</v>
      </c>
      <c r="AF549" t="s">
        <v>63</v>
      </c>
      <c r="AG549">
        <v>10.356854</v>
      </c>
      <c r="AH549" t="s">
        <v>330</v>
      </c>
      <c r="AI549" t="s">
        <v>332</v>
      </c>
      <c r="AJ549">
        <v>0.98738099999999995</v>
      </c>
      <c r="AK549" t="s">
        <v>63</v>
      </c>
      <c r="AL549">
        <v>45.584775999999998</v>
      </c>
      <c r="AM549" t="s">
        <v>65</v>
      </c>
      <c r="AN549" s="7">
        <v>1781.1980574101051</v>
      </c>
      <c r="AO549" t="s">
        <v>65</v>
      </c>
      <c r="AP549" s="3">
        <v>1526</v>
      </c>
      <c r="AQ549">
        <v>2</v>
      </c>
      <c r="AR549">
        <v>1567.775494</v>
      </c>
      <c r="AS549" t="s">
        <v>66</v>
      </c>
      <c r="AT549" t="s">
        <v>53</v>
      </c>
    </row>
    <row r="550" spans="1:46">
      <c r="A550">
        <v>841</v>
      </c>
      <c r="B550" t="s">
        <v>46</v>
      </c>
      <c r="C550">
        <v>25</v>
      </c>
      <c r="D550">
        <v>793</v>
      </c>
      <c r="E550" t="s">
        <v>866</v>
      </c>
      <c r="F550" t="s">
        <v>752</v>
      </c>
      <c r="G550">
        <v>25793</v>
      </c>
      <c r="H550">
        <v>25793</v>
      </c>
      <c r="I550" t="s">
        <v>49</v>
      </c>
      <c r="J550">
        <v>2515</v>
      </c>
      <c r="K550" t="s">
        <v>782</v>
      </c>
      <c r="L550" t="s">
        <v>80</v>
      </c>
      <c r="M550" t="s">
        <v>53</v>
      </c>
      <c r="N550">
        <v>9423</v>
      </c>
      <c r="O550" t="s">
        <v>53</v>
      </c>
      <c r="P550" t="s">
        <v>70</v>
      </c>
      <c r="Q550" t="s">
        <v>71</v>
      </c>
      <c r="R550" t="s">
        <v>56</v>
      </c>
      <c r="S550" t="s">
        <v>57</v>
      </c>
      <c r="T550" t="s">
        <v>58</v>
      </c>
      <c r="U550" t="s">
        <v>81</v>
      </c>
      <c r="V550">
        <v>0.47519800000000001</v>
      </c>
      <c r="W550">
        <v>2016</v>
      </c>
      <c r="X550" t="s">
        <v>144</v>
      </c>
      <c r="Y550" t="s">
        <v>145</v>
      </c>
      <c r="Z550" t="str">
        <f t="shared" si="16"/>
        <v>Mayor que 70 - hasta 80</v>
      </c>
      <c r="AA550">
        <f t="shared" si="17"/>
        <v>0</v>
      </c>
      <c r="AB550">
        <v>25793</v>
      </c>
      <c r="AC550" t="s">
        <v>330</v>
      </c>
      <c r="AD550" t="s">
        <v>783</v>
      </c>
      <c r="AE550">
        <v>0.50127900000000003</v>
      </c>
      <c r="AF550" t="s">
        <v>63</v>
      </c>
      <c r="AG550">
        <v>16.999495</v>
      </c>
      <c r="AH550" t="s">
        <v>330</v>
      </c>
      <c r="AI550" t="s">
        <v>332</v>
      </c>
      <c r="AJ550">
        <v>1.5367489999999999</v>
      </c>
      <c r="AK550" t="s">
        <v>76</v>
      </c>
      <c r="AL550">
        <v>76.152394999999999</v>
      </c>
      <c r="AM550" t="s">
        <v>97</v>
      </c>
      <c r="AN550" s="7">
        <v>964.79204150957275</v>
      </c>
      <c r="AO550" t="s">
        <v>65</v>
      </c>
      <c r="AP550" s="3">
        <v>84</v>
      </c>
      <c r="AQ550">
        <v>2</v>
      </c>
      <c r="AR550">
        <v>608.53627100000006</v>
      </c>
      <c r="AS550" t="s">
        <v>66</v>
      </c>
      <c r="AT550" t="s">
        <v>53</v>
      </c>
    </row>
    <row r="551" spans="1:46">
      <c r="A551">
        <v>842</v>
      </c>
      <c r="B551" t="s">
        <v>46</v>
      </c>
      <c r="C551">
        <v>25</v>
      </c>
      <c r="D551">
        <v>797</v>
      </c>
      <c r="E551" t="s">
        <v>867</v>
      </c>
      <c r="F551" t="s">
        <v>752</v>
      </c>
      <c r="G551">
        <v>25797</v>
      </c>
      <c r="H551">
        <v>25797</v>
      </c>
      <c r="I551" t="s">
        <v>49</v>
      </c>
      <c r="J551">
        <v>2514</v>
      </c>
      <c r="K551" t="s">
        <v>759</v>
      </c>
      <c r="L551" t="s">
        <v>91</v>
      </c>
      <c r="M551" t="s">
        <v>53</v>
      </c>
      <c r="N551">
        <v>11214</v>
      </c>
      <c r="O551" t="s">
        <v>53</v>
      </c>
      <c r="P551" t="s">
        <v>70</v>
      </c>
      <c r="Q551" t="s">
        <v>71</v>
      </c>
      <c r="R551" t="s">
        <v>122</v>
      </c>
      <c r="S551" t="s">
        <v>57</v>
      </c>
      <c r="T551" t="s">
        <v>58</v>
      </c>
      <c r="U551" t="s">
        <v>81</v>
      </c>
      <c r="V551">
        <v>0.413385</v>
      </c>
      <c r="W551" t="s">
        <v>53</v>
      </c>
      <c r="X551" t="s">
        <v>53</v>
      </c>
      <c r="Y551" t="s">
        <v>74</v>
      </c>
      <c r="Z551" t="str">
        <f t="shared" si="16"/>
        <v>Mayor que 140 - hasta 160</v>
      </c>
      <c r="AA551">
        <f t="shared" si="17"/>
        <v>1</v>
      </c>
      <c r="AB551">
        <v>25797</v>
      </c>
      <c r="AC551" t="s">
        <v>330</v>
      </c>
      <c r="AD551" t="s">
        <v>798</v>
      </c>
      <c r="AE551">
        <v>1.332112</v>
      </c>
      <c r="AF551" t="s">
        <v>76</v>
      </c>
      <c r="AG551">
        <v>34.878889000000001</v>
      </c>
      <c r="AH551" t="s">
        <v>330</v>
      </c>
      <c r="AI551" t="s">
        <v>332</v>
      </c>
      <c r="AJ551">
        <v>1.7268859999999999</v>
      </c>
      <c r="AK551" t="s">
        <v>76</v>
      </c>
      <c r="AL551">
        <v>53.536962000000003</v>
      </c>
      <c r="AM551" s="4" t="s">
        <v>65</v>
      </c>
      <c r="AN551" s="5">
        <v>4092.0428810314925</v>
      </c>
      <c r="AO551" s="4" t="s">
        <v>65</v>
      </c>
      <c r="AP551" s="6">
        <v>5212</v>
      </c>
      <c r="AQ551">
        <v>4</v>
      </c>
      <c r="AR551">
        <v>3074.4291619999999</v>
      </c>
      <c r="AS551" t="s">
        <v>66</v>
      </c>
      <c r="AT551" t="s">
        <v>53</v>
      </c>
    </row>
    <row r="552" spans="1:46">
      <c r="A552">
        <v>843</v>
      </c>
      <c r="B552" t="s">
        <v>46</v>
      </c>
      <c r="C552">
        <v>25</v>
      </c>
      <c r="D552">
        <v>799</v>
      </c>
      <c r="E552" t="s">
        <v>868</v>
      </c>
      <c r="F552" t="s">
        <v>752</v>
      </c>
      <c r="G552">
        <v>25799</v>
      </c>
      <c r="H552">
        <v>25799</v>
      </c>
      <c r="I552" t="s">
        <v>49</v>
      </c>
      <c r="J552">
        <v>2511</v>
      </c>
      <c r="K552" t="s">
        <v>768</v>
      </c>
      <c r="L552" t="s">
        <v>91</v>
      </c>
      <c r="M552" t="s">
        <v>53</v>
      </c>
      <c r="N552">
        <v>26012</v>
      </c>
      <c r="O552" t="s">
        <v>53</v>
      </c>
      <c r="P552" t="s">
        <v>70</v>
      </c>
      <c r="Q552" t="s">
        <v>125</v>
      </c>
      <c r="R552" t="s">
        <v>122</v>
      </c>
      <c r="S552" t="s">
        <v>57</v>
      </c>
      <c r="T552" t="s">
        <v>58</v>
      </c>
      <c r="U552" t="s">
        <v>81</v>
      </c>
      <c r="V552">
        <v>0.63384799999999997</v>
      </c>
      <c r="W552">
        <v>2024</v>
      </c>
      <c r="X552" t="s">
        <v>265</v>
      </c>
      <c r="Y552" t="s">
        <v>869</v>
      </c>
      <c r="Z552" t="str">
        <f t="shared" si="16"/>
        <v>Mayor que 500 - hasta 600</v>
      </c>
      <c r="AA552">
        <f t="shared" si="17"/>
        <v>0</v>
      </c>
      <c r="AB552">
        <v>25799</v>
      </c>
      <c r="AC552" t="s">
        <v>330</v>
      </c>
      <c r="AD552" t="s">
        <v>800</v>
      </c>
      <c r="AE552">
        <v>0.55625100000000005</v>
      </c>
      <c r="AF552" t="s">
        <v>63</v>
      </c>
      <c r="AG552">
        <v>16.261016999999999</v>
      </c>
      <c r="AH552" t="s">
        <v>330</v>
      </c>
      <c r="AI552" t="s">
        <v>332</v>
      </c>
      <c r="AJ552">
        <v>0.80310999999999999</v>
      </c>
      <c r="AK552" t="s">
        <v>63</v>
      </c>
      <c r="AL552">
        <v>31.385995999999999</v>
      </c>
      <c r="AM552" t="s">
        <v>65</v>
      </c>
      <c r="AN552" s="7">
        <v>1258.0754766942209</v>
      </c>
      <c r="AO552" t="s">
        <v>65</v>
      </c>
      <c r="AP552" s="3">
        <v>884</v>
      </c>
      <c r="AQ552">
        <v>1</v>
      </c>
      <c r="AR552">
        <v>1492.172511</v>
      </c>
      <c r="AS552" t="s">
        <v>66</v>
      </c>
      <c r="AT552" t="s">
        <v>53</v>
      </c>
    </row>
    <row r="553" spans="1:46">
      <c r="A553">
        <v>844</v>
      </c>
      <c r="B553" t="s">
        <v>46</v>
      </c>
      <c r="C553">
        <v>25</v>
      </c>
      <c r="D553">
        <v>805</v>
      </c>
      <c r="E553" t="s">
        <v>870</v>
      </c>
      <c r="F553" t="s">
        <v>752</v>
      </c>
      <c r="G553">
        <v>25805</v>
      </c>
      <c r="H553">
        <v>25805</v>
      </c>
      <c r="I553" t="s">
        <v>49</v>
      </c>
      <c r="J553">
        <v>2513</v>
      </c>
      <c r="K553" t="s">
        <v>762</v>
      </c>
      <c r="L553" t="s">
        <v>69</v>
      </c>
      <c r="M553" t="s">
        <v>53</v>
      </c>
      <c r="N553">
        <v>5008</v>
      </c>
      <c r="O553" t="s">
        <v>53</v>
      </c>
      <c r="P553" t="s">
        <v>70</v>
      </c>
      <c r="Q553" t="s">
        <v>71</v>
      </c>
      <c r="R553" t="s">
        <v>93</v>
      </c>
      <c r="S553" t="s">
        <v>57</v>
      </c>
      <c r="T553" t="s">
        <v>58</v>
      </c>
      <c r="U553" t="s">
        <v>81</v>
      </c>
      <c r="V553">
        <v>0.33409499999999998</v>
      </c>
      <c r="W553" t="s">
        <v>53</v>
      </c>
      <c r="X553" t="s">
        <v>53</v>
      </c>
      <c r="Y553" t="s">
        <v>87</v>
      </c>
      <c r="Z553" t="str">
        <f t="shared" si="16"/>
        <v>Mayor que 40 - hasta 50</v>
      </c>
      <c r="AA553">
        <f t="shared" si="17"/>
        <v>1</v>
      </c>
      <c r="AB553">
        <v>25805</v>
      </c>
      <c r="AC553" t="s">
        <v>330</v>
      </c>
      <c r="AD553" t="s">
        <v>763</v>
      </c>
      <c r="AE553">
        <v>0.608792</v>
      </c>
      <c r="AF553" t="s">
        <v>63</v>
      </c>
      <c r="AG553">
        <v>15.009544999999999</v>
      </c>
      <c r="AH553" t="s">
        <v>330</v>
      </c>
      <c r="AI553" t="s">
        <v>332</v>
      </c>
      <c r="AJ553">
        <v>1.8672690000000001</v>
      </c>
      <c r="AK553" t="s">
        <v>76</v>
      </c>
      <c r="AL553">
        <v>70.422244000000006</v>
      </c>
      <c r="AM553" s="4" t="s">
        <v>65</v>
      </c>
      <c r="AN553" s="5">
        <v>4376.2681353470671</v>
      </c>
      <c r="AO553" s="4" t="s">
        <v>65</v>
      </c>
      <c r="AP553" s="6">
        <v>1718</v>
      </c>
      <c r="AQ553">
        <v>2</v>
      </c>
      <c r="AR553">
        <v>3622.6463589999998</v>
      </c>
      <c r="AS553" t="s">
        <v>66</v>
      </c>
      <c r="AT553" t="s">
        <v>53</v>
      </c>
    </row>
    <row r="554" spans="1:46">
      <c r="A554">
        <v>845</v>
      </c>
      <c r="B554" t="s">
        <v>46</v>
      </c>
      <c r="C554">
        <v>25</v>
      </c>
      <c r="D554">
        <v>807</v>
      </c>
      <c r="E554" t="s">
        <v>871</v>
      </c>
      <c r="F554" t="s">
        <v>752</v>
      </c>
      <c r="G554">
        <v>25807</v>
      </c>
      <c r="H554">
        <v>25807</v>
      </c>
      <c r="I554" t="s">
        <v>49</v>
      </c>
      <c r="J554">
        <v>2501</v>
      </c>
      <c r="K554" t="s">
        <v>791</v>
      </c>
      <c r="L554" t="s">
        <v>69</v>
      </c>
      <c r="M554" t="s">
        <v>53</v>
      </c>
      <c r="N554">
        <v>3633</v>
      </c>
      <c r="O554" t="s">
        <v>53</v>
      </c>
      <c r="P554" t="s">
        <v>70</v>
      </c>
      <c r="Q554" t="s">
        <v>71</v>
      </c>
      <c r="R554" t="s">
        <v>72</v>
      </c>
      <c r="S554" t="s">
        <v>57</v>
      </c>
      <c r="T554" t="s">
        <v>58</v>
      </c>
      <c r="U554" t="s">
        <v>81</v>
      </c>
      <c r="V554">
        <v>0.739811</v>
      </c>
      <c r="W554">
        <v>2022</v>
      </c>
      <c r="X554" t="s">
        <v>190</v>
      </c>
      <c r="Y554" t="s">
        <v>191</v>
      </c>
      <c r="Z554" t="str">
        <f t="shared" si="16"/>
        <v>Mayor que 100 - hasta 120</v>
      </c>
      <c r="AA554">
        <f t="shared" si="17"/>
        <v>0</v>
      </c>
      <c r="AB554">
        <v>25807</v>
      </c>
      <c r="AC554" t="s">
        <v>330</v>
      </c>
      <c r="AD554" t="s">
        <v>411</v>
      </c>
      <c r="AE554">
        <v>1.5055320000000001</v>
      </c>
      <c r="AF554" t="s">
        <v>76</v>
      </c>
      <c r="AG554">
        <v>59.109755</v>
      </c>
      <c r="AH554" t="s">
        <v>330</v>
      </c>
      <c r="AI554" t="s">
        <v>332</v>
      </c>
      <c r="AJ554">
        <v>2.4525070000000002</v>
      </c>
      <c r="AK554" t="s">
        <v>77</v>
      </c>
      <c r="AL554">
        <v>108.53006499999999</v>
      </c>
      <c r="AM554" t="s">
        <v>65</v>
      </c>
      <c r="AN554" s="7">
        <v>1941.4519921304691</v>
      </c>
      <c r="AO554" t="s">
        <v>65</v>
      </c>
      <c r="AP554" s="3">
        <v>2310</v>
      </c>
      <c r="AQ554">
        <v>3</v>
      </c>
      <c r="AR554">
        <v>1467.8054070000001</v>
      </c>
      <c r="AS554" t="s">
        <v>66</v>
      </c>
      <c r="AT554" t="s">
        <v>53</v>
      </c>
    </row>
    <row r="555" spans="1:46">
      <c r="A555">
        <v>846</v>
      </c>
      <c r="B555" t="s">
        <v>46</v>
      </c>
      <c r="C555">
        <v>25</v>
      </c>
      <c r="D555">
        <v>815</v>
      </c>
      <c r="E555" t="s">
        <v>872</v>
      </c>
      <c r="F555" t="s">
        <v>752</v>
      </c>
      <c r="G555">
        <v>25815</v>
      </c>
      <c r="H555">
        <v>25815</v>
      </c>
      <c r="I555" t="s">
        <v>49</v>
      </c>
      <c r="J555">
        <v>2502</v>
      </c>
      <c r="K555" t="s">
        <v>753</v>
      </c>
      <c r="L555" t="s">
        <v>91</v>
      </c>
      <c r="M555" t="s">
        <v>53</v>
      </c>
      <c r="N555">
        <v>18304</v>
      </c>
      <c r="O555" t="s">
        <v>53</v>
      </c>
      <c r="P555" t="s">
        <v>70</v>
      </c>
      <c r="Q555" t="s">
        <v>71</v>
      </c>
      <c r="R555" t="s">
        <v>93</v>
      </c>
      <c r="S555" t="s">
        <v>57</v>
      </c>
      <c r="T555" t="s">
        <v>58</v>
      </c>
      <c r="U555" t="s">
        <v>81</v>
      </c>
      <c r="V555">
        <v>0.37726300000000001</v>
      </c>
      <c r="W555" t="s">
        <v>53</v>
      </c>
      <c r="X555" t="s">
        <v>53</v>
      </c>
      <c r="Y555" t="s">
        <v>183</v>
      </c>
      <c r="Z555" t="str">
        <f t="shared" si="16"/>
        <v>Mayor que 120 - hasta 140</v>
      </c>
      <c r="AA555">
        <f t="shared" si="17"/>
        <v>1</v>
      </c>
      <c r="AB555">
        <v>25815</v>
      </c>
      <c r="AC555" t="s">
        <v>564</v>
      </c>
      <c r="AD555" t="s">
        <v>754</v>
      </c>
      <c r="AE555">
        <v>1.1149249999999999</v>
      </c>
      <c r="AF555" t="s">
        <v>76</v>
      </c>
      <c r="AG555">
        <v>35.264674999999997</v>
      </c>
      <c r="AH555" t="s">
        <v>564</v>
      </c>
      <c r="AI555" t="s">
        <v>565</v>
      </c>
      <c r="AJ555">
        <v>2.5451800000000002</v>
      </c>
      <c r="AK555" t="s">
        <v>77</v>
      </c>
      <c r="AL555">
        <v>94.462654999999998</v>
      </c>
      <c r="AM555" s="4" t="s">
        <v>64</v>
      </c>
      <c r="AN555" s="5">
        <v>11893.762643357748</v>
      </c>
      <c r="AO555" s="4" t="s">
        <v>65</v>
      </c>
      <c r="AP555" s="6">
        <v>2430</v>
      </c>
      <c r="AQ555">
        <v>2</v>
      </c>
      <c r="AR555">
        <v>8878.0813209999997</v>
      </c>
      <c r="AS555" t="s">
        <v>66</v>
      </c>
      <c r="AT555" t="s">
        <v>53</v>
      </c>
    </row>
    <row r="556" spans="1:46">
      <c r="A556">
        <v>847</v>
      </c>
      <c r="B556" t="s">
        <v>46</v>
      </c>
      <c r="C556">
        <v>25</v>
      </c>
      <c r="D556">
        <v>817</v>
      </c>
      <c r="E556" t="s">
        <v>873</v>
      </c>
      <c r="F556" t="s">
        <v>752</v>
      </c>
      <c r="G556">
        <v>25817</v>
      </c>
      <c r="H556">
        <v>25817</v>
      </c>
      <c r="I556" t="s">
        <v>49</v>
      </c>
      <c r="J556">
        <v>2510</v>
      </c>
      <c r="K556" t="s">
        <v>774</v>
      </c>
      <c r="L556" t="s">
        <v>51</v>
      </c>
      <c r="M556" t="s">
        <v>53</v>
      </c>
      <c r="N556">
        <v>46918</v>
      </c>
      <c r="O556" t="s">
        <v>53</v>
      </c>
      <c r="P556" t="s">
        <v>92</v>
      </c>
      <c r="Q556" t="s">
        <v>210</v>
      </c>
      <c r="R556" t="s">
        <v>294</v>
      </c>
      <c r="S556" t="s">
        <v>57</v>
      </c>
      <c r="T556" t="s">
        <v>58</v>
      </c>
      <c r="U556" t="s">
        <v>59</v>
      </c>
      <c r="V556">
        <v>0.25</v>
      </c>
      <c r="W556">
        <v>2024</v>
      </c>
      <c r="X556" t="s">
        <v>833</v>
      </c>
      <c r="Y556" t="s">
        <v>834</v>
      </c>
      <c r="Z556" t="str">
        <f t="shared" si="16"/>
        <v>Mayor que 300 - hasta 400</v>
      </c>
      <c r="AA556">
        <f t="shared" si="17"/>
        <v>0</v>
      </c>
      <c r="AB556">
        <v>25817</v>
      </c>
      <c r="AC556" t="s">
        <v>330</v>
      </c>
      <c r="AD556" t="s">
        <v>411</v>
      </c>
      <c r="AE556">
        <v>0</v>
      </c>
      <c r="AF556" t="s">
        <v>63</v>
      </c>
      <c r="AG556">
        <v>0</v>
      </c>
      <c r="AH556" t="s">
        <v>330</v>
      </c>
      <c r="AI556" t="s">
        <v>332</v>
      </c>
      <c r="AJ556">
        <v>0.94697500000000001</v>
      </c>
      <c r="AK556" t="s">
        <v>63</v>
      </c>
      <c r="AL556">
        <v>49.420310000000001</v>
      </c>
      <c r="AM556" t="s">
        <v>64</v>
      </c>
      <c r="AN556" s="7">
        <v>929.87968957474754</v>
      </c>
      <c r="AO556" t="s">
        <v>65</v>
      </c>
      <c r="AP556" s="3">
        <v>149</v>
      </c>
      <c r="AQ556">
        <v>2</v>
      </c>
      <c r="AR556">
        <v>1526.5768860000001</v>
      </c>
      <c r="AS556" t="s">
        <v>66</v>
      </c>
      <c r="AT556" t="s">
        <v>53</v>
      </c>
    </row>
    <row r="557" spans="1:46">
      <c r="A557">
        <v>848</v>
      </c>
      <c r="B557" t="s">
        <v>46</v>
      </c>
      <c r="C557">
        <v>25</v>
      </c>
      <c r="D557">
        <v>823</v>
      </c>
      <c r="E557" t="s">
        <v>874</v>
      </c>
      <c r="F557" t="s">
        <v>752</v>
      </c>
      <c r="G557">
        <v>25823</v>
      </c>
      <c r="H557">
        <v>25823</v>
      </c>
      <c r="I557" t="s">
        <v>49</v>
      </c>
      <c r="J557">
        <v>2509</v>
      </c>
      <c r="K557" t="s">
        <v>799</v>
      </c>
      <c r="L557" t="s">
        <v>80</v>
      </c>
      <c r="M557" t="s">
        <v>53</v>
      </c>
      <c r="N557">
        <v>4704</v>
      </c>
      <c r="O557" t="s">
        <v>53</v>
      </c>
      <c r="P557" t="s">
        <v>70</v>
      </c>
      <c r="Q557" t="s">
        <v>71</v>
      </c>
      <c r="R557" t="s">
        <v>72</v>
      </c>
      <c r="S557" t="s">
        <v>57</v>
      </c>
      <c r="T557" t="s">
        <v>73</v>
      </c>
      <c r="U557" t="s">
        <v>81</v>
      </c>
      <c r="V557">
        <v>0.75686399999999998</v>
      </c>
      <c r="W557" t="s">
        <v>53</v>
      </c>
      <c r="X557" t="s">
        <v>53</v>
      </c>
      <c r="Y557" t="s">
        <v>82</v>
      </c>
      <c r="Z557" t="str">
        <f t="shared" si="16"/>
        <v>Mayor que 15 - hasta 20</v>
      </c>
      <c r="AA557">
        <f t="shared" si="17"/>
        <v>1</v>
      </c>
      <c r="AB557">
        <v>25823</v>
      </c>
      <c r="AC557" t="s">
        <v>330</v>
      </c>
      <c r="AD557" t="s">
        <v>793</v>
      </c>
      <c r="AE557">
        <v>3.6448520000000002</v>
      </c>
      <c r="AF557" t="s">
        <v>84</v>
      </c>
      <c r="AG557">
        <v>80.767827999999994</v>
      </c>
      <c r="AH557" t="s">
        <v>330</v>
      </c>
      <c r="AI557" t="s">
        <v>332</v>
      </c>
      <c r="AJ557">
        <v>4.5904670000000003</v>
      </c>
      <c r="AK557" t="s">
        <v>85</v>
      </c>
      <c r="AL557">
        <v>130.11118300000001</v>
      </c>
      <c r="AM557" s="4" t="s">
        <v>65</v>
      </c>
      <c r="AN557" s="5">
        <v>11562.873282803945</v>
      </c>
      <c r="AO557" s="4" t="s">
        <v>65</v>
      </c>
      <c r="AP557" s="6">
        <v>2599</v>
      </c>
      <c r="AQ557">
        <v>4</v>
      </c>
      <c r="AR557">
        <v>8364.8002730000007</v>
      </c>
      <c r="AS557" t="s">
        <v>66</v>
      </c>
      <c r="AT557" t="s">
        <v>53</v>
      </c>
    </row>
    <row r="558" spans="1:46">
      <c r="A558">
        <v>849</v>
      </c>
      <c r="B558" t="s">
        <v>46</v>
      </c>
      <c r="C558">
        <v>25</v>
      </c>
      <c r="D558">
        <v>839</v>
      </c>
      <c r="E558" t="s">
        <v>875</v>
      </c>
      <c r="F558" t="s">
        <v>752</v>
      </c>
      <c r="G558">
        <v>25839</v>
      </c>
      <c r="H558">
        <v>25839</v>
      </c>
      <c r="I558" t="s">
        <v>49</v>
      </c>
      <c r="J558">
        <v>2505</v>
      </c>
      <c r="K558" t="s">
        <v>808</v>
      </c>
      <c r="L558" t="s">
        <v>80</v>
      </c>
      <c r="M558" t="s">
        <v>53</v>
      </c>
      <c r="N558">
        <v>8720</v>
      </c>
      <c r="O558" t="s">
        <v>53</v>
      </c>
      <c r="P558" t="s">
        <v>70</v>
      </c>
      <c r="Q558" t="s">
        <v>71</v>
      </c>
      <c r="R558" t="s">
        <v>105</v>
      </c>
      <c r="S558" t="s">
        <v>57</v>
      </c>
      <c r="T558" t="s">
        <v>58</v>
      </c>
      <c r="U558" t="s">
        <v>59</v>
      </c>
      <c r="V558">
        <v>0.72063999999999995</v>
      </c>
      <c r="W558" t="s">
        <v>53</v>
      </c>
      <c r="X558" t="s">
        <v>53</v>
      </c>
      <c r="Y558" t="s">
        <v>187</v>
      </c>
      <c r="Z558" t="str">
        <f t="shared" si="16"/>
        <v>Mayor que 80 - hasta 100</v>
      </c>
      <c r="AA558">
        <f t="shared" si="17"/>
        <v>1</v>
      </c>
      <c r="AB558">
        <v>25839</v>
      </c>
      <c r="AC558" t="s">
        <v>330</v>
      </c>
      <c r="AD558" t="s">
        <v>809</v>
      </c>
      <c r="AE558">
        <v>3.949065</v>
      </c>
      <c r="AF558" t="s">
        <v>84</v>
      </c>
      <c r="AG558">
        <v>62.369553000000003</v>
      </c>
      <c r="AH558" t="s">
        <v>330</v>
      </c>
      <c r="AI558" t="s">
        <v>332</v>
      </c>
      <c r="AJ558">
        <v>4.8269279999999997</v>
      </c>
      <c r="AK558" t="s">
        <v>85</v>
      </c>
      <c r="AL558">
        <v>109.492807</v>
      </c>
      <c r="AM558" s="4" t="s">
        <v>65</v>
      </c>
      <c r="AN558" s="5">
        <v>18330.586776874399</v>
      </c>
      <c r="AO558" s="4" t="s">
        <v>65</v>
      </c>
      <c r="AP558" s="6">
        <v>4710</v>
      </c>
      <c r="AQ558">
        <v>4</v>
      </c>
      <c r="AR558">
        <v>15061.359007999999</v>
      </c>
      <c r="AS558" t="s">
        <v>66</v>
      </c>
      <c r="AT558" t="s">
        <v>53</v>
      </c>
    </row>
    <row r="559" spans="1:46">
      <c r="A559">
        <v>850</v>
      </c>
      <c r="B559" t="s">
        <v>46</v>
      </c>
      <c r="C559">
        <v>25</v>
      </c>
      <c r="D559">
        <v>841</v>
      </c>
      <c r="E559" t="s">
        <v>876</v>
      </c>
      <c r="F559" t="s">
        <v>752</v>
      </c>
      <c r="G559">
        <v>25841</v>
      </c>
      <c r="H559">
        <v>25841</v>
      </c>
      <c r="I559" t="s">
        <v>49</v>
      </c>
      <c r="J559">
        <v>2508</v>
      </c>
      <c r="K559" t="s">
        <v>68</v>
      </c>
      <c r="L559" t="s">
        <v>69</v>
      </c>
      <c r="M559" t="s">
        <v>53</v>
      </c>
      <c r="N559">
        <v>7729</v>
      </c>
      <c r="O559" t="s">
        <v>53</v>
      </c>
      <c r="P559" t="s">
        <v>70</v>
      </c>
      <c r="Q559" t="s">
        <v>71</v>
      </c>
      <c r="R559" t="s">
        <v>122</v>
      </c>
      <c r="S559" t="s">
        <v>57</v>
      </c>
      <c r="T559" t="s">
        <v>58</v>
      </c>
      <c r="U559" t="s">
        <v>81</v>
      </c>
      <c r="V559">
        <v>0.49841200000000002</v>
      </c>
      <c r="W559">
        <v>2022</v>
      </c>
      <c r="X559" t="s">
        <v>190</v>
      </c>
      <c r="Y559" t="s">
        <v>191</v>
      </c>
      <c r="Z559" t="str">
        <f t="shared" si="16"/>
        <v>Mayor que 100 - hasta 120</v>
      </c>
      <c r="AA559">
        <f t="shared" si="17"/>
        <v>0</v>
      </c>
      <c r="AB559">
        <v>25841</v>
      </c>
      <c r="AC559" t="s">
        <v>330</v>
      </c>
      <c r="AD559" t="s">
        <v>331</v>
      </c>
      <c r="AE559">
        <v>2.0705</v>
      </c>
      <c r="AF559" t="s">
        <v>77</v>
      </c>
      <c r="AG559">
        <v>58.236961999999998</v>
      </c>
      <c r="AH559" t="s">
        <v>330</v>
      </c>
      <c r="AI559" t="s">
        <v>332</v>
      </c>
      <c r="AJ559">
        <v>2.1299760000000001</v>
      </c>
      <c r="AK559" t="s">
        <v>77</v>
      </c>
      <c r="AL559">
        <v>52.825693000000001</v>
      </c>
      <c r="AM559" t="s">
        <v>65</v>
      </c>
      <c r="AN559" s="7">
        <v>1487.623300586203</v>
      </c>
      <c r="AO559" t="s">
        <v>65</v>
      </c>
      <c r="AP559" s="3">
        <v>2118</v>
      </c>
      <c r="AQ559">
        <v>2</v>
      </c>
      <c r="AR559">
        <v>906.17359299999998</v>
      </c>
      <c r="AS559" t="s">
        <v>66</v>
      </c>
      <c r="AT559" t="s">
        <v>53</v>
      </c>
    </row>
    <row r="560" spans="1:46">
      <c r="A560">
        <v>851</v>
      </c>
      <c r="B560" t="s">
        <v>46</v>
      </c>
      <c r="C560">
        <v>25</v>
      </c>
      <c r="D560">
        <v>843</v>
      </c>
      <c r="E560" t="s">
        <v>782</v>
      </c>
      <c r="F560" t="s">
        <v>752</v>
      </c>
      <c r="G560">
        <v>25843</v>
      </c>
      <c r="H560">
        <v>25843</v>
      </c>
      <c r="I560" t="s">
        <v>49</v>
      </c>
      <c r="J560">
        <v>2515</v>
      </c>
      <c r="K560" t="s">
        <v>782</v>
      </c>
      <c r="L560" t="s">
        <v>91</v>
      </c>
      <c r="M560" t="s">
        <v>53</v>
      </c>
      <c r="N560">
        <v>50581</v>
      </c>
      <c r="O560" t="s">
        <v>53</v>
      </c>
      <c r="P560" t="s">
        <v>92</v>
      </c>
      <c r="Q560" t="s">
        <v>71</v>
      </c>
      <c r="R560" t="s">
        <v>105</v>
      </c>
      <c r="S560" t="s">
        <v>57</v>
      </c>
      <c r="T560" t="s">
        <v>58</v>
      </c>
      <c r="U560" t="s">
        <v>81</v>
      </c>
      <c r="V560">
        <v>0.54129700000000003</v>
      </c>
      <c r="W560" t="s">
        <v>53</v>
      </c>
      <c r="X560" t="s">
        <v>53</v>
      </c>
      <c r="Y560" t="s">
        <v>195</v>
      </c>
      <c r="Z560" t="str">
        <f t="shared" si="16"/>
        <v>Mayor que 250 - hasta 300</v>
      </c>
      <c r="AA560">
        <f t="shared" si="17"/>
        <v>1</v>
      </c>
      <c r="AB560">
        <v>25843</v>
      </c>
      <c r="AC560" t="s">
        <v>330</v>
      </c>
      <c r="AD560" t="s">
        <v>783</v>
      </c>
      <c r="AE560">
        <v>0</v>
      </c>
      <c r="AF560" t="s">
        <v>63</v>
      </c>
      <c r="AG560">
        <v>0</v>
      </c>
      <c r="AH560" t="s">
        <v>330</v>
      </c>
      <c r="AI560" t="s">
        <v>332</v>
      </c>
      <c r="AJ560">
        <v>1.9453130000000001</v>
      </c>
      <c r="AK560" t="s">
        <v>76</v>
      </c>
      <c r="AL560">
        <v>92.327625999999995</v>
      </c>
      <c r="AM560" s="4" t="s">
        <v>65</v>
      </c>
      <c r="AN560" s="5">
        <v>7425.0289207882925</v>
      </c>
      <c r="AO560" s="4" t="s">
        <v>65</v>
      </c>
      <c r="AP560" s="6">
        <v>5492</v>
      </c>
      <c r="AQ560">
        <v>3</v>
      </c>
      <c r="AR560">
        <v>6614.768161</v>
      </c>
      <c r="AS560" t="s">
        <v>66</v>
      </c>
      <c r="AT560" t="s">
        <v>53</v>
      </c>
    </row>
    <row r="561" spans="1:46">
      <c r="A561">
        <v>852</v>
      </c>
      <c r="B561" t="s">
        <v>46</v>
      </c>
      <c r="C561">
        <v>25</v>
      </c>
      <c r="D561">
        <v>845</v>
      </c>
      <c r="E561" t="s">
        <v>877</v>
      </c>
      <c r="F561" t="s">
        <v>752</v>
      </c>
      <c r="G561">
        <v>25845</v>
      </c>
      <c r="H561">
        <v>25845</v>
      </c>
      <c r="I561" t="s">
        <v>49</v>
      </c>
      <c r="J561">
        <v>2508</v>
      </c>
      <c r="K561" t="s">
        <v>68</v>
      </c>
      <c r="L561" t="s">
        <v>69</v>
      </c>
      <c r="M561" t="s">
        <v>53</v>
      </c>
      <c r="N561">
        <v>8073</v>
      </c>
      <c r="O561" t="s">
        <v>53</v>
      </c>
      <c r="P561" t="s">
        <v>70</v>
      </c>
      <c r="Q561" t="s">
        <v>71</v>
      </c>
      <c r="R561" t="s">
        <v>122</v>
      </c>
      <c r="S561" t="s">
        <v>57</v>
      </c>
      <c r="T561" t="s">
        <v>58</v>
      </c>
      <c r="U561" t="s">
        <v>81</v>
      </c>
      <c r="V561">
        <v>0.46692099999999997</v>
      </c>
      <c r="W561">
        <v>2022</v>
      </c>
      <c r="X561" t="s">
        <v>144</v>
      </c>
      <c r="Y561" t="s">
        <v>145</v>
      </c>
      <c r="Z561" t="str">
        <f t="shared" si="16"/>
        <v>Mayor que 70 - hasta 80</v>
      </c>
      <c r="AA561">
        <f t="shared" si="17"/>
        <v>0</v>
      </c>
      <c r="AB561">
        <v>25845</v>
      </c>
      <c r="AC561" t="s">
        <v>330</v>
      </c>
      <c r="AD561" t="s">
        <v>331</v>
      </c>
      <c r="AE561">
        <v>1.584684</v>
      </c>
      <c r="AF561" t="s">
        <v>76</v>
      </c>
      <c r="AG561">
        <v>40.747517999999999</v>
      </c>
      <c r="AH561" t="s">
        <v>330</v>
      </c>
      <c r="AI561" t="s">
        <v>332</v>
      </c>
      <c r="AJ561">
        <v>1.679009</v>
      </c>
      <c r="AK561" t="s">
        <v>76</v>
      </c>
      <c r="AL561">
        <v>42.403153000000003</v>
      </c>
      <c r="AM561" t="s">
        <v>65</v>
      </c>
      <c r="AN561" s="7">
        <v>1718.7259650648989</v>
      </c>
      <c r="AO561" t="s">
        <v>65</v>
      </c>
      <c r="AP561" s="3">
        <v>1201</v>
      </c>
      <c r="AQ561">
        <v>3</v>
      </c>
      <c r="AR561">
        <v>1476.439441</v>
      </c>
      <c r="AS561" t="s">
        <v>66</v>
      </c>
      <c r="AT561" t="s">
        <v>53</v>
      </c>
    </row>
    <row r="562" spans="1:46">
      <c r="A562">
        <v>853</v>
      </c>
      <c r="B562" t="s">
        <v>46</v>
      </c>
      <c r="C562">
        <v>25</v>
      </c>
      <c r="D562">
        <v>851</v>
      </c>
      <c r="E562" t="s">
        <v>878</v>
      </c>
      <c r="F562" t="s">
        <v>752</v>
      </c>
      <c r="G562">
        <v>25851</v>
      </c>
      <c r="H562">
        <v>25851</v>
      </c>
      <c r="I562" t="s">
        <v>49</v>
      </c>
      <c r="J562">
        <v>2504</v>
      </c>
      <c r="K562" t="s">
        <v>756</v>
      </c>
      <c r="L562" t="s">
        <v>91</v>
      </c>
      <c r="M562" t="s">
        <v>53</v>
      </c>
      <c r="N562">
        <v>4906</v>
      </c>
      <c r="O562" t="s">
        <v>53</v>
      </c>
      <c r="P562" t="s">
        <v>70</v>
      </c>
      <c r="Q562" t="s">
        <v>71</v>
      </c>
      <c r="R562" t="s">
        <v>56</v>
      </c>
      <c r="S562" t="s">
        <v>57</v>
      </c>
      <c r="T562" t="s">
        <v>58</v>
      </c>
      <c r="U562" t="s">
        <v>81</v>
      </c>
      <c r="V562">
        <v>0.52569200000000005</v>
      </c>
      <c r="W562" t="s">
        <v>53</v>
      </c>
      <c r="X562" t="s">
        <v>53</v>
      </c>
      <c r="Y562" t="s">
        <v>187</v>
      </c>
      <c r="Z562" t="str">
        <f t="shared" si="16"/>
        <v>Mayor que 80 - hasta 100</v>
      </c>
      <c r="AA562">
        <f t="shared" si="17"/>
        <v>1</v>
      </c>
      <c r="AB562">
        <v>25851</v>
      </c>
      <c r="AC562" t="s">
        <v>161</v>
      </c>
      <c r="AD562" t="s">
        <v>563</v>
      </c>
      <c r="AE562">
        <v>2.3143560000000001</v>
      </c>
      <c r="AF562" t="s">
        <v>77</v>
      </c>
      <c r="AG562">
        <v>62.467114000000002</v>
      </c>
      <c r="AH562" t="s">
        <v>330</v>
      </c>
      <c r="AI562" t="s">
        <v>332</v>
      </c>
      <c r="AJ562">
        <v>3.4334530000000001</v>
      </c>
      <c r="AK562" t="s">
        <v>84</v>
      </c>
      <c r="AL562">
        <v>104.011183</v>
      </c>
      <c r="AM562" s="4" t="s">
        <v>64</v>
      </c>
      <c r="AN562" s="5">
        <v>4885.0964272824967</v>
      </c>
      <c r="AO562" s="4" t="s">
        <v>65</v>
      </c>
      <c r="AP562" s="6">
        <v>890</v>
      </c>
      <c r="AQ562">
        <v>4</v>
      </c>
      <c r="AR562">
        <v>6911.6074049999997</v>
      </c>
      <c r="AS562" t="s">
        <v>66</v>
      </c>
      <c r="AT562" t="s">
        <v>53</v>
      </c>
    </row>
    <row r="563" spans="1:46">
      <c r="A563">
        <v>854</v>
      </c>
      <c r="B563" t="s">
        <v>46</v>
      </c>
      <c r="C563">
        <v>25</v>
      </c>
      <c r="D563">
        <v>862</v>
      </c>
      <c r="E563" t="s">
        <v>879</v>
      </c>
      <c r="F563" t="s">
        <v>752</v>
      </c>
      <c r="G563">
        <v>25862</v>
      </c>
      <c r="H563">
        <v>25862</v>
      </c>
      <c r="I563" t="s">
        <v>49</v>
      </c>
      <c r="J563">
        <v>2504</v>
      </c>
      <c r="K563" t="s">
        <v>756</v>
      </c>
      <c r="L563" t="s">
        <v>69</v>
      </c>
      <c r="M563" t="s">
        <v>53</v>
      </c>
      <c r="N563">
        <v>7805</v>
      </c>
      <c r="O563" t="s">
        <v>53</v>
      </c>
      <c r="P563" t="s">
        <v>70</v>
      </c>
      <c r="Q563" t="s">
        <v>71</v>
      </c>
      <c r="R563" t="s">
        <v>72</v>
      </c>
      <c r="S563" t="s">
        <v>57</v>
      </c>
      <c r="T563" t="s">
        <v>58</v>
      </c>
      <c r="U563" t="s">
        <v>81</v>
      </c>
      <c r="V563">
        <v>0.49480800000000003</v>
      </c>
      <c r="W563" t="s">
        <v>53</v>
      </c>
      <c r="X563" t="s">
        <v>53</v>
      </c>
      <c r="Y563" t="s">
        <v>187</v>
      </c>
      <c r="Z563" t="str">
        <f t="shared" si="16"/>
        <v>Mayor que 80 - hasta 100</v>
      </c>
      <c r="AA563">
        <f t="shared" si="17"/>
        <v>1</v>
      </c>
      <c r="AB563">
        <v>25862</v>
      </c>
      <c r="AC563" t="s">
        <v>330</v>
      </c>
      <c r="AD563" t="s">
        <v>800</v>
      </c>
      <c r="AE563">
        <v>1.89602</v>
      </c>
      <c r="AF563" t="s">
        <v>76</v>
      </c>
      <c r="AG563">
        <v>50.401429</v>
      </c>
      <c r="AH563" t="s">
        <v>330</v>
      </c>
      <c r="AI563" t="s">
        <v>332</v>
      </c>
      <c r="AJ563">
        <v>2.5476800000000002</v>
      </c>
      <c r="AK563" t="s">
        <v>77</v>
      </c>
      <c r="AL563">
        <v>83.088644000000002</v>
      </c>
      <c r="AM563" s="4" t="s">
        <v>65</v>
      </c>
      <c r="AN563" s="5">
        <v>12116.700662718811</v>
      </c>
      <c r="AO563" s="4" t="s">
        <v>65</v>
      </c>
      <c r="AP563" s="6">
        <v>3708</v>
      </c>
      <c r="AQ563">
        <v>4</v>
      </c>
      <c r="AR563">
        <v>7434.6375230000003</v>
      </c>
      <c r="AS563" t="s">
        <v>66</v>
      </c>
      <c r="AT563" t="s">
        <v>53</v>
      </c>
    </row>
    <row r="564" spans="1:46">
      <c r="A564">
        <v>855</v>
      </c>
      <c r="B564" t="s">
        <v>46</v>
      </c>
      <c r="C564">
        <v>25</v>
      </c>
      <c r="D564">
        <v>867</v>
      </c>
      <c r="E564" t="s">
        <v>880</v>
      </c>
      <c r="F564" t="s">
        <v>752</v>
      </c>
      <c r="G564">
        <v>25867</v>
      </c>
      <c r="H564">
        <v>25867</v>
      </c>
      <c r="I564" t="s">
        <v>49</v>
      </c>
      <c r="J564">
        <v>2506</v>
      </c>
      <c r="K564" t="s">
        <v>765</v>
      </c>
      <c r="L564" t="s">
        <v>91</v>
      </c>
      <c r="M564" t="s">
        <v>53</v>
      </c>
      <c r="N564">
        <v>5078</v>
      </c>
      <c r="O564" t="s">
        <v>53</v>
      </c>
      <c r="P564" t="s">
        <v>70</v>
      </c>
      <c r="Q564" t="s">
        <v>71</v>
      </c>
      <c r="R564" t="s">
        <v>122</v>
      </c>
      <c r="S564" t="s">
        <v>57</v>
      </c>
      <c r="T564" t="s">
        <v>58</v>
      </c>
      <c r="U564" t="s">
        <v>81</v>
      </c>
      <c r="V564">
        <v>0.49693300000000001</v>
      </c>
      <c r="W564" t="s">
        <v>53</v>
      </c>
      <c r="X564" t="s">
        <v>53</v>
      </c>
      <c r="Y564" t="s">
        <v>87</v>
      </c>
      <c r="Z564" t="str">
        <f t="shared" si="16"/>
        <v>Mayor que 40 - hasta 50</v>
      </c>
      <c r="AA564">
        <f t="shared" si="17"/>
        <v>1</v>
      </c>
      <c r="AB564">
        <v>25867</v>
      </c>
      <c r="AC564" t="s">
        <v>330</v>
      </c>
      <c r="AD564" t="s">
        <v>757</v>
      </c>
      <c r="AE564">
        <v>1.9216489999999999</v>
      </c>
      <c r="AF564" t="s">
        <v>76</v>
      </c>
      <c r="AG564">
        <v>39.907316000000002</v>
      </c>
      <c r="AH564" t="s">
        <v>330</v>
      </c>
      <c r="AI564" t="s">
        <v>332</v>
      </c>
      <c r="AJ564">
        <v>2.6450939999999998</v>
      </c>
      <c r="AK564" t="s">
        <v>77</v>
      </c>
      <c r="AL564">
        <v>79.463160000000002</v>
      </c>
      <c r="AM564" s="4" t="s">
        <v>65</v>
      </c>
      <c r="AN564" s="5">
        <v>5553.1927843177327</v>
      </c>
      <c r="AO564" s="4" t="s">
        <v>65</v>
      </c>
      <c r="AP564" s="6">
        <v>1656</v>
      </c>
      <c r="AQ564">
        <v>3</v>
      </c>
      <c r="AR564">
        <v>3398.5249450000001</v>
      </c>
      <c r="AS564" t="s">
        <v>66</v>
      </c>
      <c r="AT564" t="s">
        <v>53</v>
      </c>
    </row>
    <row r="565" spans="1:46">
      <c r="A565">
        <v>856</v>
      </c>
      <c r="B565" t="s">
        <v>46</v>
      </c>
      <c r="C565">
        <v>25</v>
      </c>
      <c r="D565">
        <v>871</v>
      </c>
      <c r="E565" t="s">
        <v>881</v>
      </c>
      <c r="F565" t="s">
        <v>752</v>
      </c>
      <c r="G565">
        <v>25871</v>
      </c>
      <c r="H565">
        <v>25871</v>
      </c>
      <c r="I565" t="s">
        <v>49</v>
      </c>
      <c r="J565">
        <v>2509</v>
      </c>
      <c r="K565" t="s">
        <v>799</v>
      </c>
      <c r="L565" t="s">
        <v>80</v>
      </c>
      <c r="M565" t="s">
        <v>53</v>
      </c>
      <c r="N565">
        <v>2018</v>
      </c>
      <c r="O565" t="s">
        <v>53</v>
      </c>
      <c r="P565" t="s">
        <v>70</v>
      </c>
      <c r="Q565" t="s">
        <v>71</v>
      </c>
      <c r="R565" t="s">
        <v>93</v>
      </c>
      <c r="S565" t="s">
        <v>57</v>
      </c>
      <c r="T565" t="s">
        <v>58</v>
      </c>
      <c r="U565" t="s">
        <v>81</v>
      </c>
      <c r="V565">
        <v>0.63607100000000005</v>
      </c>
      <c r="W565" t="s">
        <v>53</v>
      </c>
      <c r="X565" t="s">
        <v>53</v>
      </c>
      <c r="Y565" t="s">
        <v>82</v>
      </c>
      <c r="Z565" t="str">
        <f t="shared" si="16"/>
        <v>Mayor que 15 - hasta 20</v>
      </c>
      <c r="AA565">
        <f t="shared" si="17"/>
        <v>1</v>
      </c>
      <c r="AB565">
        <v>25871</v>
      </c>
      <c r="AC565" t="s">
        <v>330</v>
      </c>
      <c r="AD565" t="s">
        <v>793</v>
      </c>
      <c r="AE565">
        <v>2.8458909999999999</v>
      </c>
      <c r="AF565" t="s">
        <v>77</v>
      </c>
      <c r="AG565">
        <v>59.178384000000001</v>
      </c>
      <c r="AH565" t="s">
        <v>330</v>
      </c>
      <c r="AI565" t="s">
        <v>332</v>
      </c>
      <c r="AJ565">
        <v>3.791506</v>
      </c>
      <c r="AK565" t="s">
        <v>84</v>
      </c>
      <c r="AL565">
        <v>108.521739</v>
      </c>
      <c r="AM565" s="4" t="s">
        <v>65</v>
      </c>
      <c r="AN565" s="5">
        <v>4329.65695932161</v>
      </c>
      <c r="AO565" s="4" t="s">
        <v>65</v>
      </c>
      <c r="AP565" s="6">
        <v>1118</v>
      </c>
      <c r="AQ565">
        <v>3</v>
      </c>
      <c r="AR565">
        <v>3676.9076500000001</v>
      </c>
      <c r="AS565" t="s">
        <v>66</v>
      </c>
      <c r="AT565" t="s">
        <v>53</v>
      </c>
    </row>
    <row r="566" spans="1:46">
      <c r="A566">
        <v>857</v>
      </c>
      <c r="B566" t="s">
        <v>46</v>
      </c>
      <c r="C566">
        <v>25</v>
      </c>
      <c r="D566">
        <v>873</v>
      </c>
      <c r="E566" t="s">
        <v>882</v>
      </c>
      <c r="F566" t="s">
        <v>752</v>
      </c>
      <c r="G566">
        <v>25873</v>
      </c>
      <c r="H566">
        <v>25873</v>
      </c>
      <c r="I566" t="s">
        <v>49</v>
      </c>
      <c r="J566">
        <v>2501</v>
      </c>
      <c r="K566" t="s">
        <v>791</v>
      </c>
      <c r="L566" t="s">
        <v>91</v>
      </c>
      <c r="M566" t="s">
        <v>53</v>
      </c>
      <c r="N566">
        <v>20062</v>
      </c>
      <c r="O566" t="s">
        <v>53</v>
      </c>
      <c r="P566" t="s">
        <v>70</v>
      </c>
      <c r="Q566" t="s">
        <v>71</v>
      </c>
      <c r="R566" t="s">
        <v>93</v>
      </c>
      <c r="S566" t="s">
        <v>57</v>
      </c>
      <c r="T566" t="s">
        <v>58</v>
      </c>
      <c r="U566" t="s">
        <v>81</v>
      </c>
      <c r="V566">
        <v>0.60455199999999998</v>
      </c>
      <c r="W566">
        <v>2016</v>
      </c>
      <c r="X566" t="s">
        <v>106</v>
      </c>
      <c r="Y566" t="s">
        <v>74</v>
      </c>
      <c r="Z566" t="str">
        <f t="shared" si="16"/>
        <v>Mayor que 140 - hasta 160</v>
      </c>
      <c r="AA566">
        <f t="shared" si="17"/>
        <v>1</v>
      </c>
      <c r="AB566">
        <v>25873</v>
      </c>
      <c r="AC566" t="s">
        <v>330</v>
      </c>
      <c r="AD566" t="s">
        <v>411</v>
      </c>
      <c r="AE566">
        <v>0.99204700000000001</v>
      </c>
      <c r="AF566" t="s">
        <v>63</v>
      </c>
      <c r="AG566">
        <v>49.992597000000004</v>
      </c>
      <c r="AH566" t="s">
        <v>234</v>
      </c>
      <c r="AI566" t="s">
        <v>407</v>
      </c>
      <c r="AJ566">
        <v>1.525055</v>
      </c>
      <c r="AK566" t="s">
        <v>76</v>
      </c>
      <c r="AL566">
        <v>55.202648000000003</v>
      </c>
      <c r="AM566" t="s">
        <v>65</v>
      </c>
      <c r="AN566" s="7">
        <v>108.8391481228453</v>
      </c>
      <c r="AO566" t="s">
        <v>65</v>
      </c>
      <c r="AP566" s="3">
        <v>336</v>
      </c>
      <c r="AQ566">
        <v>2</v>
      </c>
      <c r="AR566">
        <v>115.85945</v>
      </c>
      <c r="AS566" t="s">
        <v>66</v>
      </c>
      <c r="AT566" t="s">
        <v>53</v>
      </c>
    </row>
    <row r="567" spans="1:46">
      <c r="A567">
        <v>858</v>
      </c>
      <c r="B567" t="s">
        <v>46</v>
      </c>
      <c r="C567">
        <v>25</v>
      </c>
      <c r="D567">
        <v>875</v>
      </c>
      <c r="E567" t="s">
        <v>883</v>
      </c>
      <c r="F567" t="s">
        <v>752</v>
      </c>
      <c r="G567">
        <v>25875</v>
      </c>
      <c r="H567">
        <v>25875</v>
      </c>
      <c r="I567" t="s">
        <v>49</v>
      </c>
      <c r="J567">
        <v>2504</v>
      </c>
      <c r="K567" t="s">
        <v>756</v>
      </c>
      <c r="L567" t="s">
        <v>91</v>
      </c>
      <c r="M567" t="s">
        <v>53</v>
      </c>
      <c r="N567">
        <v>31632</v>
      </c>
      <c r="O567" t="s">
        <v>53</v>
      </c>
      <c r="P567" t="s">
        <v>92</v>
      </c>
      <c r="Q567" t="s">
        <v>71</v>
      </c>
      <c r="R567" t="s">
        <v>105</v>
      </c>
      <c r="S567" t="s">
        <v>57</v>
      </c>
      <c r="T567" t="s">
        <v>58</v>
      </c>
      <c r="U567" t="s">
        <v>81</v>
      </c>
      <c r="V567">
        <v>0.39181100000000002</v>
      </c>
      <c r="W567" t="s">
        <v>53</v>
      </c>
      <c r="X567" t="s">
        <v>53</v>
      </c>
      <c r="Y567" t="s">
        <v>139</v>
      </c>
      <c r="Z567" t="str">
        <f t="shared" si="16"/>
        <v>Mayor que 300 - hasta 400</v>
      </c>
      <c r="AA567">
        <f t="shared" si="17"/>
        <v>1</v>
      </c>
      <c r="AB567">
        <v>25875</v>
      </c>
      <c r="AC567" t="s">
        <v>330</v>
      </c>
      <c r="AD567" t="s">
        <v>757</v>
      </c>
      <c r="AE567">
        <v>1.3660969999999999</v>
      </c>
      <c r="AF567" t="s">
        <v>76</v>
      </c>
      <c r="AG567">
        <v>39.000208999999998</v>
      </c>
      <c r="AH567" t="s">
        <v>330</v>
      </c>
      <c r="AI567" t="s">
        <v>332</v>
      </c>
      <c r="AJ567">
        <v>2.0895429999999999</v>
      </c>
      <c r="AK567" t="s">
        <v>77</v>
      </c>
      <c r="AL567">
        <v>78.556053000000006</v>
      </c>
      <c r="AM567" s="4" t="s">
        <v>65</v>
      </c>
      <c r="AN567" s="5">
        <v>10657.596808450719</v>
      </c>
      <c r="AO567" s="4" t="s">
        <v>65</v>
      </c>
      <c r="AP567" s="6">
        <v>4262</v>
      </c>
      <c r="AQ567">
        <v>4</v>
      </c>
      <c r="AR567">
        <v>6859.5878839999996</v>
      </c>
      <c r="AS567" t="s">
        <v>66</v>
      </c>
      <c r="AT567" t="s">
        <v>53</v>
      </c>
    </row>
    <row r="568" spans="1:46">
      <c r="A568">
        <v>859</v>
      </c>
      <c r="B568" t="s">
        <v>46</v>
      </c>
      <c r="C568">
        <v>25</v>
      </c>
      <c r="D568">
        <v>878</v>
      </c>
      <c r="E568" t="s">
        <v>884</v>
      </c>
      <c r="F568" t="s">
        <v>752</v>
      </c>
      <c r="G568">
        <v>25878</v>
      </c>
      <c r="H568">
        <v>25878</v>
      </c>
      <c r="I568" t="s">
        <v>49</v>
      </c>
      <c r="J568">
        <v>2514</v>
      </c>
      <c r="K568" t="s">
        <v>759</v>
      </c>
      <c r="L568" t="s">
        <v>91</v>
      </c>
      <c r="M568" t="s">
        <v>53</v>
      </c>
      <c r="N568">
        <v>15255</v>
      </c>
      <c r="O568" t="s">
        <v>53</v>
      </c>
      <c r="P568" t="s">
        <v>70</v>
      </c>
      <c r="Q568" t="s">
        <v>71</v>
      </c>
      <c r="R568" t="s">
        <v>122</v>
      </c>
      <c r="S568" t="s">
        <v>57</v>
      </c>
      <c r="T568" t="s">
        <v>73</v>
      </c>
      <c r="U568" t="s">
        <v>59</v>
      </c>
      <c r="V568">
        <v>0.362765</v>
      </c>
      <c r="W568" t="s">
        <v>53</v>
      </c>
      <c r="X568" t="s">
        <v>53</v>
      </c>
      <c r="Y568" t="s">
        <v>167</v>
      </c>
      <c r="Z568" t="str">
        <f t="shared" si="16"/>
        <v>Mayor que 50 - hasta 60</v>
      </c>
      <c r="AA568">
        <f t="shared" si="17"/>
        <v>1</v>
      </c>
      <c r="AB568">
        <v>25878</v>
      </c>
      <c r="AC568" t="s">
        <v>564</v>
      </c>
      <c r="AD568" t="s">
        <v>754</v>
      </c>
      <c r="AE568">
        <v>1.4915689999999999</v>
      </c>
      <c r="AF568" t="s">
        <v>76</v>
      </c>
      <c r="AG568">
        <v>49.811478999999999</v>
      </c>
      <c r="AH568" t="s">
        <v>564</v>
      </c>
      <c r="AI568" t="s">
        <v>565</v>
      </c>
      <c r="AJ568">
        <v>2.9218229999999998</v>
      </c>
      <c r="AK568" t="s">
        <v>77</v>
      </c>
      <c r="AL568">
        <v>109.00945900000001</v>
      </c>
      <c r="AM568" s="4" t="s">
        <v>65</v>
      </c>
      <c r="AN568" s="5">
        <v>15637.704127269481</v>
      </c>
      <c r="AO568" s="4" t="s">
        <v>65</v>
      </c>
      <c r="AP568" s="6">
        <v>6489</v>
      </c>
      <c r="AQ568">
        <v>2</v>
      </c>
      <c r="AR568">
        <v>7741.1799579999997</v>
      </c>
      <c r="AS568" t="s">
        <v>66</v>
      </c>
      <c r="AT568" t="s">
        <v>53</v>
      </c>
    </row>
    <row r="569" spans="1:46">
      <c r="A569">
        <v>860</v>
      </c>
      <c r="B569" t="s">
        <v>46</v>
      </c>
      <c r="C569">
        <v>25</v>
      </c>
      <c r="D569">
        <v>885</v>
      </c>
      <c r="E569" t="s">
        <v>885</v>
      </c>
      <c r="F569" t="s">
        <v>752</v>
      </c>
      <c r="G569">
        <v>25885</v>
      </c>
      <c r="H569">
        <v>25885</v>
      </c>
      <c r="I569" t="s">
        <v>49</v>
      </c>
      <c r="J569">
        <v>2509</v>
      </c>
      <c r="K569" t="s">
        <v>799</v>
      </c>
      <c r="L569" t="s">
        <v>80</v>
      </c>
      <c r="M569" t="s">
        <v>53</v>
      </c>
      <c r="N569">
        <v>13995</v>
      </c>
      <c r="O569" t="s">
        <v>53</v>
      </c>
      <c r="P569" t="s">
        <v>70</v>
      </c>
      <c r="Q569" t="s">
        <v>71</v>
      </c>
      <c r="R569" t="s">
        <v>93</v>
      </c>
      <c r="S569" t="s">
        <v>57</v>
      </c>
      <c r="T569" t="s">
        <v>58</v>
      </c>
      <c r="U569" t="s">
        <v>59</v>
      </c>
      <c r="V569">
        <v>0.66964800000000002</v>
      </c>
      <c r="W569" t="s">
        <v>53</v>
      </c>
      <c r="X569" t="s">
        <v>53</v>
      </c>
      <c r="Y569" t="s">
        <v>102</v>
      </c>
      <c r="Z569" t="str">
        <f t="shared" si="16"/>
        <v>Mayor que 20 - hasta 30</v>
      </c>
      <c r="AA569">
        <f t="shared" si="17"/>
        <v>1</v>
      </c>
      <c r="AB569">
        <v>25885</v>
      </c>
      <c r="AC569" t="s">
        <v>161</v>
      </c>
      <c r="AD569" t="s">
        <v>563</v>
      </c>
      <c r="AE569">
        <v>4.0175530000000004</v>
      </c>
      <c r="AF569" t="s">
        <v>85</v>
      </c>
      <c r="AG569">
        <v>85.847727000000006</v>
      </c>
      <c r="AH569" t="s">
        <v>330</v>
      </c>
      <c r="AI569" t="s">
        <v>332</v>
      </c>
      <c r="AJ569">
        <v>5.4743539999999999</v>
      </c>
      <c r="AK569" t="s">
        <v>181</v>
      </c>
      <c r="AL569">
        <v>157.93565599999999</v>
      </c>
      <c r="AM569" s="4" t="s">
        <v>64</v>
      </c>
      <c r="AN569" s="5">
        <v>55313.669236171758</v>
      </c>
      <c r="AO569" s="4" t="s">
        <v>65</v>
      </c>
      <c r="AP569" s="6">
        <v>6345</v>
      </c>
      <c r="AQ569">
        <v>4</v>
      </c>
      <c r="AR569">
        <v>58641.141798999997</v>
      </c>
      <c r="AS569" t="s">
        <v>66</v>
      </c>
      <c r="AT569" t="s">
        <v>53</v>
      </c>
    </row>
    <row r="570" spans="1:46">
      <c r="A570">
        <v>861</v>
      </c>
      <c r="B570" t="s">
        <v>46</v>
      </c>
      <c r="C570">
        <v>25</v>
      </c>
      <c r="D570">
        <v>898</v>
      </c>
      <c r="E570" t="s">
        <v>886</v>
      </c>
      <c r="F570" t="s">
        <v>752</v>
      </c>
      <c r="G570">
        <v>25898</v>
      </c>
      <c r="H570">
        <v>25898</v>
      </c>
      <c r="I570" t="s">
        <v>49</v>
      </c>
      <c r="J570">
        <v>2511</v>
      </c>
      <c r="K570" t="s">
        <v>768</v>
      </c>
      <c r="L570" t="s">
        <v>91</v>
      </c>
      <c r="M570" t="s">
        <v>53</v>
      </c>
      <c r="N570">
        <v>5445</v>
      </c>
      <c r="O570" t="s">
        <v>53</v>
      </c>
      <c r="P570" t="s">
        <v>70</v>
      </c>
      <c r="Q570" t="s">
        <v>71</v>
      </c>
      <c r="R570" t="s">
        <v>105</v>
      </c>
      <c r="S570" t="s">
        <v>57</v>
      </c>
      <c r="T570" t="s">
        <v>58</v>
      </c>
      <c r="U570" t="s">
        <v>81</v>
      </c>
      <c r="V570">
        <v>0.41402800000000001</v>
      </c>
      <c r="W570" t="s">
        <v>53</v>
      </c>
      <c r="X570" t="s">
        <v>53</v>
      </c>
      <c r="Y570" t="s">
        <v>127</v>
      </c>
      <c r="Z570" t="str">
        <f t="shared" si="16"/>
        <v>Mayor que 70 - hasta 80</v>
      </c>
      <c r="AA570">
        <f t="shared" si="17"/>
        <v>1</v>
      </c>
      <c r="AB570">
        <v>25898</v>
      </c>
      <c r="AC570" t="s">
        <v>330</v>
      </c>
      <c r="AD570" t="s">
        <v>757</v>
      </c>
      <c r="AE570">
        <v>0.45746999999999999</v>
      </c>
      <c r="AF570" t="s">
        <v>63</v>
      </c>
      <c r="AG570">
        <v>13.353911</v>
      </c>
      <c r="AH570" t="s">
        <v>330</v>
      </c>
      <c r="AI570" t="s">
        <v>332</v>
      </c>
      <c r="AJ570">
        <v>1.0231239999999999</v>
      </c>
      <c r="AK570" t="s">
        <v>76</v>
      </c>
      <c r="AL570">
        <v>44.701428999999997</v>
      </c>
      <c r="AM570" s="4" t="s">
        <v>65</v>
      </c>
      <c r="AN570" s="5">
        <v>3134.9092281647931</v>
      </c>
      <c r="AO570" s="4" t="s">
        <v>65</v>
      </c>
      <c r="AP570" s="6">
        <v>1697</v>
      </c>
      <c r="AQ570">
        <v>3</v>
      </c>
      <c r="AR570">
        <v>3224.105865</v>
      </c>
      <c r="AS570" t="s">
        <v>66</v>
      </c>
      <c r="AT570" t="s">
        <v>53</v>
      </c>
    </row>
    <row r="571" spans="1:46">
      <c r="A571">
        <v>862</v>
      </c>
      <c r="B571" t="s">
        <v>46</v>
      </c>
      <c r="C571">
        <v>25</v>
      </c>
      <c r="D571">
        <v>899</v>
      </c>
      <c r="E571" t="s">
        <v>887</v>
      </c>
      <c r="F571" t="s">
        <v>752</v>
      </c>
      <c r="G571">
        <v>25899</v>
      </c>
      <c r="H571">
        <v>25899</v>
      </c>
      <c r="I571" t="s">
        <v>49</v>
      </c>
      <c r="J571">
        <v>2510</v>
      </c>
      <c r="K571" t="s">
        <v>774</v>
      </c>
      <c r="L571" t="s">
        <v>51</v>
      </c>
      <c r="M571" t="s">
        <v>53</v>
      </c>
      <c r="N571">
        <v>155618</v>
      </c>
      <c r="O571" t="s">
        <v>53</v>
      </c>
      <c r="P571" t="s">
        <v>54</v>
      </c>
      <c r="Q571" t="s">
        <v>210</v>
      </c>
      <c r="R571" t="s">
        <v>294</v>
      </c>
      <c r="S571" t="s">
        <v>57</v>
      </c>
      <c r="T571" t="s">
        <v>58</v>
      </c>
      <c r="U571" t="s">
        <v>81</v>
      </c>
      <c r="V571">
        <v>0.384187</v>
      </c>
      <c r="W571">
        <v>2024</v>
      </c>
      <c r="X571" t="s">
        <v>833</v>
      </c>
      <c r="Y571" t="s">
        <v>834</v>
      </c>
      <c r="Z571" t="str">
        <f t="shared" si="16"/>
        <v>Mayor que 300 - hasta 400</v>
      </c>
      <c r="AA571">
        <f t="shared" si="17"/>
        <v>0</v>
      </c>
      <c r="AB571">
        <v>25899</v>
      </c>
      <c r="AC571" t="s">
        <v>330</v>
      </c>
      <c r="AD571" t="s">
        <v>793</v>
      </c>
      <c r="AE571">
        <v>0</v>
      </c>
      <c r="AF571" t="s">
        <v>63</v>
      </c>
      <c r="AG571">
        <v>0</v>
      </c>
      <c r="AH571" t="s">
        <v>330</v>
      </c>
      <c r="AI571" t="s">
        <v>332</v>
      </c>
      <c r="AJ571">
        <v>0.96621400000000002</v>
      </c>
      <c r="AK571" t="s">
        <v>63</v>
      </c>
      <c r="AL571">
        <v>50.509039999999999</v>
      </c>
      <c r="AM571" t="s">
        <v>65</v>
      </c>
      <c r="AN571" s="7">
        <v>3908.0450648010378</v>
      </c>
      <c r="AO571" t="s">
        <v>65</v>
      </c>
      <c r="AP571" s="3">
        <v>2286</v>
      </c>
      <c r="AQ571">
        <v>2</v>
      </c>
      <c r="AR571">
        <v>3486.451305</v>
      </c>
      <c r="AS571" t="s">
        <v>66</v>
      </c>
      <c r="AT571" t="s">
        <v>53</v>
      </c>
    </row>
    <row r="572" spans="1:46">
      <c r="A572">
        <v>405</v>
      </c>
      <c r="B572" t="s">
        <v>46</v>
      </c>
      <c r="C572">
        <v>27</v>
      </c>
      <c r="D572">
        <v>1</v>
      </c>
      <c r="E572" t="s">
        <v>888</v>
      </c>
      <c r="F572" t="s">
        <v>889</v>
      </c>
      <c r="G572">
        <v>27001</v>
      </c>
      <c r="H572">
        <v>27001</v>
      </c>
      <c r="I572" t="s">
        <v>890</v>
      </c>
      <c r="J572">
        <v>2701</v>
      </c>
      <c r="K572" t="s">
        <v>891</v>
      </c>
      <c r="L572" t="s">
        <v>51</v>
      </c>
      <c r="M572" t="s">
        <v>52</v>
      </c>
      <c r="N572">
        <v>142184</v>
      </c>
      <c r="O572" t="s">
        <v>53</v>
      </c>
      <c r="P572" t="s">
        <v>54</v>
      </c>
      <c r="Q572" t="s">
        <v>118</v>
      </c>
      <c r="R572" t="s">
        <v>56</v>
      </c>
      <c r="S572" t="s">
        <v>57</v>
      </c>
      <c r="T572" t="s">
        <v>73</v>
      </c>
      <c r="U572" t="s">
        <v>101</v>
      </c>
      <c r="V572">
        <v>0.48108600000000001</v>
      </c>
      <c r="W572" t="s">
        <v>53</v>
      </c>
      <c r="X572" t="s">
        <v>53</v>
      </c>
      <c r="Y572" t="s">
        <v>165</v>
      </c>
      <c r="Z572" t="str">
        <f t="shared" si="16"/>
        <v>Mayor que 60 - hasta 70</v>
      </c>
      <c r="AA572">
        <f t="shared" si="17"/>
        <v>1</v>
      </c>
      <c r="AB572">
        <v>27001</v>
      </c>
      <c r="AC572" t="s">
        <v>892</v>
      </c>
      <c r="AD572" t="s">
        <v>893</v>
      </c>
      <c r="AE572">
        <v>0</v>
      </c>
      <c r="AF572" t="s">
        <v>63</v>
      </c>
      <c r="AG572">
        <v>0</v>
      </c>
      <c r="AH572" t="s">
        <v>892</v>
      </c>
      <c r="AI572" t="s">
        <v>893</v>
      </c>
      <c r="AJ572">
        <v>0</v>
      </c>
      <c r="AK572" t="s">
        <v>63</v>
      </c>
      <c r="AL572">
        <v>0</v>
      </c>
      <c r="AM572" s="4" t="e">
        <v>#N/A</v>
      </c>
      <c r="AN572" s="5" t="e">
        <v>#N/A</v>
      </c>
      <c r="AO572" s="4" t="e">
        <v>#N/A</v>
      </c>
      <c r="AP572" s="6" t="e">
        <v>#N/A</v>
      </c>
      <c r="AQ572">
        <v>2</v>
      </c>
      <c r="AR572">
        <v>36.918574</v>
      </c>
      <c r="AS572" t="s">
        <v>66</v>
      </c>
      <c r="AT572" t="s">
        <v>53</v>
      </c>
    </row>
    <row r="573" spans="1:46">
      <c r="A573">
        <v>406</v>
      </c>
      <c r="B573" t="s">
        <v>46</v>
      </c>
      <c r="C573">
        <v>27</v>
      </c>
      <c r="D573">
        <v>6</v>
      </c>
      <c r="E573" t="s">
        <v>894</v>
      </c>
      <c r="F573" t="s">
        <v>889</v>
      </c>
      <c r="G573">
        <v>27006</v>
      </c>
      <c r="H573">
        <v>27006</v>
      </c>
      <c r="I573" t="s">
        <v>890</v>
      </c>
      <c r="J573">
        <v>2702</v>
      </c>
      <c r="K573" t="s">
        <v>895</v>
      </c>
      <c r="L573" t="s">
        <v>69</v>
      </c>
      <c r="M573" t="s">
        <v>53</v>
      </c>
      <c r="N573">
        <v>15604</v>
      </c>
      <c r="O573" t="s">
        <v>53</v>
      </c>
      <c r="P573" t="s">
        <v>70</v>
      </c>
      <c r="Q573" t="s">
        <v>71</v>
      </c>
      <c r="R573" t="s">
        <v>122</v>
      </c>
      <c r="S573" t="s">
        <v>220</v>
      </c>
      <c r="T573" t="s">
        <v>73</v>
      </c>
      <c r="U573" t="s">
        <v>119</v>
      </c>
      <c r="V573">
        <v>0.74917100000000003</v>
      </c>
      <c r="W573" t="s">
        <v>53</v>
      </c>
      <c r="X573" t="s">
        <v>53</v>
      </c>
      <c r="Y573" t="s">
        <v>82</v>
      </c>
      <c r="Z573" t="str">
        <f t="shared" si="16"/>
        <v>Mayor que 15 - hasta 20</v>
      </c>
      <c r="AA573">
        <f t="shared" si="17"/>
        <v>1</v>
      </c>
      <c r="AB573" t="e">
        <v>#N/A</v>
      </c>
      <c r="AC573" t="e">
        <v>#N/A</v>
      </c>
      <c r="AD573" t="e">
        <v>#N/A</v>
      </c>
      <c r="AE573">
        <v>0</v>
      </c>
      <c r="AF573" t="s">
        <v>211</v>
      </c>
      <c r="AG573">
        <v>0</v>
      </c>
      <c r="AH573" t="e">
        <v>#N/A</v>
      </c>
      <c r="AI573" t="e">
        <v>#N/A</v>
      </c>
      <c r="AJ573">
        <v>0</v>
      </c>
      <c r="AK573" t="s">
        <v>211</v>
      </c>
      <c r="AL573">
        <v>0</v>
      </c>
      <c r="AM573" s="4" t="s">
        <v>97</v>
      </c>
      <c r="AN573" s="5">
        <v>19598.50065505111</v>
      </c>
      <c r="AO573" s="4" t="s">
        <v>65</v>
      </c>
      <c r="AP573" s="6">
        <v>375</v>
      </c>
      <c r="AQ573">
        <v>1</v>
      </c>
      <c r="AR573">
        <v>13219.274002</v>
      </c>
      <c r="AS573" t="s">
        <v>66</v>
      </c>
      <c r="AT573" t="s">
        <v>53</v>
      </c>
    </row>
    <row r="574" spans="1:46">
      <c r="A574">
        <v>407</v>
      </c>
      <c r="B574" t="s">
        <v>46</v>
      </c>
      <c r="C574">
        <v>27</v>
      </c>
      <c r="D574">
        <v>25</v>
      </c>
      <c r="E574" t="s">
        <v>896</v>
      </c>
      <c r="F574" t="s">
        <v>889</v>
      </c>
      <c r="G574">
        <v>27025</v>
      </c>
      <c r="H574">
        <v>27025</v>
      </c>
      <c r="I574" t="s">
        <v>890</v>
      </c>
      <c r="J574">
        <v>2704</v>
      </c>
      <c r="K574" t="s">
        <v>897</v>
      </c>
      <c r="L574" t="s">
        <v>80</v>
      </c>
      <c r="M574" t="s">
        <v>53</v>
      </c>
      <c r="N574">
        <v>30748</v>
      </c>
      <c r="O574" t="s">
        <v>53</v>
      </c>
      <c r="P574" t="s">
        <v>92</v>
      </c>
      <c r="Q574" t="s">
        <v>71</v>
      </c>
      <c r="R574" t="s">
        <v>122</v>
      </c>
      <c r="S574" t="s">
        <v>57</v>
      </c>
      <c r="T574" t="s">
        <v>58</v>
      </c>
      <c r="U574" t="s">
        <v>101</v>
      </c>
      <c r="V574">
        <v>0.33333299999999999</v>
      </c>
      <c r="W574" t="s">
        <v>53</v>
      </c>
      <c r="X574" t="s">
        <v>53</v>
      </c>
      <c r="Y574" t="s">
        <v>277</v>
      </c>
      <c r="Z574" t="str">
        <f t="shared" si="16"/>
        <v>Mayor que 10 - hasta 15</v>
      </c>
      <c r="AA574">
        <f t="shared" si="17"/>
        <v>1</v>
      </c>
      <c r="AB574">
        <v>27025</v>
      </c>
      <c r="AC574" t="s">
        <v>892</v>
      </c>
      <c r="AD574" t="s">
        <v>893</v>
      </c>
      <c r="AE574">
        <v>7.726146</v>
      </c>
      <c r="AF574" t="s">
        <v>211</v>
      </c>
      <c r="AG574">
        <v>75.543564000000003</v>
      </c>
      <c r="AH574" t="s">
        <v>892</v>
      </c>
      <c r="AI574" t="s">
        <v>893</v>
      </c>
      <c r="AJ574">
        <v>7.2746940000000002</v>
      </c>
      <c r="AK574" t="s">
        <v>221</v>
      </c>
      <c r="AL574">
        <v>72.046508000000003</v>
      </c>
      <c r="AM574" s="4" t="e">
        <v>#N/A</v>
      </c>
      <c r="AN574" s="5" t="e">
        <v>#N/A</v>
      </c>
      <c r="AO574" s="4" t="e">
        <v>#N/A</v>
      </c>
      <c r="AP574" s="6" t="e">
        <v>#N/A</v>
      </c>
      <c r="AQ574">
        <v>4</v>
      </c>
      <c r="AR574">
        <v>1769.810395</v>
      </c>
      <c r="AS574" t="s">
        <v>66</v>
      </c>
      <c r="AT574" t="s">
        <v>53</v>
      </c>
    </row>
    <row r="575" spans="1:46">
      <c r="A575">
        <v>408</v>
      </c>
      <c r="B575" t="s">
        <v>46</v>
      </c>
      <c r="C575">
        <v>27</v>
      </c>
      <c r="D575">
        <v>50</v>
      </c>
      <c r="E575" t="s">
        <v>891</v>
      </c>
      <c r="F575" t="s">
        <v>889</v>
      </c>
      <c r="G575">
        <v>27050</v>
      </c>
      <c r="H575">
        <v>27050</v>
      </c>
      <c r="I575" t="s">
        <v>890</v>
      </c>
      <c r="J575">
        <v>2701</v>
      </c>
      <c r="K575" t="s">
        <v>891</v>
      </c>
      <c r="L575" t="s">
        <v>69</v>
      </c>
      <c r="M575" t="s">
        <v>53</v>
      </c>
      <c r="N575">
        <v>6724</v>
      </c>
      <c r="O575" t="s">
        <v>53</v>
      </c>
      <c r="P575" t="s">
        <v>70</v>
      </c>
      <c r="Q575" t="s">
        <v>71</v>
      </c>
      <c r="R575" t="s">
        <v>72</v>
      </c>
      <c r="S575" t="s">
        <v>57</v>
      </c>
      <c r="T575" t="s">
        <v>58</v>
      </c>
      <c r="U575" t="s">
        <v>101</v>
      </c>
      <c r="V575">
        <v>8.7378999999999998E-2</v>
      </c>
      <c r="W575" t="s">
        <v>53</v>
      </c>
      <c r="X575" t="s">
        <v>53</v>
      </c>
      <c r="Y575" t="s">
        <v>596</v>
      </c>
      <c r="Z575" t="str">
        <f t="shared" si="16"/>
        <v>Mayor que 8 - hasta 10</v>
      </c>
      <c r="AA575">
        <f t="shared" si="17"/>
        <v>1</v>
      </c>
      <c r="AB575">
        <v>27050</v>
      </c>
      <c r="AC575" t="s">
        <v>892</v>
      </c>
      <c r="AD575" t="s">
        <v>893</v>
      </c>
      <c r="AE575">
        <v>0.84321999999999997</v>
      </c>
      <c r="AF575" t="s">
        <v>63</v>
      </c>
      <c r="AG575">
        <v>24.603657999999999</v>
      </c>
      <c r="AH575" t="s">
        <v>892</v>
      </c>
      <c r="AI575" t="s">
        <v>893</v>
      </c>
      <c r="AJ575">
        <v>0.56929700000000005</v>
      </c>
      <c r="AK575" t="s">
        <v>63</v>
      </c>
      <c r="AL575">
        <v>23.862237</v>
      </c>
      <c r="AM575" s="4" t="e">
        <v>#N/A</v>
      </c>
      <c r="AN575" s="5" t="e">
        <v>#N/A</v>
      </c>
      <c r="AO575" s="4" t="e">
        <v>#N/A</v>
      </c>
      <c r="AP575" s="6" t="e">
        <v>#N/A</v>
      </c>
      <c r="AQ575">
        <v>2</v>
      </c>
      <c r="AR575">
        <v>41.691259000000002</v>
      </c>
      <c r="AS575" t="s">
        <v>66</v>
      </c>
      <c r="AT575" t="s">
        <v>53</v>
      </c>
    </row>
    <row r="576" spans="1:46">
      <c r="A576">
        <v>409</v>
      </c>
      <c r="B576" t="s">
        <v>46</v>
      </c>
      <c r="C576">
        <v>27</v>
      </c>
      <c r="D576">
        <v>73</v>
      </c>
      <c r="E576" t="s">
        <v>898</v>
      </c>
      <c r="F576" t="s">
        <v>889</v>
      </c>
      <c r="G576">
        <v>27073</v>
      </c>
      <c r="H576">
        <v>27073</v>
      </c>
      <c r="I576" t="s">
        <v>890</v>
      </c>
      <c r="J576">
        <v>2701</v>
      </c>
      <c r="K576" t="s">
        <v>891</v>
      </c>
      <c r="L576" t="s">
        <v>80</v>
      </c>
      <c r="M576" t="s">
        <v>53</v>
      </c>
      <c r="N576">
        <v>11704</v>
      </c>
      <c r="O576" t="s">
        <v>53</v>
      </c>
      <c r="P576" t="s">
        <v>70</v>
      </c>
      <c r="Q576" t="s">
        <v>71</v>
      </c>
      <c r="R576" t="s">
        <v>93</v>
      </c>
      <c r="S576" t="s">
        <v>57</v>
      </c>
      <c r="T576" t="s">
        <v>73</v>
      </c>
      <c r="U576" t="s">
        <v>115</v>
      </c>
      <c r="V576">
        <v>0.85897400000000002</v>
      </c>
      <c r="W576" t="s">
        <v>53</v>
      </c>
      <c r="X576" t="s">
        <v>53</v>
      </c>
      <c r="Y576" t="s">
        <v>899</v>
      </c>
      <c r="Z576" t="str">
        <f t="shared" si="16"/>
        <v>Mayor que 5 - hasta 8</v>
      </c>
      <c r="AA576">
        <f t="shared" si="17"/>
        <v>1</v>
      </c>
      <c r="AB576">
        <v>27073</v>
      </c>
      <c r="AC576" t="s">
        <v>892</v>
      </c>
      <c r="AD576" t="s">
        <v>893</v>
      </c>
      <c r="AE576">
        <v>2.3298390000000002</v>
      </c>
      <c r="AF576" t="s">
        <v>77</v>
      </c>
      <c r="AG576">
        <v>70.965389999999999</v>
      </c>
      <c r="AH576" t="s">
        <v>892</v>
      </c>
      <c r="AI576" t="s">
        <v>893</v>
      </c>
      <c r="AJ576">
        <v>2.0559159999999999</v>
      </c>
      <c r="AK576" t="s">
        <v>77</v>
      </c>
      <c r="AL576">
        <v>70.223967999999999</v>
      </c>
      <c r="AM576" s="4" t="e">
        <v>#N/A</v>
      </c>
      <c r="AN576" s="5" t="e">
        <v>#N/A</v>
      </c>
      <c r="AO576" s="4" t="e">
        <v>#N/A</v>
      </c>
      <c r="AP576" s="6" t="e">
        <v>#N/A</v>
      </c>
      <c r="AQ576">
        <v>4</v>
      </c>
      <c r="AR576">
        <v>1486.4433329999999</v>
      </c>
      <c r="AS576" t="s">
        <v>66</v>
      </c>
      <c r="AT576" t="s">
        <v>53</v>
      </c>
    </row>
    <row r="577" spans="1:46">
      <c r="A577">
        <v>410</v>
      </c>
      <c r="B577" t="s">
        <v>46</v>
      </c>
      <c r="C577">
        <v>27</v>
      </c>
      <c r="D577">
        <v>75</v>
      </c>
      <c r="E577" t="s">
        <v>900</v>
      </c>
      <c r="F577" t="s">
        <v>889</v>
      </c>
      <c r="G577">
        <v>27075</v>
      </c>
      <c r="H577">
        <v>27075</v>
      </c>
      <c r="I577" t="s">
        <v>890</v>
      </c>
      <c r="J577">
        <v>2703</v>
      </c>
      <c r="K577" t="s">
        <v>901</v>
      </c>
      <c r="L577" t="s">
        <v>80</v>
      </c>
      <c r="M577" t="s">
        <v>53</v>
      </c>
      <c r="N577">
        <v>11291</v>
      </c>
      <c r="O577" t="s">
        <v>53</v>
      </c>
      <c r="P577" t="s">
        <v>70</v>
      </c>
      <c r="Q577" t="s">
        <v>71</v>
      </c>
      <c r="R577" t="s">
        <v>93</v>
      </c>
      <c r="S577" t="s">
        <v>57</v>
      </c>
      <c r="T577" t="s">
        <v>58</v>
      </c>
      <c r="U577" t="s">
        <v>119</v>
      </c>
      <c r="V577">
        <v>0.63203900000000002</v>
      </c>
      <c r="W577" t="s">
        <v>53</v>
      </c>
      <c r="X577" t="s">
        <v>53</v>
      </c>
      <c r="Y577" t="s">
        <v>116</v>
      </c>
      <c r="Z577" t="str">
        <f t="shared" si="16"/>
        <v>Mayor que 30 - hasta 40</v>
      </c>
      <c r="AA577">
        <f t="shared" si="17"/>
        <v>1</v>
      </c>
      <c r="AB577" t="e">
        <v>#N/A</v>
      </c>
      <c r="AC577" t="e">
        <v>#N/A</v>
      </c>
      <c r="AD577" t="e">
        <v>#N/A</v>
      </c>
      <c r="AE577">
        <v>0</v>
      </c>
      <c r="AF577" t="s">
        <v>211</v>
      </c>
      <c r="AG577">
        <v>0</v>
      </c>
      <c r="AH577" t="e">
        <v>#N/A</v>
      </c>
      <c r="AI577" t="e">
        <v>#N/A</v>
      </c>
      <c r="AJ577">
        <v>0</v>
      </c>
      <c r="AK577" t="s">
        <v>211</v>
      </c>
      <c r="AL577">
        <v>0</v>
      </c>
      <c r="AM577" s="4" t="e">
        <v>#N/A</v>
      </c>
      <c r="AN577" s="5" t="e">
        <v>#N/A</v>
      </c>
      <c r="AO577" s="4" t="e">
        <v>#N/A</v>
      </c>
      <c r="AP577" s="6" t="e">
        <v>#N/A</v>
      </c>
      <c r="AQ577">
        <v>3</v>
      </c>
      <c r="AR577">
        <v>1743.622294</v>
      </c>
      <c r="AS577" t="s">
        <v>66</v>
      </c>
      <c r="AT577" t="s">
        <v>53</v>
      </c>
    </row>
    <row r="578" spans="1:46">
      <c r="A578">
        <v>411</v>
      </c>
      <c r="B578" t="s">
        <v>46</v>
      </c>
      <c r="C578">
        <v>27</v>
      </c>
      <c r="D578">
        <v>77</v>
      </c>
      <c r="E578" t="s">
        <v>902</v>
      </c>
      <c r="F578" t="s">
        <v>889</v>
      </c>
      <c r="G578">
        <v>27077</v>
      </c>
      <c r="H578">
        <v>27077</v>
      </c>
      <c r="I578" t="s">
        <v>890</v>
      </c>
      <c r="J578">
        <v>2704</v>
      </c>
      <c r="K578" t="s">
        <v>897</v>
      </c>
      <c r="L578" t="s">
        <v>80</v>
      </c>
      <c r="M578" t="s">
        <v>53</v>
      </c>
      <c r="N578">
        <v>33373</v>
      </c>
      <c r="O578" t="s">
        <v>53</v>
      </c>
      <c r="P578" t="s">
        <v>92</v>
      </c>
      <c r="Q578" t="s">
        <v>71</v>
      </c>
      <c r="R578" t="s">
        <v>105</v>
      </c>
      <c r="S578" t="s">
        <v>57</v>
      </c>
      <c r="T578" t="s">
        <v>73</v>
      </c>
      <c r="U578" t="s">
        <v>115</v>
      </c>
      <c r="V578">
        <v>0.86824299999999999</v>
      </c>
      <c r="W578" t="s">
        <v>53</v>
      </c>
      <c r="X578" t="s">
        <v>53</v>
      </c>
      <c r="Y578" t="s">
        <v>277</v>
      </c>
      <c r="Z578" t="str">
        <f t="shared" si="16"/>
        <v>Mayor que 10 - hasta 15</v>
      </c>
      <c r="AA578">
        <f t="shared" si="17"/>
        <v>1</v>
      </c>
      <c r="AB578" t="e">
        <v>#N/A</v>
      </c>
      <c r="AC578" t="e">
        <v>#N/A</v>
      </c>
      <c r="AD578" t="e">
        <v>#N/A</v>
      </c>
      <c r="AE578">
        <v>0</v>
      </c>
      <c r="AF578" t="s">
        <v>211</v>
      </c>
      <c r="AG578">
        <v>0</v>
      </c>
      <c r="AH578" t="e">
        <v>#N/A</v>
      </c>
      <c r="AI578" t="e">
        <v>#N/A</v>
      </c>
      <c r="AJ578">
        <v>0</v>
      </c>
      <c r="AK578" t="s">
        <v>211</v>
      </c>
      <c r="AL578">
        <v>0</v>
      </c>
      <c r="AM578" s="4" t="e">
        <v>#N/A</v>
      </c>
      <c r="AN578" s="5" t="e">
        <v>#N/A</v>
      </c>
      <c r="AO578" s="4" t="e">
        <v>#N/A</v>
      </c>
      <c r="AP578" s="6" t="e">
        <v>#N/A</v>
      </c>
      <c r="AQ578">
        <v>3</v>
      </c>
      <c r="AR578">
        <v>942.23968300000001</v>
      </c>
      <c r="AS578" t="s">
        <v>66</v>
      </c>
      <c r="AT578" t="s">
        <v>53</v>
      </c>
    </row>
    <row r="579" spans="1:46">
      <c r="A579">
        <v>412</v>
      </c>
      <c r="B579" t="s">
        <v>46</v>
      </c>
      <c r="C579">
        <v>27</v>
      </c>
      <c r="D579">
        <v>99</v>
      </c>
      <c r="E579" t="s">
        <v>903</v>
      </c>
      <c r="F579" t="s">
        <v>889</v>
      </c>
      <c r="G579">
        <v>27099</v>
      </c>
      <c r="H579">
        <v>27099</v>
      </c>
      <c r="I579" t="s">
        <v>890</v>
      </c>
      <c r="J579">
        <v>2701</v>
      </c>
      <c r="K579" t="s">
        <v>891</v>
      </c>
      <c r="L579" t="s">
        <v>80</v>
      </c>
      <c r="M579" t="s">
        <v>53</v>
      </c>
      <c r="N579">
        <v>13479</v>
      </c>
      <c r="O579" t="s">
        <v>53</v>
      </c>
      <c r="P579" t="s">
        <v>70</v>
      </c>
      <c r="Q579" t="s">
        <v>71</v>
      </c>
      <c r="R579" t="s">
        <v>72</v>
      </c>
      <c r="S579" t="s">
        <v>220</v>
      </c>
      <c r="T579" t="s">
        <v>73</v>
      </c>
      <c r="U579" t="s">
        <v>101</v>
      </c>
      <c r="V579">
        <v>8.0188999999999996E-2</v>
      </c>
      <c r="W579" t="s">
        <v>53</v>
      </c>
      <c r="X579" t="s">
        <v>53</v>
      </c>
      <c r="Y579" t="s">
        <v>277</v>
      </c>
      <c r="Z579" t="str">
        <f t="shared" ref="Z579:Z642" si="18">IF(LEFT(Y579,10)="Irradiado_",
   RIGHT(Y579, LEN(Y579)-10),   Y579)</f>
        <v>Mayor que 10 - hasta 15</v>
      </c>
      <c r="AA579">
        <f t="shared" ref="AA579:AA642" si="19">IF(LEFT(Y579,10)="Irradiado_", 1, 0)</f>
        <v>1</v>
      </c>
      <c r="AB579" t="e">
        <v>#N/A</v>
      </c>
      <c r="AC579" t="e">
        <v>#N/A</v>
      </c>
      <c r="AD579" t="e">
        <v>#N/A</v>
      </c>
      <c r="AE579">
        <v>0</v>
      </c>
      <c r="AF579" t="s">
        <v>211</v>
      </c>
      <c r="AG579">
        <v>0</v>
      </c>
      <c r="AH579" t="e">
        <v>#N/A</v>
      </c>
      <c r="AI579" t="e">
        <v>#N/A</v>
      </c>
      <c r="AJ579">
        <v>0</v>
      </c>
      <c r="AK579" t="s">
        <v>211</v>
      </c>
      <c r="AL579">
        <v>0</v>
      </c>
      <c r="AM579" s="4" t="s">
        <v>65</v>
      </c>
      <c r="AN579" s="5">
        <v>120.73126826879952</v>
      </c>
      <c r="AO579" s="4" t="s">
        <v>65</v>
      </c>
      <c r="AP579" s="6">
        <v>15</v>
      </c>
      <c r="AQ579">
        <v>4</v>
      </c>
      <c r="AR579">
        <v>5639.9827370000003</v>
      </c>
      <c r="AS579" t="s">
        <v>66</v>
      </c>
      <c r="AT579" t="s">
        <v>53</v>
      </c>
    </row>
    <row r="580" spans="1:46">
      <c r="A580">
        <v>413</v>
      </c>
      <c r="B580" t="s">
        <v>46</v>
      </c>
      <c r="C580">
        <v>27</v>
      </c>
      <c r="D580">
        <v>135</v>
      </c>
      <c r="E580" t="s">
        <v>904</v>
      </c>
      <c r="F580" t="s">
        <v>889</v>
      </c>
      <c r="G580">
        <v>27135</v>
      </c>
      <c r="H580">
        <v>27135</v>
      </c>
      <c r="I580" t="s">
        <v>890</v>
      </c>
      <c r="J580">
        <v>2705</v>
      </c>
      <c r="K580" t="s">
        <v>905</v>
      </c>
      <c r="L580" t="s">
        <v>69</v>
      </c>
      <c r="M580" t="s">
        <v>53</v>
      </c>
      <c r="N580">
        <v>6783</v>
      </c>
      <c r="O580" t="s">
        <v>53</v>
      </c>
      <c r="P580" t="s">
        <v>70</v>
      </c>
      <c r="Q580" t="s">
        <v>71</v>
      </c>
      <c r="R580" t="s">
        <v>56</v>
      </c>
      <c r="S580" t="s">
        <v>57</v>
      </c>
      <c r="T580" t="s">
        <v>58</v>
      </c>
      <c r="U580" t="s">
        <v>119</v>
      </c>
      <c r="V580">
        <v>0.111111</v>
      </c>
      <c r="W580" t="s">
        <v>53</v>
      </c>
      <c r="X580" t="s">
        <v>53</v>
      </c>
      <c r="Y580" t="s">
        <v>899</v>
      </c>
      <c r="Z580" t="str">
        <f t="shared" si="18"/>
        <v>Mayor que 5 - hasta 8</v>
      </c>
      <c r="AA580">
        <f t="shared" si="19"/>
        <v>1</v>
      </c>
      <c r="AB580">
        <v>27135</v>
      </c>
      <c r="AC580" t="s">
        <v>892</v>
      </c>
      <c r="AD580" t="s">
        <v>893</v>
      </c>
      <c r="AE580">
        <v>1.9456549999999999</v>
      </c>
      <c r="AF580" t="s">
        <v>76</v>
      </c>
      <c r="AG580">
        <v>68.969553000000005</v>
      </c>
      <c r="AH580" t="s">
        <v>892</v>
      </c>
      <c r="AI580" t="s">
        <v>893</v>
      </c>
      <c r="AJ580">
        <v>1.671732</v>
      </c>
      <c r="AK580" t="s">
        <v>76</v>
      </c>
      <c r="AL580">
        <v>68.228131000000005</v>
      </c>
      <c r="AM580" s="4" t="e">
        <v>#N/A</v>
      </c>
      <c r="AN580" s="5" t="e">
        <v>#N/A</v>
      </c>
      <c r="AO580" s="4" t="e">
        <v>#N/A</v>
      </c>
      <c r="AP580" s="6" t="e">
        <v>#N/A</v>
      </c>
      <c r="AQ580">
        <v>3</v>
      </c>
      <c r="AR580">
        <v>0.91288199999999997</v>
      </c>
      <c r="AS580" t="s">
        <v>66</v>
      </c>
      <c r="AT580" t="s">
        <v>53</v>
      </c>
    </row>
    <row r="581" spans="1:46">
      <c r="A581">
        <v>414</v>
      </c>
      <c r="B581" t="s">
        <v>46</v>
      </c>
      <c r="C581">
        <v>27</v>
      </c>
      <c r="D581">
        <v>150</v>
      </c>
      <c r="E581" t="s">
        <v>906</v>
      </c>
      <c r="F581" t="s">
        <v>889</v>
      </c>
      <c r="G581">
        <v>27150</v>
      </c>
      <c r="H581">
        <v>27150</v>
      </c>
      <c r="I581" t="s">
        <v>890</v>
      </c>
      <c r="J581">
        <v>2702</v>
      </c>
      <c r="K581" t="s">
        <v>895</v>
      </c>
      <c r="L581" t="s">
        <v>80</v>
      </c>
      <c r="M581" t="s">
        <v>53</v>
      </c>
      <c r="N581">
        <v>21814</v>
      </c>
      <c r="O581" t="s">
        <v>53</v>
      </c>
      <c r="P581" t="s">
        <v>70</v>
      </c>
      <c r="Q581" t="s">
        <v>71</v>
      </c>
      <c r="R581" t="s">
        <v>105</v>
      </c>
      <c r="S581" t="s">
        <v>220</v>
      </c>
      <c r="T581" t="s">
        <v>73</v>
      </c>
      <c r="U581" t="s">
        <v>101</v>
      </c>
      <c r="V581">
        <v>0.60784300000000002</v>
      </c>
      <c r="W581" t="s">
        <v>53</v>
      </c>
      <c r="X581" t="s">
        <v>53</v>
      </c>
      <c r="Y581" t="s">
        <v>82</v>
      </c>
      <c r="Z581" t="str">
        <f t="shared" si="18"/>
        <v>Mayor que 15 - hasta 20</v>
      </c>
      <c r="AA581">
        <f t="shared" si="19"/>
        <v>1</v>
      </c>
      <c r="AB581">
        <v>27150</v>
      </c>
      <c r="AC581" t="s">
        <v>61</v>
      </c>
      <c r="AD581" t="s">
        <v>171</v>
      </c>
      <c r="AE581">
        <v>2.697082</v>
      </c>
      <c r="AF581" t="s">
        <v>77</v>
      </c>
      <c r="AG581">
        <v>103.221739</v>
      </c>
      <c r="AH581" t="s">
        <v>129</v>
      </c>
      <c r="AI581" t="s">
        <v>130</v>
      </c>
      <c r="AJ581">
        <v>7.5118499999999999</v>
      </c>
      <c r="AK581" t="s">
        <v>221</v>
      </c>
      <c r="AL581">
        <v>355.33922799999999</v>
      </c>
      <c r="AM581" s="4" t="e">
        <v>#N/A</v>
      </c>
      <c r="AN581" s="5" t="e">
        <v>#N/A</v>
      </c>
      <c r="AO581" s="4" t="e">
        <v>#N/A</v>
      </c>
      <c r="AP581" s="6" t="e">
        <v>#N/A</v>
      </c>
      <c r="AQ581">
        <v>2</v>
      </c>
      <c r="AR581">
        <v>3.6900000000000001E-3</v>
      </c>
      <c r="AS581" t="s">
        <v>66</v>
      </c>
      <c r="AT581" t="s">
        <v>53</v>
      </c>
    </row>
    <row r="582" spans="1:46">
      <c r="A582">
        <v>415</v>
      </c>
      <c r="B582" t="s">
        <v>46</v>
      </c>
      <c r="C582">
        <v>27</v>
      </c>
      <c r="D582">
        <v>160</v>
      </c>
      <c r="E582" t="s">
        <v>907</v>
      </c>
      <c r="F582" t="s">
        <v>889</v>
      </c>
      <c r="G582">
        <v>27160</v>
      </c>
      <c r="H582">
        <v>27160</v>
      </c>
      <c r="I582" t="s">
        <v>890</v>
      </c>
      <c r="J582">
        <v>2705</v>
      </c>
      <c r="K582" t="s">
        <v>905</v>
      </c>
      <c r="L582" t="s">
        <v>69</v>
      </c>
      <c r="M582" t="s">
        <v>53</v>
      </c>
      <c r="N582">
        <v>6088</v>
      </c>
      <c r="O582" t="s">
        <v>53</v>
      </c>
      <c r="P582" t="s">
        <v>70</v>
      </c>
      <c r="Q582" t="s">
        <v>71</v>
      </c>
      <c r="R582" t="s">
        <v>56</v>
      </c>
      <c r="S582" t="s">
        <v>57</v>
      </c>
      <c r="T582" t="s">
        <v>58</v>
      </c>
      <c r="U582" t="s">
        <v>119</v>
      </c>
      <c r="V582">
        <v>0</v>
      </c>
      <c r="W582" t="s">
        <v>53</v>
      </c>
      <c r="X582" t="s">
        <v>53</v>
      </c>
      <c r="Y582" t="s">
        <v>899</v>
      </c>
      <c r="Z582" t="str">
        <f t="shared" si="18"/>
        <v>Mayor que 5 - hasta 8</v>
      </c>
      <c r="AA582">
        <f t="shared" si="19"/>
        <v>1</v>
      </c>
      <c r="AB582">
        <v>27160</v>
      </c>
      <c r="AC582" t="s">
        <v>892</v>
      </c>
      <c r="AD582" t="s">
        <v>893</v>
      </c>
      <c r="AE582">
        <v>1.3643050000000001</v>
      </c>
      <c r="AF582" t="s">
        <v>76</v>
      </c>
      <c r="AG582">
        <v>46.220309999999998</v>
      </c>
      <c r="AH582" t="s">
        <v>892</v>
      </c>
      <c r="AI582" t="s">
        <v>893</v>
      </c>
      <c r="AJ582">
        <v>1.0903830000000001</v>
      </c>
      <c r="AK582" t="s">
        <v>76</v>
      </c>
      <c r="AL582">
        <v>45.478889000000002</v>
      </c>
      <c r="AM582" s="4" t="e">
        <v>#N/A</v>
      </c>
      <c r="AN582" s="5" t="e">
        <v>#N/A</v>
      </c>
      <c r="AO582" s="4" t="e">
        <v>#N/A</v>
      </c>
      <c r="AP582" s="6" t="e">
        <v>#N/A</v>
      </c>
      <c r="AQ582">
        <v>3</v>
      </c>
      <c r="AR582">
        <v>40.084333999999998</v>
      </c>
      <c r="AS582" t="s">
        <v>66</v>
      </c>
      <c r="AT582" t="s">
        <v>53</v>
      </c>
    </row>
    <row r="583" spans="1:46">
      <c r="A583">
        <v>416</v>
      </c>
      <c r="B583" t="s">
        <v>46</v>
      </c>
      <c r="C583">
        <v>27</v>
      </c>
      <c r="D583">
        <v>205</v>
      </c>
      <c r="E583" t="s">
        <v>908</v>
      </c>
      <c r="F583" t="s">
        <v>889</v>
      </c>
      <c r="G583">
        <v>27205</v>
      </c>
      <c r="H583">
        <v>27205</v>
      </c>
      <c r="I583" t="s">
        <v>890</v>
      </c>
      <c r="J583">
        <v>2705</v>
      </c>
      <c r="K583" t="s">
        <v>905</v>
      </c>
      <c r="L583" t="s">
        <v>69</v>
      </c>
      <c r="M583" t="s">
        <v>53</v>
      </c>
      <c r="N583">
        <v>13652</v>
      </c>
      <c r="O583" t="s">
        <v>53</v>
      </c>
      <c r="P583" t="s">
        <v>70</v>
      </c>
      <c r="Q583" t="s">
        <v>71</v>
      </c>
      <c r="R583" t="s">
        <v>249</v>
      </c>
      <c r="S583" t="s">
        <v>220</v>
      </c>
      <c r="T583" t="s">
        <v>73</v>
      </c>
      <c r="U583" t="s">
        <v>119</v>
      </c>
      <c r="V583">
        <v>0</v>
      </c>
      <c r="W583" t="s">
        <v>53</v>
      </c>
      <c r="X583" t="s">
        <v>53</v>
      </c>
      <c r="Y583" t="s">
        <v>899</v>
      </c>
      <c r="Z583" t="str">
        <f t="shared" si="18"/>
        <v>Mayor que 5 - hasta 8</v>
      </c>
      <c r="AA583">
        <f t="shared" si="19"/>
        <v>1</v>
      </c>
      <c r="AB583">
        <v>27205</v>
      </c>
      <c r="AC583" t="s">
        <v>892</v>
      </c>
      <c r="AD583" t="s">
        <v>893</v>
      </c>
      <c r="AE583">
        <v>2.197578</v>
      </c>
      <c r="AF583" t="s">
        <v>77</v>
      </c>
      <c r="AG583">
        <v>83.332294000000005</v>
      </c>
      <c r="AH583" t="s">
        <v>892</v>
      </c>
      <c r="AI583" t="s">
        <v>893</v>
      </c>
      <c r="AJ583">
        <v>1.9236549999999999</v>
      </c>
      <c r="AK583" t="s">
        <v>76</v>
      </c>
      <c r="AL583">
        <v>82.590873000000002</v>
      </c>
      <c r="AM583" s="4" t="s">
        <v>97</v>
      </c>
      <c r="AN583" s="5">
        <v>572.70698889913626</v>
      </c>
      <c r="AO583" s="4" t="s">
        <v>65</v>
      </c>
      <c r="AP583" s="6">
        <v>2</v>
      </c>
      <c r="AQ583">
        <v>3</v>
      </c>
      <c r="AR583">
        <v>640.70550900000001</v>
      </c>
      <c r="AS583" t="s">
        <v>66</v>
      </c>
      <c r="AT583" t="s">
        <v>53</v>
      </c>
    </row>
    <row r="584" spans="1:46">
      <c r="A584">
        <v>417</v>
      </c>
      <c r="B584" t="s">
        <v>46</v>
      </c>
      <c r="C584">
        <v>27</v>
      </c>
      <c r="D584">
        <v>245</v>
      </c>
      <c r="E584" t="s">
        <v>909</v>
      </c>
      <c r="F584" t="s">
        <v>889</v>
      </c>
      <c r="G584">
        <v>27245</v>
      </c>
      <c r="H584">
        <v>27245</v>
      </c>
      <c r="I584" t="s">
        <v>890</v>
      </c>
      <c r="J584">
        <v>2701</v>
      </c>
      <c r="K584" t="s">
        <v>891</v>
      </c>
      <c r="L584" t="s">
        <v>69</v>
      </c>
      <c r="M584" t="s">
        <v>53</v>
      </c>
      <c r="N584">
        <v>9121</v>
      </c>
      <c r="O584" t="s">
        <v>53</v>
      </c>
      <c r="P584" t="s">
        <v>70</v>
      </c>
      <c r="Q584" t="s">
        <v>71</v>
      </c>
      <c r="R584" t="s">
        <v>72</v>
      </c>
      <c r="S584" t="s">
        <v>57</v>
      </c>
      <c r="T584" t="s">
        <v>73</v>
      </c>
      <c r="U584" t="s">
        <v>101</v>
      </c>
      <c r="V584">
        <v>0.80774500000000005</v>
      </c>
      <c r="W584" t="s">
        <v>53</v>
      </c>
      <c r="X584" t="s">
        <v>53</v>
      </c>
      <c r="Y584" t="s">
        <v>102</v>
      </c>
      <c r="Z584" t="str">
        <f t="shared" si="18"/>
        <v>Mayor que 20 - hasta 30</v>
      </c>
      <c r="AA584">
        <f t="shared" si="19"/>
        <v>1</v>
      </c>
      <c r="AB584">
        <v>27245</v>
      </c>
      <c r="AC584" t="s">
        <v>892</v>
      </c>
      <c r="AD584" t="s">
        <v>893</v>
      </c>
      <c r="AE584">
        <v>2.4934560000000001</v>
      </c>
      <c r="AF584" t="s">
        <v>77</v>
      </c>
      <c r="AG584">
        <v>89.179097999999996</v>
      </c>
      <c r="AH584" t="s">
        <v>892</v>
      </c>
      <c r="AI584" t="s">
        <v>893</v>
      </c>
      <c r="AJ584">
        <v>2.2578149999999999</v>
      </c>
      <c r="AK584" t="s">
        <v>77</v>
      </c>
      <c r="AL584">
        <v>90.544782999999995</v>
      </c>
      <c r="AM584" s="4" t="s">
        <v>97</v>
      </c>
      <c r="AN584" s="5">
        <v>316.45669332363877</v>
      </c>
      <c r="AO584" s="4" t="s">
        <v>64</v>
      </c>
      <c r="AP584" s="6">
        <v>1</v>
      </c>
      <c r="AQ584">
        <v>4</v>
      </c>
      <c r="AR584">
        <v>577.45549700000004</v>
      </c>
      <c r="AS584" t="s">
        <v>66</v>
      </c>
      <c r="AT584" t="s">
        <v>53</v>
      </c>
    </row>
    <row r="585" spans="1:46">
      <c r="A585">
        <v>418</v>
      </c>
      <c r="B585" t="s">
        <v>46</v>
      </c>
      <c r="C585">
        <v>27</v>
      </c>
      <c r="D585">
        <v>250</v>
      </c>
      <c r="E585" t="s">
        <v>910</v>
      </c>
      <c r="F585" t="s">
        <v>889</v>
      </c>
      <c r="G585">
        <v>27250</v>
      </c>
      <c r="H585">
        <v>27250</v>
      </c>
      <c r="I585" t="s">
        <v>890</v>
      </c>
      <c r="J585">
        <v>2704</v>
      </c>
      <c r="K585" t="s">
        <v>897</v>
      </c>
      <c r="L585" t="s">
        <v>80</v>
      </c>
      <c r="M585" t="s">
        <v>53</v>
      </c>
      <c r="N585">
        <v>24967</v>
      </c>
      <c r="O585" t="s">
        <v>53</v>
      </c>
      <c r="P585" t="s">
        <v>70</v>
      </c>
      <c r="Q585" t="s">
        <v>71</v>
      </c>
      <c r="R585" t="s">
        <v>56</v>
      </c>
      <c r="S585" t="s">
        <v>220</v>
      </c>
      <c r="T585" t="s">
        <v>73</v>
      </c>
      <c r="U585" t="s">
        <v>101</v>
      </c>
      <c r="V585">
        <v>0.65</v>
      </c>
      <c r="W585" t="s">
        <v>53</v>
      </c>
      <c r="X585" t="s">
        <v>53</v>
      </c>
      <c r="Y585" t="s">
        <v>277</v>
      </c>
      <c r="Z585" t="str">
        <f t="shared" si="18"/>
        <v>Mayor que 10 - hasta 15</v>
      </c>
      <c r="AA585">
        <f t="shared" si="19"/>
        <v>1</v>
      </c>
      <c r="AB585">
        <v>27250</v>
      </c>
      <c r="AC585" t="s">
        <v>619</v>
      </c>
      <c r="AD585" t="s">
        <v>911</v>
      </c>
      <c r="AE585">
        <v>5.9785149999999998</v>
      </c>
      <c r="AF585" t="s">
        <v>211</v>
      </c>
      <c r="AG585">
        <v>95.448947000000004</v>
      </c>
      <c r="AH585" t="s">
        <v>619</v>
      </c>
      <c r="AI585" t="s">
        <v>620</v>
      </c>
      <c r="AJ585">
        <v>10.681070999999999</v>
      </c>
      <c r="AK585" t="s">
        <v>221</v>
      </c>
      <c r="AL585">
        <v>214.04419200000001</v>
      </c>
      <c r="AM585" s="4" t="e">
        <v>#N/A</v>
      </c>
      <c r="AN585" s="5" t="e">
        <v>#N/A</v>
      </c>
      <c r="AO585" s="4" t="e">
        <v>#N/A</v>
      </c>
      <c r="AP585" s="6" t="e">
        <v>#N/A</v>
      </c>
      <c r="AQ585">
        <v>2</v>
      </c>
      <c r="AR585">
        <v>716.13036399999999</v>
      </c>
      <c r="AS585" t="s">
        <v>66</v>
      </c>
      <c r="AT585" t="s">
        <v>53</v>
      </c>
    </row>
    <row r="586" spans="1:46">
      <c r="A586">
        <v>419</v>
      </c>
      <c r="B586" t="s">
        <v>46</v>
      </c>
      <c r="C586">
        <v>27</v>
      </c>
      <c r="D586">
        <v>361</v>
      </c>
      <c r="E586" t="s">
        <v>912</v>
      </c>
      <c r="F586" t="s">
        <v>889</v>
      </c>
      <c r="G586">
        <v>27361</v>
      </c>
      <c r="H586">
        <v>27361</v>
      </c>
      <c r="I586" t="s">
        <v>890</v>
      </c>
      <c r="J586">
        <v>2705</v>
      </c>
      <c r="K586" t="s">
        <v>905</v>
      </c>
      <c r="L586" t="s">
        <v>69</v>
      </c>
      <c r="M586" t="s">
        <v>53</v>
      </c>
      <c r="N586">
        <v>33188</v>
      </c>
      <c r="O586" t="s">
        <v>53</v>
      </c>
      <c r="P586" t="s">
        <v>92</v>
      </c>
      <c r="Q586" t="s">
        <v>71</v>
      </c>
      <c r="R586" t="s">
        <v>122</v>
      </c>
      <c r="S586" t="s">
        <v>220</v>
      </c>
      <c r="T586" t="s">
        <v>73</v>
      </c>
      <c r="U586" t="s">
        <v>101</v>
      </c>
      <c r="V586">
        <v>0.468864</v>
      </c>
      <c r="W586" t="s">
        <v>53</v>
      </c>
      <c r="X586" t="s">
        <v>53</v>
      </c>
      <c r="Y586" t="s">
        <v>277</v>
      </c>
      <c r="Z586" t="str">
        <f t="shared" si="18"/>
        <v>Mayor que 10 - hasta 15</v>
      </c>
      <c r="AA586">
        <f t="shared" si="19"/>
        <v>1</v>
      </c>
      <c r="AB586">
        <v>27361</v>
      </c>
      <c r="AC586" t="s">
        <v>892</v>
      </c>
      <c r="AD586" t="s">
        <v>893</v>
      </c>
      <c r="AE586">
        <v>2.266896</v>
      </c>
      <c r="AF586" t="s">
        <v>77</v>
      </c>
      <c r="AG586">
        <v>74.382547000000002</v>
      </c>
      <c r="AH586" t="s">
        <v>892</v>
      </c>
      <c r="AI586" t="s">
        <v>893</v>
      </c>
      <c r="AJ586">
        <v>1.9929730000000001</v>
      </c>
      <c r="AK586" t="s">
        <v>76</v>
      </c>
      <c r="AL586">
        <v>73.641125000000002</v>
      </c>
      <c r="AM586" s="4" t="s">
        <v>97</v>
      </c>
      <c r="AN586" s="5">
        <v>711.84712205524045</v>
      </c>
      <c r="AO586" s="4" t="s">
        <v>65</v>
      </c>
      <c r="AP586" s="6">
        <v>6</v>
      </c>
      <c r="AQ586">
        <v>3</v>
      </c>
      <c r="AR586">
        <v>796.952539</v>
      </c>
      <c r="AS586" t="s">
        <v>66</v>
      </c>
      <c r="AT586" t="s">
        <v>53</v>
      </c>
    </row>
    <row r="587" spans="1:46">
      <c r="A587">
        <v>420</v>
      </c>
      <c r="B587" t="s">
        <v>46</v>
      </c>
      <c r="C587">
        <v>27</v>
      </c>
      <c r="D587">
        <v>372</v>
      </c>
      <c r="E587" t="s">
        <v>913</v>
      </c>
      <c r="F587" t="s">
        <v>889</v>
      </c>
      <c r="G587">
        <v>27372</v>
      </c>
      <c r="H587">
        <v>27372</v>
      </c>
      <c r="I587" t="s">
        <v>890</v>
      </c>
      <c r="J587">
        <v>2703</v>
      </c>
      <c r="K587" t="s">
        <v>901</v>
      </c>
      <c r="L587" t="s">
        <v>80</v>
      </c>
      <c r="M587" t="s">
        <v>53</v>
      </c>
      <c r="N587">
        <v>7408</v>
      </c>
      <c r="O587" t="s">
        <v>53</v>
      </c>
      <c r="P587" t="s">
        <v>70</v>
      </c>
      <c r="Q587" t="s">
        <v>71</v>
      </c>
      <c r="R587" t="s">
        <v>105</v>
      </c>
      <c r="S587" t="s">
        <v>57</v>
      </c>
      <c r="T587" t="s">
        <v>58</v>
      </c>
      <c r="U587" t="s">
        <v>101</v>
      </c>
      <c r="V587">
        <v>0.82285699999999995</v>
      </c>
      <c r="W587" t="s">
        <v>53</v>
      </c>
      <c r="X587" t="s">
        <v>53</v>
      </c>
      <c r="Y587" t="s">
        <v>277</v>
      </c>
      <c r="Z587" t="str">
        <f t="shared" si="18"/>
        <v>Mayor que 10 - hasta 15</v>
      </c>
      <c r="AA587">
        <f t="shared" si="19"/>
        <v>1</v>
      </c>
      <c r="AB587" t="e">
        <v>#N/A</v>
      </c>
      <c r="AC587" t="e">
        <v>#N/A</v>
      </c>
      <c r="AD587" t="e">
        <v>#N/A</v>
      </c>
      <c r="AE587">
        <v>0</v>
      </c>
      <c r="AF587" t="s">
        <v>211</v>
      </c>
      <c r="AG587">
        <v>0</v>
      </c>
      <c r="AH587" t="e">
        <v>#N/A</v>
      </c>
      <c r="AI587" t="e">
        <v>#N/A</v>
      </c>
      <c r="AJ587">
        <v>0</v>
      </c>
      <c r="AK587" t="s">
        <v>211</v>
      </c>
      <c r="AL587">
        <v>0</v>
      </c>
      <c r="AM587" s="4" t="e">
        <v>#N/A</v>
      </c>
      <c r="AN587" s="5" t="e">
        <v>#N/A</v>
      </c>
      <c r="AO587" s="4" t="e">
        <v>#N/A</v>
      </c>
      <c r="AP587" s="6" t="e">
        <v>#N/A</v>
      </c>
      <c r="AQ587">
        <v>4</v>
      </c>
      <c r="AR587">
        <v>4520.5175129999998</v>
      </c>
      <c r="AS587" t="s">
        <v>66</v>
      </c>
      <c r="AT587" t="s">
        <v>53</v>
      </c>
    </row>
    <row r="588" spans="1:46">
      <c r="A588">
        <v>421</v>
      </c>
      <c r="B588" t="s">
        <v>46</v>
      </c>
      <c r="C588">
        <v>27</v>
      </c>
      <c r="D588">
        <v>413</v>
      </c>
      <c r="E588" t="s">
        <v>914</v>
      </c>
      <c r="F588" t="s">
        <v>889</v>
      </c>
      <c r="G588">
        <v>27413</v>
      </c>
      <c r="H588">
        <v>27413</v>
      </c>
      <c r="I588" t="s">
        <v>890</v>
      </c>
      <c r="J588">
        <v>2701</v>
      </c>
      <c r="K588" t="s">
        <v>891</v>
      </c>
      <c r="L588" t="s">
        <v>69</v>
      </c>
      <c r="M588" t="s">
        <v>53</v>
      </c>
      <c r="N588">
        <v>10456</v>
      </c>
      <c r="O588" t="s">
        <v>53</v>
      </c>
      <c r="P588" t="s">
        <v>70</v>
      </c>
      <c r="Q588" t="s">
        <v>71</v>
      </c>
      <c r="R588" t="s">
        <v>72</v>
      </c>
      <c r="S588" t="s">
        <v>57</v>
      </c>
      <c r="T588" t="s">
        <v>58</v>
      </c>
      <c r="U588" t="s">
        <v>101</v>
      </c>
      <c r="V588">
        <v>0.28767100000000001</v>
      </c>
      <c r="W588" t="s">
        <v>53</v>
      </c>
      <c r="X588" t="s">
        <v>53</v>
      </c>
      <c r="Y588" t="s">
        <v>596</v>
      </c>
      <c r="Z588" t="str">
        <f t="shared" si="18"/>
        <v>Mayor que 8 - hasta 10</v>
      </c>
      <c r="AA588">
        <f t="shared" si="19"/>
        <v>1</v>
      </c>
      <c r="AB588">
        <v>27413</v>
      </c>
      <c r="AC588" t="s">
        <v>892</v>
      </c>
      <c r="AD588" t="s">
        <v>893</v>
      </c>
      <c r="AE588">
        <v>1.390326</v>
      </c>
      <c r="AF588" t="s">
        <v>76</v>
      </c>
      <c r="AG588">
        <v>38.643355</v>
      </c>
      <c r="AH588" t="s">
        <v>892</v>
      </c>
      <c r="AI588" t="s">
        <v>893</v>
      </c>
      <c r="AJ588">
        <v>1.116403</v>
      </c>
      <c r="AK588" t="s">
        <v>76</v>
      </c>
      <c r="AL588">
        <v>37.901933999999997</v>
      </c>
      <c r="AM588" s="4" t="e">
        <v>#N/A</v>
      </c>
      <c r="AN588" s="5" t="e">
        <v>#N/A</v>
      </c>
      <c r="AO588" s="4" t="e">
        <v>#N/A</v>
      </c>
      <c r="AP588" s="6" t="e">
        <v>#N/A</v>
      </c>
      <c r="AQ588">
        <v>4</v>
      </c>
      <c r="AR588">
        <v>11678.834562</v>
      </c>
      <c r="AS588" t="s">
        <v>66</v>
      </c>
      <c r="AT588" t="s">
        <v>53</v>
      </c>
    </row>
    <row r="589" spans="1:46">
      <c r="A589">
        <v>422</v>
      </c>
      <c r="B589" t="s">
        <v>46</v>
      </c>
      <c r="C589">
        <v>27</v>
      </c>
      <c r="D589">
        <v>425</v>
      </c>
      <c r="E589" t="s">
        <v>915</v>
      </c>
      <c r="F589" t="s">
        <v>889</v>
      </c>
      <c r="G589">
        <v>27425</v>
      </c>
      <c r="H589">
        <v>27425</v>
      </c>
      <c r="I589" t="s">
        <v>890</v>
      </c>
      <c r="J589">
        <v>2701</v>
      </c>
      <c r="K589" t="s">
        <v>891</v>
      </c>
      <c r="L589" t="s">
        <v>80</v>
      </c>
      <c r="M589" t="s">
        <v>53</v>
      </c>
      <c r="N589">
        <v>12668</v>
      </c>
      <c r="O589" t="s">
        <v>53</v>
      </c>
      <c r="P589" t="s">
        <v>70</v>
      </c>
      <c r="Q589" t="s">
        <v>71</v>
      </c>
      <c r="R589" t="s">
        <v>122</v>
      </c>
      <c r="S589" t="s">
        <v>220</v>
      </c>
      <c r="T589" t="s">
        <v>73</v>
      </c>
      <c r="U589" t="s">
        <v>101</v>
      </c>
      <c r="V589">
        <v>0</v>
      </c>
      <c r="W589" t="s">
        <v>53</v>
      </c>
      <c r="X589" t="s">
        <v>53</v>
      </c>
      <c r="Y589" t="s">
        <v>899</v>
      </c>
      <c r="Z589" t="str">
        <f t="shared" si="18"/>
        <v>Mayor que 5 - hasta 8</v>
      </c>
      <c r="AA589">
        <f t="shared" si="19"/>
        <v>1</v>
      </c>
      <c r="AB589">
        <v>27425</v>
      </c>
      <c r="AC589" t="s">
        <v>892</v>
      </c>
      <c r="AD589" t="s">
        <v>893</v>
      </c>
      <c r="AE589">
        <v>4.9799049999999996</v>
      </c>
      <c r="AF589" t="s">
        <v>85</v>
      </c>
      <c r="AG589">
        <v>59.94285</v>
      </c>
      <c r="AH589" t="s">
        <v>892</v>
      </c>
      <c r="AI589" t="s">
        <v>893</v>
      </c>
      <c r="AJ589">
        <v>4.5375690000000004</v>
      </c>
      <c r="AK589" t="s">
        <v>85</v>
      </c>
      <c r="AL589">
        <v>56.645794000000002</v>
      </c>
      <c r="AM589" s="4" t="e">
        <v>#N/A</v>
      </c>
      <c r="AN589" s="5" t="e">
        <v>#N/A</v>
      </c>
      <c r="AO589" s="4" t="e">
        <v>#N/A</v>
      </c>
      <c r="AP589" s="6" t="e">
        <v>#N/A</v>
      </c>
      <c r="AQ589">
        <v>3</v>
      </c>
      <c r="AR589">
        <v>3.6900000000000002E-4</v>
      </c>
      <c r="AS589" t="s">
        <v>66</v>
      </c>
      <c r="AT589" t="s">
        <v>53</v>
      </c>
    </row>
    <row r="590" spans="1:46">
      <c r="A590">
        <v>423</v>
      </c>
      <c r="B590" t="s">
        <v>46</v>
      </c>
      <c r="C590">
        <v>27</v>
      </c>
      <c r="D590">
        <v>430</v>
      </c>
      <c r="E590" t="s">
        <v>916</v>
      </c>
      <c r="F590" t="s">
        <v>889</v>
      </c>
      <c r="G590">
        <v>27430</v>
      </c>
      <c r="H590">
        <v>27430</v>
      </c>
      <c r="I590" t="s">
        <v>890</v>
      </c>
      <c r="J590">
        <v>2704</v>
      </c>
      <c r="K590" t="s">
        <v>897</v>
      </c>
      <c r="L590" t="s">
        <v>80</v>
      </c>
      <c r="M590" t="s">
        <v>53</v>
      </c>
      <c r="N590">
        <v>16632</v>
      </c>
      <c r="O590" t="s">
        <v>53</v>
      </c>
      <c r="P590" t="s">
        <v>70</v>
      </c>
      <c r="Q590" t="s">
        <v>71</v>
      </c>
      <c r="R590" t="s">
        <v>105</v>
      </c>
      <c r="S590" t="s">
        <v>57</v>
      </c>
      <c r="T590" t="s">
        <v>58</v>
      </c>
      <c r="U590" t="s">
        <v>101</v>
      </c>
      <c r="V590">
        <v>7.1429000000000006E-2</v>
      </c>
      <c r="W590" t="s">
        <v>53</v>
      </c>
      <c r="X590" t="s">
        <v>53</v>
      </c>
      <c r="Y590" t="s">
        <v>899</v>
      </c>
      <c r="Z590" t="str">
        <f t="shared" si="18"/>
        <v>Mayor que 5 - hasta 8</v>
      </c>
      <c r="AA590">
        <f t="shared" si="19"/>
        <v>1</v>
      </c>
      <c r="AB590">
        <v>27430</v>
      </c>
      <c r="AC590" t="s">
        <v>892</v>
      </c>
      <c r="AD590" t="s">
        <v>893</v>
      </c>
      <c r="AE590">
        <v>10.301091</v>
      </c>
      <c r="AF590" t="s">
        <v>211</v>
      </c>
      <c r="AG590">
        <v>109.501638</v>
      </c>
      <c r="AH590" t="s">
        <v>892</v>
      </c>
      <c r="AI590" t="s">
        <v>893</v>
      </c>
      <c r="AJ590">
        <v>10.027168</v>
      </c>
      <c r="AK590" t="s">
        <v>221</v>
      </c>
      <c r="AL590">
        <v>108.760216</v>
      </c>
      <c r="AM590" s="4" t="e">
        <v>#N/A</v>
      </c>
      <c r="AN590" s="5" t="e">
        <v>#N/A</v>
      </c>
      <c r="AO590" s="4" t="e">
        <v>#N/A</v>
      </c>
      <c r="AP590" s="6" t="e">
        <v>#N/A</v>
      </c>
      <c r="AQ590">
        <v>3</v>
      </c>
      <c r="AR590">
        <v>55.694578</v>
      </c>
      <c r="AS590" t="s">
        <v>66</v>
      </c>
      <c r="AT590" t="s">
        <v>53</v>
      </c>
    </row>
    <row r="591" spans="1:46">
      <c r="A591">
        <v>424</v>
      </c>
      <c r="B591" t="s">
        <v>46</v>
      </c>
      <c r="C591">
        <v>27</v>
      </c>
      <c r="D591">
        <v>450</v>
      </c>
      <c r="E591" t="s">
        <v>917</v>
      </c>
      <c r="F591" t="s">
        <v>889</v>
      </c>
      <c r="G591">
        <v>27450</v>
      </c>
      <c r="H591">
        <v>27450</v>
      </c>
      <c r="I591" t="s">
        <v>890</v>
      </c>
      <c r="J591">
        <v>2705</v>
      </c>
      <c r="K591" t="s">
        <v>905</v>
      </c>
      <c r="L591" t="s">
        <v>69</v>
      </c>
      <c r="M591" t="s">
        <v>53</v>
      </c>
      <c r="N591">
        <v>11578</v>
      </c>
      <c r="O591" t="s">
        <v>53</v>
      </c>
      <c r="P591" t="s">
        <v>70</v>
      </c>
      <c r="Q591" t="s">
        <v>71</v>
      </c>
      <c r="R591" t="s">
        <v>93</v>
      </c>
      <c r="S591" t="s">
        <v>220</v>
      </c>
      <c r="T591" t="s">
        <v>73</v>
      </c>
      <c r="U591" t="s">
        <v>101</v>
      </c>
      <c r="V591">
        <v>0.36363600000000001</v>
      </c>
      <c r="W591" t="s">
        <v>53</v>
      </c>
      <c r="X591" t="s">
        <v>53</v>
      </c>
      <c r="Y591" t="s">
        <v>899</v>
      </c>
      <c r="Z591" t="str">
        <f t="shared" si="18"/>
        <v>Mayor que 5 - hasta 8</v>
      </c>
      <c r="AA591">
        <f t="shared" si="19"/>
        <v>1</v>
      </c>
      <c r="AB591">
        <v>27450</v>
      </c>
      <c r="AC591" t="s">
        <v>892</v>
      </c>
      <c r="AD591" t="s">
        <v>893</v>
      </c>
      <c r="AE591">
        <v>2.1581220000000001</v>
      </c>
      <c r="AF591" t="s">
        <v>77</v>
      </c>
      <c r="AG591">
        <v>81.069552999999999</v>
      </c>
      <c r="AH591" t="s">
        <v>892</v>
      </c>
      <c r="AI591" t="s">
        <v>893</v>
      </c>
      <c r="AJ591">
        <v>1.8842000000000001</v>
      </c>
      <c r="AK591" t="s">
        <v>76</v>
      </c>
      <c r="AL591">
        <v>80.328130999999999</v>
      </c>
      <c r="AM591" s="4" t="e">
        <v>#N/A</v>
      </c>
      <c r="AN591" s="5" t="e">
        <v>#N/A</v>
      </c>
      <c r="AO591" s="4" t="e">
        <v>#N/A</v>
      </c>
      <c r="AP591" s="6" t="e">
        <v>#N/A</v>
      </c>
      <c r="AQ591">
        <v>3</v>
      </c>
      <c r="AR591">
        <v>3.4159929999999998</v>
      </c>
      <c r="AS591" t="s">
        <v>66</v>
      </c>
      <c r="AT591" t="s">
        <v>53</v>
      </c>
    </row>
    <row r="592" spans="1:46">
      <c r="A592">
        <v>425</v>
      </c>
      <c r="B592" t="s">
        <v>46</v>
      </c>
      <c r="C592">
        <v>27</v>
      </c>
      <c r="D592">
        <v>491</v>
      </c>
      <c r="E592" t="s">
        <v>918</v>
      </c>
      <c r="F592" t="s">
        <v>889</v>
      </c>
      <c r="G592">
        <v>27491</v>
      </c>
      <c r="H592">
        <v>27491</v>
      </c>
      <c r="I592" t="s">
        <v>890</v>
      </c>
      <c r="J592">
        <v>2705</v>
      </c>
      <c r="K592" t="s">
        <v>905</v>
      </c>
      <c r="L592" t="s">
        <v>80</v>
      </c>
      <c r="M592" t="s">
        <v>53</v>
      </c>
      <c r="N592">
        <v>10179</v>
      </c>
      <c r="O592" t="s">
        <v>53</v>
      </c>
      <c r="P592" t="s">
        <v>70</v>
      </c>
      <c r="Q592" t="s">
        <v>71</v>
      </c>
      <c r="R592" t="s">
        <v>105</v>
      </c>
      <c r="S592" t="s">
        <v>220</v>
      </c>
      <c r="T592" t="s">
        <v>73</v>
      </c>
      <c r="U592" t="s">
        <v>115</v>
      </c>
      <c r="V592">
        <v>0.9</v>
      </c>
      <c r="W592" t="s">
        <v>53</v>
      </c>
      <c r="X592" t="s">
        <v>53</v>
      </c>
      <c r="Y592" t="s">
        <v>899</v>
      </c>
      <c r="Z592" t="str">
        <f t="shared" si="18"/>
        <v>Mayor que 5 - hasta 8</v>
      </c>
      <c r="AA592">
        <f t="shared" si="19"/>
        <v>1</v>
      </c>
      <c r="AB592">
        <v>27491</v>
      </c>
      <c r="AC592" t="s">
        <v>892</v>
      </c>
      <c r="AD592" t="s">
        <v>893</v>
      </c>
      <c r="AE592">
        <v>2.5961240000000001</v>
      </c>
      <c r="AF592" t="s">
        <v>77</v>
      </c>
      <c r="AG592">
        <v>102.158997</v>
      </c>
      <c r="AH592" t="s">
        <v>892</v>
      </c>
      <c r="AI592" t="s">
        <v>893</v>
      </c>
      <c r="AJ592">
        <v>2.3222010000000002</v>
      </c>
      <c r="AK592" t="s">
        <v>77</v>
      </c>
      <c r="AL592">
        <v>101.417576</v>
      </c>
      <c r="AM592" s="4" t="e">
        <v>#N/A</v>
      </c>
      <c r="AN592" s="5" t="e">
        <v>#N/A</v>
      </c>
      <c r="AO592" s="4" t="e">
        <v>#N/A</v>
      </c>
      <c r="AP592" s="6" t="e">
        <v>#N/A</v>
      </c>
      <c r="AQ592">
        <v>3</v>
      </c>
      <c r="AR592">
        <v>0.53601200000000004</v>
      </c>
      <c r="AS592" t="s">
        <v>66</v>
      </c>
      <c r="AT592" t="s">
        <v>53</v>
      </c>
    </row>
    <row r="593" spans="1:46">
      <c r="A593">
        <v>426</v>
      </c>
      <c r="B593" t="s">
        <v>46</v>
      </c>
      <c r="C593">
        <v>27</v>
      </c>
      <c r="D593">
        <v>495</v>
      </c>
      <c r="E593" t="s">
        <v>919</v>
      </c>
      <c r="F593" t="s">
        <v>889</v>
      </c>
      <c r="G593">
        <v>27495</v>
      </c>
      <c r="H593">
        <v>27495</v>
      </c>
      <c r="I593" t="s">
        <v>890</v>
      </c>
      <c r="J593">
        <v>2703</v>
      </c>
      <c r="K593" t="s">
        <v>901</v>
      </c>
      <c r="L593" t="s">
        <v>80</v>
      </c>
      <c r="M593" t="s">
        <v>53</v>
      </c>
      <c r="N593">
        <v>17954</v>
      </c>
      <c r="O593" t="s">
        <v>53</v>
      </c>
      <c r="P593" t="s">
        <v>70</v>
      </c>
      <c r="Q593" t="s">
        <v>71</v>
      </c>
      <c r="R593" t="s">
        <v>56</v>
      </c>
      <c r="S593" t="s">
        <v>57</v>
      </c>
      <c r="T593" t="s">
        <v>58</v>
      </c>
      <c r="U593" t="s">
        <v>101</v>
      </c>
      <c r="V593">
        <v>0.54144599999999998</v>
      </c>
      <c r="W593" t="s">
        <v>53</v>
      </c>
      <c r="X593" t="s">
        <v>53</v>
      </c>
      <c r="Y593" t="s">
        <v>165</v>
      </c>
      <c r="Z593" t="str">
        <f t="shared" si="18"/>
        <v>Mayor que 60 - hasta 70</v>
      </c>
      <c r="AA593">
        <f t="shared" si="19"/>
        <v>1</v>
      </c>
      <c r="AB593" t="e">
        <v>#N/A</v>
      </c>
      <c r="AC593" t="e">
        <v>#N/A</v>
      </c>
      <c r="AD593" t="e">
        <v>#N/A</v>
      </c>
      <c r="AE593">
        <v>0</v>
      </c>
      <c r="AF593" t="s">
        <v>211</v>
      </c>
      <c r="AG593">
        <v>0</v>
      </c>
      <c r="AH593" t="e">
        <v>#N/A</v>
      </c>
      <c r="AI593" t="e">
        <v>#N/A</v>
      </c>
      <c r="AJ593">
        <v>0</v>
      </c>
      <c r="AK593" t="s">
        <v>211</v>
      </c>
      <c r="AL593">
        <v>0</v>
      </c>
      <c r="AM593" s="4" t="s">
        <v>64</v>
      </c>
      <c r="AN593" s="5">
        <v>197.93750073922996</v>
      </c>
      <c r="AO593" s="4" t="s">
        <v>64</v>
      </c>
      <c r="AP593" s="6">
        <v>1</v>
      </c>
      <c r="AQ593">
        <v>4</v>
      </c>
      <c r="AR593">
        <v>199.97044399999999</v>
      </c>
      <c r="AS593" t="s">
        <v>66</v>
      </c>
      <c r="AT593" t="s">
        <v>53</v>
      </c>
    </row>
    <row r="594" spans="1:46">
      <c r="A594">
        <v>427</v>
      </c>
      <c r="B594" t="s">
        <v>46</v>
      </c>
      <c r="C594">
        <v>27</v>
      </c>
      <c r="D594">
        <v>580</v>
      </c>
      <c r="E594" t="s">
        <v>920</v>
      </c>
      <c r="F594" t="s">
        <v>889</v>
      </c>
      <c r="G594">
        <v>27580</v>
      </c>
      <c r="H594">
        <v>27580</v>
      </c>
      <c r="I594" t="s">
        <v>890</v>
      </c>
      <c r="J594">
        <v>2705</v>
      </c>
      <c r="K594" t="s">
        <v>905</v>
      </c>
      <c r="L594" t="s">
        <v>80</v>
      </c>
      <c r="M594" t="s">
        <v>53</v>
      </c>
      <c r="N594">
        <v>5788</v>
      </c>
      <c r="O594" t="s">
        <v>53</v>
      </c>
      <c r="P594" t="s">
        <v>70</v>
      </c>
      <c r="Q594" t="s">
        <v>71</v>
      </c>
      <c r="R594" t="s">
        <v>56</v>
      </c>
      <c r="S594" t="s">
        <v>57</v>
      </c>
      <c r="T594" t="s">
        <v>58</v>
      </c>
      <c r="U594" t="s">
        <v>101</v>
      </c>
      <c r="V594">
        <v>0</v>
      </c>
      <c r="W594" t="s">
        <v>53</v>
      </c>
      <c r="X594" t="s">
        <v>53</v>
      </c>
      <c r="Y594" t="s">
        <v>899</v>
      </c>
      <c r="Z594" t="str">
        <f t="shared" si="18"/>
        <v>Mayor que 5 - hasta 8</v>
      </c>
      <c r="AA594">
        <f t="shared" si="19"/>
        <v>1</v>
      </c>
      <c r="AB594">
        <v>27580</v>
      </c>
      <c r="AC594" t="s">
        <v>892</v>
      </c>
      <c r="AD594" t="s">
        <v>893</v>
      </c>
      <c r="AE594">
        <v>7.5657459999999999</v>
      </c>
      <c r="AF594" t="s">
        <v>211</v>
      </c>
      <c r="AG594">
        <v>82.338182000000003</v>
      </c>
      <c r="AH594" t="s">
        <v>892</v>
      </c>
      <c r="AI594" t="s">
        <v>893</v>
      </c>
      <c r="AJ594">
        <v>7.2918229999999999</v>
      </c>
      <c r="AK594" t="s">
        <v>221</v>
      </c>
      <c r="AL594">
        <v>81.596760000000003</v>
      </c>
      <c r="AM594" s="4" t="e">
        <v>#N/A</v>
      </c>
      <c r="AN594" s="5" t="e">
        <v>#N/A</v>
      </c>
      <c r="AO594" s="4" t="e">
        <v>#N/A</v>
      </c>
      <c r="AP594" s="6" t="e">
        <v>#N/A</v>
      </c>
      <c r="AQ594">
        <v>4</v>
      </c>
      <c r="AR594">
        <v>361.18413800000002</v>
      </c>
      <c r="AS594" t="s">
        <v>66</v>
      </c>
      <c r="AT594" t="s">
        <v>53</v>
      </c>
    </row>
    <row r="595" spans="1:46">
      <c r="A595">
        <v>428</v>
      </c>
      <c r="B595" t="s">
        <v>46</v>
      </c>
      <c r="C595">
        <v>27</v>
      </c>
      <c r="D595">
        <v>600</v>
      </c>
      <c r="E595" t="s">
        <v>921</v>
      </c>
      <c r="F595" t="s">
        <v>889</v>
      </c>
      <c r="G595">
        <v>27600</v>
      </c>
      <c r="H595">
        <v>27600</v>
      </c>
      <c r="I595" t="s">
        <v>890</v>
      </c>
      <c r="J595">
        <v>2701</v>
      </c>
      <c r="K595" t="s">
        <v>891</v>
      </c>
      <c r="L595" t="s">
        <v>80</v>
      </c>
      <c r="M595" t="s">
        <v>53</v>
      </c>
      <c r="N595">
        <v>8996</v>
      </c>
      <c r="O595" t="s">
        <v>53</v>
      </c>
      <c r="P595" t="s">
        <v>70</v>
      </c>
      <c r="Q595" t="s">
        <v>71</v>
      </c>
      <c r="R595" t="s">
        <v>72</v>
      </c>
      <c r="S595" t="s">
        <v>57</v>
      </c>
      <c r="T595" t="s">
        <v>58</v>
      </c>
      <c r="U595" t="s">
        <v>119</v>
      </c>
      <c r="V595">
        <v>8.3333000000000004E-2</v>
      </c>
      <c r="W595" t="s">
        <v>53</v>
      </c>
      <c r="X595" t="s">
        <v>53</v>
      </c>
      <c r="Y595" t="s">
        <v>899</v>
      </c>
      <c r="Z595" t="str">
        <f t="shared" si="18"/>
        <v>Mayor que 5 - hasta 8</v>
      </c>
      <c r="AA595">
        <f t="shared" si="19"/>
        <v>1</v>
      </c>
      <c r="AB595">
        <v>27600</v>
      </c>
      <c r="AC595" t="s">
        <v>892</v>
      </c>
      <c r="AD595" t="s">
        <v>893</v>
      </c>
      <c r="AE595">
        <v>1.5484020000000001</v>
      </c>
      <c r="AF595" t="s">
        <v>76</v>
      </c>
      <c r="AG595">
        <v>36.060512000000003</v>
      </c>
      <c r="AH595" t="s">
        <v>892</v>
      </c>
      <c r="AI595" t="s">
        <v>893</v>
      </c>
      <c r="AJ595">
        <v>1.0969500000000001</v>
      </c>
      <c r="AK595" t="s">
        <v>76</v>
      </c>
      <c r="AL595">
        <v>32.563456000000002</v>
      </c>
      <c r="AM595" s="4" t="e">
        <v>#N/A</v>
      </c>
      <c r="AN595" s="5" t="e">
        <v>#N/A</v>
      </c>
      <c r="AO595" s="4" t="e">
        <v>#N/A</v>
      </c>
      <c r="AP595" s="6" t="e">
        <v>#N/A</v>
      </c>
      <c r="AQ595">
        <v>3</v>
      </c>
      <c r="AR595">
        <v>7.6756890000000002</v>
      </c>
      <c r="AS595" t="s">
        <v>66</v>
      </c>
      <c r="AT595" t="s">
        <v>53</v>
      </c>
    </row>
    <row r="596" spans="1:46">
      <c r="A596">
        <v>404</v>
      </c>
      <c r="B596" t="s">
        <v>46</v>
      </c>
      <c r="C596">
        <v>27</v>
      </c>
      <c r="D596">
        <v>615</v>
      </c>
      <c r="E596" t="s">
        <v>577</v>
      </c>
      <c r="F596" t="s">
        <v>889</v>
      </c>
      <c r="G596">
        <v>27615</v>
      </c>
      <c r="H596">
        <v>27615</v>
      </c>
      <c r="I596" t="s">
        <v>890</v>
      </c>
      <c r="J596">
        <v>2702</v>
      </c>
      <c r="K596" t="s">
        <v>895</v>
      </c>
      <c r="L596" t="s">
        <v>80</v>
      </c>
      <c r="M596" t="s">
        <v>53</v>
      </c>
      <c r="N596">
        <v>62137</v>
      </c>
      <c r="O596" t="s">
        <v>53</v>
      </c>
      <c r="P596" t="s">
        <v>92</v>
      </c>
      <c r="Q596" t="s">
        <v>71</v>
      </c>
      <c r="R596" t="s">
        <v>105</v>
      </c>
      <c r="S596" t="s">
        <v>220</v>
      </c>
      <c r="T596" t="s">
        <v>73</v>
      </c>
      <c r="U596" t="s">
        <v>115</v>
      </c>
      <c r="V596">
        <v>0.56666700000000003</v>
      </c>
      <c r="W596" t="s">
        <v>53</v>
      </c>
      <c r="X596" t="s">
        <v>53</v>
      </c>
      <c r="Y596" t="s">
        <v>102</v>
      </c>
      <c r="Z596" t="str">
        <f t="shared" si="18"/>
        <v>Mayor que 20 - hasta 30</v>
      </c>
      <c r="AA596">
        <f t="shared" si="19"/>
        <v>1</v>
      </c>
      <c r="AB596">
        <v>27615</v>
      </c>
      <c r="AC596" t="s">
        <v>61</v>
      </c>
      <c r="AD596" t="s">
        <v>171</v>
      </c>
      <c r="AE596">
        <v>2.760955</v>
      </c>
      <c r="AF596" t="s">
        <v>77</v>
      </c>
      <c r="AG596">
        <v>96.416355999999993</v>
      </c>
      <c r="AH596" t="s">
        <v>129</v>
      </c>
      <c r="AI596" t="s">
        <v>130</v>
      </c>
      <c r="AJ596">
        <v>7.5757240000000001</v>
      </c>
      <c r="AK596" t="s">
        <v>221</v>
      </c>
      <c r="AL596">
        <v>348.53384499999999</v>
      </c>
      <c r="AM596" s="4" t="s">
        <v>97</v>
      </c>
      <c r="AN596" s="5">
        <v>8849.3368692931526</v>
      </c>
      <c r="AO596" s="4" t="s">
        <v>65</v>
      </c>
      <c r="AP596" s="6">
        <v>30</v>
      </c>
      <c r="AQ596">
        <v>2</v>
      </c>
      <c r="AR596">
        <v>11234.895643</v>
      </c>
      <c r="AS596" t="s">
        <v>66</v>
      </c>
      <c r="AT596" t="s">
        <v>53</v>
      </c>
    </row>
    <row r="597" spans="1:46">
      <c r="A597">
        <v>429</v>
      </c>
      <c r="B597" t="s">
        <v>46</v>
      </c>
      <c r="C597">
        <v>27</v>
      </c>
      <c r="D597">
        <v>660</v>
      </c>
      <c r="E597" t="s">
        <v>922</v>
      </c>
      <c r="F597" t="s">
        <v>889</v>
      </c>
      <c r="G597">
        <v>27660</v>
      </c>
      <c r="H597">
        <v>27660</v>
      </c>
      <c r="I597" t="s">
        <v>890</v>
      </c>
      <c r="J597">
        <v>2705</v>
      </c>
      <c r="K597" t="s">
        <v>905</v>
      </c>
      <c r="L597" t="s">
        <v>80</v>
      </c>
      <c r="M597" t="s">
        <v>53</v>
      </c>
      <c r="N597">
        <v>5597</v>
      </c>
      <c r="O597" t="s">
        <v>53</v>
      </c>
      <c r="P597" t="s">
        <v>70</v>
      </c>
      <c r="Q597" t="s">
        <v>71</v>
      </c>
      <c r="R597" t="s">
        <v>56</v>
      </c>
      <c r="S597" t="s">
        <v>57</v>
      </c>
      <c r="T597" t="s">
        <v>73</v>
      </c>
      <c r="U597" t="s">
        <v>115</v>
      </c>
      <c r="V597">
        <v>0.86266900000000002</v>
      </c>
      <c r="W597" t="s">
        <v>53</v>
      </c>
      <c r="X597" t="s">
        <v>53</v>
      </c>
      <c r="Y597" t="s">
        <v>899</v>
      </c>
      <c r="Z597" t="str">
        <f t="shared" si="18"/>
        <v>Mayor que 5 - hasta 8</v>
      </c>
      <c r="AA597">
        <f t="shared" si="19"/>
        <v>1</v>
      </c>
      <c r="AB597">
        <v>27660</v>
      </c>
      <c r="AC597" t="s">
        <v>619</v>
      </c>
      <c r="AD597" t="s">
        <v>923</v>
      </c>
      <c r="AE597">
        <v>2.5646740000000001</v>
      </c>
      <c r="AF597" t="s">
        <v>77</v>
      </c>
      <c r="AG597">
        <v>60.986710000000002</v>
      </c>
      <c r="AH597" t="s">
        <v>555</v>
      </c>
      <c r="AI597" t="s">
        <v>557</v>
      </c>
      <c r="AJ597">
        <v>3.3525</v>
      </c>
      <c r="AK597" t="s">
        <v>84</v>
      </c>
      <c r="AL597">
        <v>96.105801</v>
      </c>
      <c r="AM597" s="4" t="s">
        <v>97</v>
      </c>
      <c r="AN597" s="5">
        <v>37068.324014333761</v>
      </c>
      <c r="AO597" s="4" t="s">
        <v>65</v>
      </c>
      <c r="AP597" s="6">
        <v>233</v>
      </c>
      <c r="AQ597">
        <v>4</v>
      </c>
      <c r="AR597">
        <v>40733.089947</v>
      </c>
      <c r="AS597" t="s">
        <v>66</v>
      </c>
      <c r="AT597" t="s">
        <v>53</v>
      </c>
    </row>
    <row r="598" spans="1:46">
      <c r="A598">
        <v>430</v>
      </c>
      <c r="B598" t="s">
        <v>46</v>
      </c>
      <c r="C598">
        <v>27</v>
      </c>
      <c r="D598">
        <v>745</v>
      </c>
      <c r="E598" t="s">
        <v>924</v>
      </c>
      <c r="F598" t="s">
        <v>889</v>
      </c>
      <c r="G598">
        <v>27745</v>
      </c>
      <c r="H598">
        <v>27745</v>
      </c>
      <c r="I598" t="s">
        <v>890</v>
      </c>
      <c r="J598">
        <v>2705</v>
      </c>
      <c r="K598" t="s">
        <v>905</v>
      </c>
      <c r="L598" t="s">
        <v>80</v>
      </c>
      <c r="M598" t="s">
        <v>53</v>
      </c>
      <c r="N598">
        <v>3554</v>
      </c>
      <c r="O598" t="s">
        <v>53</v>
      </c>
      <c r="P598" t="s">
        <v>70</v>
      </c>
      <c r="Q598" t="s">
        <v>71</v>
      </c>
      <c r="R598" t="s">
        <v>56</v>
      </c>
      <c r="S598" t="s">
        <v>220</v>
      </c>
      <c r="T598" t="s">
        <v>73</v>
      </c>
      <c r="U598" t="s">
        <v>115</v>
      </c>
      <c r="V598">
        <v>0.42857099999999998</v>
      </c>
      <c r="W598" t="s">
        <v>53</v>
      </c>
      <c r="X598" t="s">
        <v>53</v>
      </c>
      <c r="Y598" t="s">
        <v>899</v>
      </c>
      <c r="Z598" t="str">
        <f t="shared" si="18"/>
        <v>Mayor que 5 - hasta 8</v>
      </c>
      <c r="AA598">
        <f t="shared" si="19"/>
        <v>1</v>
      </c>
      <c r="AB598" t="e">
        <v>#N/A</v>
      </c>
      <c r="AC598" t="e">
        <v>#N/A</v>
      </c>
      <c r="AD598" t="e">
        <v>#N/A</v>
      </c>
      <c r="AE598">
        <v>0</v>
      </c>
      <c r="AF598" t="s">
        <v>211</v>
      </c>
      <c r="AG598">
        <v>0</v>
      </c>
      <c r="AH598" t="e">
        <v>#N/A</v>
      </c>
      <c r="AI598" t="e">
        <v>#N/A</v>
      </c>
      <c r="AJ598">
        <v>0</v>
      </c>
      <c r="AK598" t="s">
        <v>211</v>
      </c>
      <c r="AL598">
        <v>0</v>
      </c>
      <c r="AM598" s="4" t="e">
        <v>#N/A</v>
      </c>
      <c r="AN598" s="5" t="e">
        <v>#N/A</v>
      </c>
      <c r="AO598" s="4" t="e">
        <v>#N/A</v>
      </c>
      <c r="AP598" s="6" t="e">
        <v>#N/A</v>
      </c>
      <c r="AQ598">
        <v>4</v>
      </c>
      <c r="AR598">
        <v>0.24971399999999999</v>
      </c>
      <c r="AS598" t="s">
        <v>66</v>
      </c>
      <c r="AT598" t="s">
        <v>53</v>
      </c>
    </row>
    <row r="599" spans="1:46">
      <c r="A599">
        <v>431</v>
      </c>
      <c r="B599" t="s">
        <v>46</v>
      </c>
      <c r="C599">
        <v>27</v>
      </c>
      <c r="D599">
        <v>787</v>
      </c>
      <c r="E599" t="s">
        <v>925</v>
      </c>
      <c r="F599" t="s">
        <v>889</v>
      </c>
      <c r="G599">
        <v>27787</v>
      </c>
      <c r="H599">
        <v>27787</v>
      </c>
      <c r="I599" t="s">
        <v>890</v>
      </c>
      <c r="J599">
        <v>2705</v>
      </c>
      <c r="K599" t="s">
        <v>905</v>
      </c>
      <c r="L599" t="s">
        <v>69</v>
      </c>
      <c r="M599" t="s">
        <v>53</v>
      </c>
      <c r="N599">
        <v>19822</v>
      </c>
      <c r="O599" t="s">
        <v>53</v>
      </c>
      <c r="P599" t="s">
        <v>70</v>
      </c>
      <c r="Q599" t="s">
        <v>71</v>
      </c>
      <c r="R599" t="s">
        <v>122</v>
      </c>
      <c r="S599" t="s">
        <v>57</v>
      </c>
      <c r="T599" t="s">
        <v>73</v>
      </c>
      <c r="U599" t="s">
        <v>101</v>
      </c>
      <c r="V599">
        <v>0.46116499999999999</v>
      </c>
      <c r="W599" t="s">
        <v>53</v>
      </c>
      <c r="X599" t="s">
        <v>53</v>
      </c>
      <c r="Y599" t="s">
        <v>899</v>
      </c>
      <c r="Z599" t="str">
        <f t="shared" si="18"/>
        <v>Mayor que 5 - hasta 8</v>
      </c>
      <c r="AA599">
        <f t="shared" si="19"/>
        <v>1</v>
      </c>
      <c r="AB599">
        <v>27787</v>
      </c>
      <c r="AC599" t="s">
        <v>892</v>
      </c>
      <c r="AD599" t="s">
        <v>893</v>
      </c>
      <c r="AE599">
        <v>1.7645280000000001</v>
      </c>
      <c r="AF599" t="s">
        <v>76</v>
      </c>
      <c r="AG599">
        <v>65.484271000000007</v>
      </c>
      <c r="AH599" t="s">
        <v>892</v>
      </c>
      <c r="AI599" t="s">
        <v>893</v>
      </c>
      <c r="AJ599">
        <v>1.4906060000000001</v>
      </c>
      <c r="AK599" t="s">
        <v>76</v>
      </c>
      <c r="AL599">
        <v>64.742850000000004</v>
      </c>
      <c r="AM599" s="4" t="s">
        <v>65</v>
      </c>
      <c r="AN599" s="5">
        <v>6.5136422876844184</v>
      </c>
      <c r="AO599" s="4" t="s">
        <v>65</v>
      </c>
      <c r="AP599" s="6">
        <v>1</v>
      </c>
      <c r="AQ599">
        <v>3</v>
      </c>
      <c r="AR599">
        <v>234.728319</v>
      </c>
      <c r="AS599" t="s">
        <v>66</v>
      </c>
      <c r="AT599" t="s">
        <v>53</v>
      </c>
    </row>
    <row r="600" spans="1:46">
      <c r="A600">
        <v>432</v>
      </c>
      <c r="B600" t="s">
        <v>46</v>
      </c>
      <c r="C600">
        <v>27</v>
      </c>
      <c r="D600">
        <v>800</v>
      </c>
      <c r="E600" t="s">
        <v>926</v>
      </c>
      <c r="F600" t="s">
        <v>889</v>
      </c>
      <c r="G600">
        <v>27800</v>
      </c>
      <c r="H600">
        <v>27800</v>
      </c>
      <c r="I600" t="s">
        <v>890</v>
      </c>
      <c r="J600">
        <v>2702</v>
      </c>
      <c r="K600" t="s">
        <v>895</v>
      </c>
      <c r="L600" t="s">
        <v>69</v>
      </c>
      <c r="M600" t="s">
        <v>53</v>
      </c>
      <c r="N600">
        <v>14285</v>
      </c>
      <c r="O600" t="s">
        <v>53</v>
      </c>
      <c r="P600" t="s">
        <v>70</v>
      </c>
      <c r="Q600" t="s">
        <v>71</v>
      </c>
      <c r="R600" t="s">
        <v>56</v>
      </c>
      <c r="S600" t="s">
        <v>220</v>
      </c>
      <c r="T600" t="s">
        <v>73</v>
      </c>
      <c r="U600" t="s">
        <v>101</v>
      </c>
      <c r="V600">
        <v>0.56273799999999996</v>
      </c>
      <c r="W600" t="s">
        <v>53</v>
      </c>
      <c r="X600" t="s">
        <v>53</v>
      </c>
      <c r="Y600" t="s">
        <v>102</v>
      </c>
      <c r="Z600" t="str">
        <f t="shared" si="18"/>
        <v>Mayor que 20 - hasta 30</v>
      </c>
      <c r="AA600">
        <f t="shared" si="19"/>
        <v>1</v>
      </c>
      <c r="AB600">
        <v>27800</v>
      </c>
      <c r="AC600" t="s">
        <v>61</v>
      </c>
      <c r="AD600" t="s">
        <v>171</v>
      </c>
      <c r="AE600">
        <v>11.145023</v>
      </c>
      <c r="AF600" t="s">
        <v>211</v>
      </c>
      <c r="AG600">
        <v>186.121443</v>
      </c>
      <c r="AH600" t="e">
        <v>#N/A</v>
      </c>
      <c r="AI600" t="e">
        <v>#N/A</v>
      </c>
      <c r="AJ600">
        <v>0</v>
      </c>
      <c r="AK600" t="s">
        <v>211</v>
      </c>
      <c r="AL600">
        <v>0</v>
      </c>
      <c r="AM600" s="4" t="e">
        <v>#N/A</v>
      </c>
      <c r="AN600" s="5" t="e">
        <v>#N/A</v>
      </c>
      <c r="AO600" s="4" t="e">
        <v>#N/A</v>
      </c>
      <c r="AP600" s="6" t="e">
        <v>#N/A</v>
      </c>
      <c r="AQ600">
        <v>4</v>
      </c>
      <c r="AR600">
        <v>18539.330137000001</v>
      </c>
      <c r="AS600" t="s">
        <v>66</v>
      </c>
      <c r="AT600" t="s">
        <v>53</v>
      </c>
    </row>
    <row r="601" spans="1:46">
      <c r="A601">
        <v>433</v>
      </c>
      <c r="B601" t="s">
        <v>46</v>
      </c>
      <c r="C601">
        <v>27</v>
      </c>
      <c r="D601">
        <v>810</v>
      </c>
      <c r="E601" t="s">
        <v>927</v>
      </c>
      <c r="F601" t="s">
        <v>889</v>
      </c>
      <c r="G601">
        <v>27810</v>
      </c>
      <c r="H601">
        <v>27810</v>
      </c>
      <c r="I601" t="s">
        <v>890</v>
      </c>
      <c r="J601">
        <v>2705</v>
      </c>
      <c r="K601" t="s">
        <v>905</v>
      </c>
      <c r="L601" t="s">
        <v>91</v>
      </c>
      <c r="M601" t="s">
        <v>53</v>
      </c>
      <c r="N601">
        <v>7364</v>
      </c>
      <c r="O601" t="s">
        <v>53</v>
      </c>
      <c r="P601" t="s">
        <v>70</v>
      </c>
      <c r="Q601" t="s">
        <v>71</v>
      </c>
      <c r="R601" t="s">
        <v>105</v>
      </c>
      <c r="S601" t="s">
        <v>57</v>
      </c>
      <c r="T601" t="s">
        <v>58</v>
      </c>
      <c r="U601" t="s">
        <v>59</v>
      </c>
      <c r="V601">
        <v>0.41</v>
      </c>
      <c r="W601" t="s">
        <v>53</v>
      </c>
      <c r="X601" t="s">
        <v>53</v>
      </c>
      <c r="Y601" t="s">
        <v>899</v>
      </c>
      <c r="Z601" t="str">
        <f t="shared" si="18"/>
        <v>Mayor que 5 - hasta 8</v>
      </c>
      <c r="AA601">
        <f t="shared" si="19"/>
        <v>1</v>
      </c>
      <c r="AB601">
        <v>27810</v>
      </c>
      <c r="AC601" t="s">
        <v>892</v>
      </c>
      <c r="AD601" t="s">
        <v>893</v>
      </c>
      <c r="AE601">
        <v>1.589523</v>
      </c>
      <c r="AF601" t="s">
        <v>76</v>
      </c>
      <c r="AG601">
        <v>56.648736999999997</v>
      </c>
      <c r="AH601" t="s">
        <v>892</v>
      </c>
      <c r="AI601" t="s">
        <v>893</v>
      </c>
      <c r="AJ601">
        <v>1.315601</v>
      </c>
      <c r="AK601" t="s">
        <v>76</v>
      </c>
      <c r="AL601">
        <v>55.907316000000002</v>
      </c>
      <c r="AM601" s="4" t="s">
        <v>64</v>
      </c>
      <c r="AN601" s="5">
        <v>39.635356038250244</v>
      </c>
      <c r="AO601" s="4" t="s">
        <v>64</v>
      </c>
      <c r="AP601" s="6">
        <v>1</v>
      </c>
      <c r="AQ601">
        <v>3</v>
      </c>
      <c r="AR601">
        <v>162.28037</v>
      </c>
      <c r="AS601" t="s">
        <v>66</v>
      </c>
      <c r="AT601" t="s">
        <v>53</v>
      </c>
    </row>
    <row r="602" spans="1:46">
      <c r="A602">
        <v>934</v>
      </c>
      <c r="B602" t="s">
        <v>46</v>
      </c>
      <c r="C602">
        <v>41</v>
      </c>
      <c r="D602">
        <v>1</v>
      </c>
      <c r="E602" t="s">
        <v>928</v>
      </c>
      <c r="F602" t="s">
        <v>929</v>
      </c>
      <c r="G602">
        <v>41001</v>
      </c>
      <c r="H602">
        <v>41001</v>
      </c>
      <c r="I602" t="s">
        <v>49</v>
      </c>
      <c r="J602">
        <v>4102</v>
      </c>
      <c r="K602" t="s">
        <v>112</v>
      </c>
      <c r="L602" t="s">
        <v>51</v>
      </c>
      <c r="M602" t="s">
        <v>52</v>
      </c>
      <c r="N602">
        <v>380019</v>
      </c>
      <c r="O602" t="s">
        <v>53</v>
      </c>
      <c r="P602" t="s">
        <v>54</v>
      </c>
      <c r="Q602" t="s">
        <v>138</v>
      </c>
      <c r="R602" t="s">
        <v>122</v>
      </c>
      <c r="S602" t="s">
        <v>57</v>
      </c>
      <c r="T602" t="s">
        <v>58</v>
      </c>
      <c r="U602" t="s">
        <v>119</v>
      </c>
      <c r="V602">
        <v>0.42244700000000002</v>
      </c>
      <c r="W602">
        <v>2018</v>
      </c>
      <c r="X602" t="s">
        <v>147</v>
      </c>
      <c r="Y602" t="s">
        <v>183</v>
      </c>
      <c r="Z602" t="str">
        <f t="shared" si="18"/>
        <v>Mayor que 120 - hasta 140</v>
      </c>
      <c r="AA602">
        <f t="shared" si="19"/>
        <v>1</v>
      </c>
      <c r="AB602">
        <v>41001</v>
      </c>
      <c r="AC602" t="s">
        <v>632</v>
      </c>
      <c r="AD602" t="s">
        <v>928</v>
      </c>
      <c r="AE602">
        <v>0</v>
      </c>
      <c r="AF602" t="s">
        <v>63</v>
      </c>
      <c r="AG602">
        <v>0</v>
      </c>
      <c r="AH602" t="s">
        <v>632</v>
      </c>
      <c r="AI602" t="s">
        <v>928</v>
      </c>
      <c r="AJ602">
        <v>0</v>
      </c>
      <c r="AK602" t="s">
        <v>63</v>
      </c>
      <c r="AL602">
        <v>0</v>
      </c>
      <c r="AM602" t="s">
        <v>64</v>
      </c>
      <c r="AN602" s="7">
        <v>940.52176701319945</v>
      </c>
      <c r="AO602" t="s">
        <v>65</v>
      </c>
      <c r="AP602" s="3">
        <v>195</v>
      </c>
      <c r="AQ602">
        <v>2</v>
      </c>
      <c r="AR602">
        <v>1057.8636300000001</v>
      </c>
      <c r="AS602" t="s">
        <v>66</v>
      </c>
      <c r="AT602" t="s">
        <v>53</v>
      </c>
    </row>
    <row r="603" spans="1:46">
      <c r="A603">
        <v>970</v>
      </c>
      <c r="B603" t="s">
        <v>46</v>
      </c>
      <c r="C603">
        <v>41</v>
      </c>
      <c r="D603">
        <v>6</v>
      </c>
      <c r="E603" t="s">
        <v>930</v>
      </c>
      <c r="F603" t="s">
        <v>929</v>
      </c>
      <c r="G603">
        <v>41006</v>
      </c>
      <c r="H603">
        <v>41006</v>
      </c>
      <c r="I603" t="s">
        <v>49</v>
      </c>
      <c r="J603">
        <v>4104</v>
      </c>
      <c r="K603" t="s">
        <v>297</v>
      </c>
      <c r="L603" t="s">
        <v>80</v>
      </c>
      <c r="M603" t="s">
        <v>53</v>
      </c>
      <c r="N603">
        <v>26773</v>
      </c>
      <c r="O603" t="s">
        <v>53</v>
      </c>
      <c r="P603" t="s">
        <v>70</v>
      </c>
      <c r="Q603" t="s">
        <v>71</v>
      </c>
      <c r="R603" t="s">
        <v>93</v>
      </c>
      <c r="S603" t="s">
        <v>57</v>
      </c>
      <c r="T603" t="s">
        <v>73</v>
      </c>
      <c r="U603" t="s">
        <v>119</v>
      </c>
      <c r="V603">
        <v>0.58517799999999998</v>
      </c>
      <c r="W603">
        <v>2018</v>
      </c>
      <c r="X603" t="s">
        <v>147</v>
      </c>
      <c r="Y603" t="s">
        <v>116</v>
      </c>
      <c r="Z603" t="str">
        <f t="shared" si="18"/>
        <v>Mayor que 30 - hasta 40</v>
      </c>
      <c r="AA603">
        <f t="shared" si="19"/>
        <v>1</v>
      </c>
      <c r="AB603">
        <v>41006</v>
      </c>
      <c r="AC603" t="s">
        <v>632</v>
      </c>
      <c r="AD603" t="s">
        <v>931</v>
      </c>
      <c r="AE603">
        <v>1.115731</v>
      </c>
      <c r="AF603" t="s">
        <v>76</v>
      </c>
      <c r="AG603">
        <v>25.232085000000001</v>
      </c>
      <c r="AH603" t="s">
        <v>592</v>
      </c>
      <c r="AI603" t="s">
        <v>587</v>
      </c>
      <c r="AJ603">
        <v>2.8122199999999999</v>
      </c>
      <c r="AK603" t="s">
        <v>77</v>
      </c>
      <c r="AL603">
        <v>75.582042000000001</v>
      </c>
      <c r="AM603" t="s">
        <v>97</v>
      </c>
      <c r="AN603" s="7">
        <v>6.3402580209226436</v>
      </c>
      <c r="AO603" t="s">
        <v>97</v>
      </c>
      <c r="AP603" s="3">
        <v>1</v>
      </c>
      <c r="AQ603">
        <v>1</v>
      </c>
      <c r="AR603">
        <v>817.45802800000001</v>
      </c>
      <c r="AS603" t="s">
        <v>66</v>
      </c>
      <c r="AT603" t="s">
        <v>53</v>
      </c>
    </row>
    <row r="604" spans="1:46">
      <c r="A604">
        <v>969</v>
      </c>
      <c r="B604" t="s">
        <v>46</v>
      </c>
      <c r="C604">
        <v>41</v>
      </c>
      <c r="D604">
        <v>13</v>
      </c>
      <c r="E604" t="s">
        <v>932</v>
      </c>
      <c r="F604" t="s">
        <v>929</v>
      </c>
      <c r="G604">
        <v>41013</v>
      </c>
      <c r="H604">
        <v>41013</v>
      </c>
      <c r="I604" t="s">
        <v>49</v>
      </c>
      <c r="J604">
        <v>4101</v>
      </c>
      <c r="K604" t="s">
        <v>409</v>
      </c>
      <c r="L604" t="s">
        <v>69</v>
      </c>
      <c r="M604" t="s">
        <v>53</v>
      </c>
      <c r="N604">
        <v>9408</v>
      </c>
      <c r="O604" t="s">
        <v>53</v>
      </c>
      <c r="P604" t="s">
        <v>70</v>
      </c>
      <c r="Q604" t="s">
        <v>71</v>
      </c>
      <c r="R604" t="s">
        <v>105</v>
      </c>
      <c r="S604" t="s">
        <v>57</v>
      </c>
      <c r="T604" t="s">
        <v>58</v>
      </c>
      <c r="U604" t="s">
        <v>81</v>
      </c>
      <c r="V604">
        <v>0.49427599999999999</v>
      </c>
      <c r="W604">
        <v>2018</v>
      </c>
      <c r="X604" t="s">
        <v>176</v>
      </c>
      <c r="Y604" t="s">
        <v>87</v>
      </c>
      <c r="Z604" t="str">
        <f t="shared" si="18"/>
        <v>Mayor que 40 - hasta 50</v>
      </c>
      <c r="AA604">
        <f t="shared" si="19"/>
        <v>1</v>
      </c>
      <c r="AB604">
        <v>41013</v>
      </c>
      <c r="AC604" t="s">
        <v>632</v>
      </c>
      <c r="AD604" t="s">
        <v>933</v>
      </c>
      <c r="AE604">
        <v>0.79301999999999995</v>
      </c>
      <c r="AF604" t="s">
        <v>63</v>
      </c>
      <c r="AG604">
        <v>23.996551</v>
      </c>
      <c r="AH604" t="s">
        <v>632</v>
      </c>
      <c r="AI604" t="s">
        <v>928</v>
      </c>
      <c r="AJ604">
        <v>2.936331</v>
      </c>
      <c r="AK604" t="s">
        <v>77</v>
      </c>
      <c r="AL604">
        <v>131.46509399999999</v>
      </c>
      <c r="AM604" t="s">
        <v>64</v>
      </c>
      <c r="AN604" s="7">
        <v>1777.4109732917341</v>
      </c>
      <c r="AO604" t="s">
        <v>65</v>
      </c>
      <c r="AP604" s="3">
        <v>241</v>
      </c>
      <c r="AQ604">
        <v>2</v>
      </c>
      <c r="AR604">
        <v>2957.9765600000001</v>
      </c>
      <c r="AS604" t="s">
        <v>66</v>
      </c>
      <c r="AT604" t="s">
        <v>53</v>
      </c>
    </row>
    <row r="605" spans="1:46">
      <c r="A605">
        <v>968</v>
      </c>
      <c r="B605" t="s">
        <v>46</v>
      </c>
      <c r="C605">
        <v>41</v>
      </c>
      <c r="D605">
        <v>16</v>
      </c>
      <c r="E605" t="s">
        <v>934</v>
      </c>
      <c r="F605" t="s">
        <v>929</v>
      </c>
      <c r="G605">
        <v>41016</v>
      </c>
      <c r="H605">
        <v>41016</v>
      </c>
      <c r="I605" t="s">
        <v>49</v>
      </c>
      <c r="J605">
        <v>4102</v>
      </c>
      <c r="K605" t="s">
        <v>112</v>
      </c>
      <c r="L605" t="s">
        <v>69</v>
      </c>
      <c r="M605" t="s">
        <v>53</v>
      </c>
      <c r="N605">
        <v>17322</v>
      </c>
      <c r="O605" t="s">
        <v>53</v>
      </c>
      <c r="P605" t="s">
        <v>70</v>
      </c>
      <c r="Q605" t="s">
        <v>71</v>
      </c>
      <c r="R605" t="s">
        <v>72</v>
      </c>
      <c r="S605" t="s">
        <v>57</v>
      </c>
      <c r="T605" t="s">
        <v>58</v>
      </c>
      <c r="U605" t="s">
        <v>59</v>
      </c>
      <c r="V605">
        <v>0.46870000000000001</v>
      </c>
      <c r="W605">
        <v>2018</v>
      </c>
      <c r="X605" t="s">
        <v>109</v>
      </c>
      <c r="Y605" t="s">
        <v>110</v>
      </c>
      <c r="Z605" t="str">
        <f t="shared" si="18"/>
        <v>Mayor que 30 - hasta 40</v>
      </c>
      <c r="AA605">
        <f t="shared" si="19"/>
        <v>0</v>
      </c>
      <c r="AB605">
        <v>41016</v>
      </c>
      <c r="AC605" t="s">
        <v>632</v>
      </c>
      <c r="AD605" t="s">
        <v>928</v>
      </c>
      <c r="AE605">
        <v>1.0165960000000001</v>
      </c>
      <c r="AF605" t="s">
        <v>76</v>
      </c>
      <c r="AG605">
        <v>39.790664</v>
      </c>
      <c r="AH605" t="s">
        <v>632</v>
      </c>
      <c r="AI605" t="s">
        <v>928</v>
      </c>
      <c r="AJ605">
        <v>0.96675900000000003</v>
      </c>
      <c r="AK605" t="s">
        <v>63</v>
      </c>
      <c r="AL605">
        <v>38.890664000000001</v>
      </c>
      <c r="AM605" t="s">
        <v>64</v>
      </c>
      <c r="AN605" s="7">
        <v>529.69613269120021</v>
      </c>
      <c r="AO605" t="s">
        <v>65</v>
      </c>
      <c r="AP605" s="3">
        <v>120</v>
      </c>
      <c r="AQ605">
        <v>1</v>
      </c>
      <c r="AR605">
        <v>293.60724499999998</v>
      </c>
      <c r="AS605" t="s">
        <v>66</v>
      </c>
      <c r="AT605" t="s">
        <v>53</v>
      </c>
    </row>
    <row r="606" spans="1:46">
      <c r="A606">
        <v>967</v>
      </c>
      <c r="B606" t="s">
        <v>46</v>
      </c>
      <c r="C606">
        <v>41</v>
      </c>
      <c r="D606">
        <v>20</v>
      </c>
      <c r="E606" t="s">
        <v>935</v>
      </c>
      <c r="F606" t="s">
        <v>929</v>
      </c>
      <c r="G606">
        <v>41020</v>
      </c>
      <c r="H606">
        <v>41020</v>
      </c>
      <c r="I606" t="s">
        <v>49</v>
      </c>
      <c r="J606">
        <v>4102</v>
      </c>
      <c r="K606" t="s">
        <v>112</v>
      </c>
      <c r="L606" t="s">
        <v>69</v>
      </c>
      <c r="M606" t="s">
        <v>53</v>
      </c>
      <c r="N606">
        <v>24044</v>
      </c>
      <c r="O606" t="s">
        <v>53</v>
      </c>
      <c r="P606" t="s">
        <v>70</v>
      </c>
      <c r="Q606" t="s">
        <v>71</v>
      </c>
      <c r="R606" t="s">
        <v>72</v>
      </c>
      <c r="S606" t="s">
        <v>590</v>
      </c>
      <c r="T606" t="s">
        <v>73</v>
      </c>
      <c r="U606" t="s">
        <v>115</v>
      </c>
      <c r="V606">
        <v>0.39932600000000001</v>
      </c>
      <c r="W606">
        <v>2018</v>
      </c>
      <c r="X606" t="s">
        <v>217</v>
      </c>
      <c r="Y606" t="s">
        <v>167</v>
      </c>
      <c r="Z606" t="str">
        <f t="shared" si="18"/>
        <v>Mayor que 50 - hasta 60</v>
      </c>
      <c r="AA606">
        <f t="shared" si="19"/>
        <v>1</v>
      </c>
      <c r="AB606">
        <v>41020</v>
      </c>
      <c r="AC606" t="s">
        <v>632</v>
      </c>
      <c r="AD606" t="s">
        <v>928</v>
      </c>
      <c r="AE606">
        <v>1.6659060000000001</v>
      </c>
      <c r="AF606" t="s">
        <v>76</v>
      </c>
      <c r="AG606">
        <v>58.549956999999999</v>
      </c>
      <c r="AH606" t="s">
        <v>632</v>
      </c>
      <c r="AI606" t="s">
        <v>928</v>
      </c>
      <c r="AJ606">
        <v>1.553072</v>
      </c>
      <c r="AK606" t="s">
        <v>76</v>
      </c>
      <c r="AL606">
        <v>57.142850000000003</v>
      </c>
      <c r="AM606" t="s">
        <v>65</v>
      </c>
      <c r="AN606" s="7">
        <v>1.814709137046022</v>
      </c>
      <c r="AO606" t="s">
        <v>65</v>
      </c>
      <c r="AP606" s="3">
        <v>1</v>
      </c>
      <c r="AQ606">
        <v>2</v>
      </c>
      <c r="AR606">
        <v>1060.2652660000001</v>
      </c>
      <c r="AS606" t="s">
        <v>66</v>
      </c>
      <c r="AT606" t="s">
        <v>53</v>
      </c>
    </row>
    <row r="607" spans="1:46">
      <c r="A607">
        <v>966</v>
      </c>
      <c r="B607" t="s">
        <v>46</v>
      </c>
      <c r="C607">
        <v>41</v>
      </c>
      <c r="D607">
        <v>26</v>
      </c>
      <c r="E607" t="s">
        <v>936</v>
      </c>
      <c r="F607" t="s">
        <v>929</v>
      </c>
      <c r="G607">
        <v>41026</v>
      </c>
      <c r="H607">
        <v>41026</v>
      </c>
      <c r="I607" t="s">
        <v>49</v>
      </c>
      <c r="J607">
        <v>4101</v>
      </c>
      <c r="K607" t="s">
        <v>409</v>
      </c>
      <c r="L607" t="s">
        <v>69</v>
      </c>
      <c r="M607" t="s">
        <v>53</v>
      </c>
      <c r="N607">
        <v>4557</v>
      </c>
      <c r="O607" t="s">
        <v>53</v>
      </c>
      <c r="P607" t="s">
        <v>70</v>
      </c>
      <c r="Q607" t="s">
        <v>71</v>
      </c>
      <c r="R607" t="s">
        <v>72</v>
      </c>
      <c r="S607" t="s">
        <v>57</v>
      </c>
      <c r="T607" t="s">
        <v>58</v>
      </c>
      <c r="U607" t="s">
        <v>81</v>
      </c>
      <c r="V607">
        <v>0.72062099999999996</v>
      </c>
      <c r="W607">
        <v>2018</v>
      </c>
      <c r="X607" t="s">
        <v>217</v>
      </c>
      <c r="Y607" t="s">
        <v>218</v>
      </c>
      <c r="Z607" t="str">
        <f t="shared" si="18"/>
        <v>Mayor que 40 - hasta 50</v>
      </c>
      <c r="AA607">
        <f t="shared" si="19"/>
        <v>0</v>
      </c>
      <c r="AB607">
        <v>41026</v>
      </c>
      <c r="AC607" t="s">
        <v>632</v>
      </c>
      <c r="AD607" t="s">
        <v>933</v>
      </c>
      <c r="AE607">
        <v>0.75490800000000002</v>
      </c>
      <c r="AF607" t="s">
        <v>63</v>
      </c>
      <c r="AG607">
        <v>27.184775999999999</v>
      </c>
      <c r="AH607" t="s">
        <v>592</v>
      </c>
      <c r="AI607" t="s">
        <v>587</v>
      </c>
      <c r="AJ607">
        <v>2.8924780000000001</v>
      </c>
      <c r="AK607" t="s">
        <v>77</v>
      </c>
      <c r="AL607">
        <v>90.087423999999999</v>
      </c>
      <c r="AM607" t="s">
        <v>64</v>
      </c>
      <c r="AN607" s="7">
        <v>7.513197011716251</v>
      </c>
      <c r="AO607" t="s">
        <v>64</v>
      </c>
      <c r="AP607" s="3">
        <v>1</v>
      </c>
      <c r="AQ607">
        <v>3</v>
      </c>
      <c r="AR607">
        <v>7.5131969999999999</v>
      </c>
      <c r="AS607" t="s">
        <v>66</v>
      </c>
      <c r="AT607" t="s">
        <v>53</v>
      </c>
    </row>
    <row r="608" spans="1:46">
      <c r="A608">
        <v>965</v>
      </c>
      <c r="B608" t="s">
        <v>46</v>
      </c>
      <c r="C608">
        <v>41</v>
      </c>
      <c r="D608">
        <v>78</v>
      </c>
      <c r="E608" t="s">
        <v>937</v>
      </c>
      <c r="F608" t="s">
        <v>929</v>
      </c>
      <c r="G608">
        <v>41078</v>
      </c>
      <c r="H608">
        <v>41078</v>
      </c>
      <c r="I608" t="s">
        <v>49</v>
      </c>
      <c r="J608">
        <v>4102</v>
      </c>
      <c r="K608" t="s">
        <v>112</v>
      </c>
      <c r="L608" t="s">
        <v>69</v>
      </c>
      <c r="M608" t="s">
        <v>53</v>
      </c>
      <c r="N608">
        <v>8865</v>
      </c>
      <c r="O608" t="s">
        <v>53</v>
      </c>
      <c r="P608" t="s">
        <v>70</v>
      </c>
      <c r="Q608" t="s">
        <v>71</v>
      </c>
      <c r="R608" t="s">
        <v>72</v>
      </c>
      <c r="S608" t="s">
        <v>57</v>
      </c>
      <c r="T608" t="s">
        <v>73</v>
      </c>
      <c r="U608" t="s">
        <v>101</v>
      </c>
      <c r="V608">
        <v>0.34782600000000002</v>
      </c>
      <c r="W608">
        <v>2018</v>
      </c>
      <c r="X608" t="s">
        <v>217</v>
      </c>
      <c r="Y608" t="s">
        <v>218</v>
      </c>
      <c r="Z608" t="str">
        <f t="shared" si="18"/>
        <v>Mayor que 40 - hasta 50</v>
      </c>
      <c r="AA608">
        <f t="shared" si="19"/>
        <v>0</v>
      </c>
      <c r="AB608">
        <v>41078</v>
      </c>
      <c r="AC608" t="s">
        <v>632</v>
      </c>
      <c r="AD608" t="s">
        <v>928</v>
      </c>
      <c r="AE608">
        <v>1.4664790000000001</v>
      </c>
      <c r="AF608" t="s">
        <v>76</v>
      </c>
      <c r="AG608">
        <v>48.638686999999997</v>
      </c>
      <c r="AH608" t="s">
        <v>632</v>
      </c>
      <c r="AI608" t="s">
        <v>928</v>
      </c>
      <c r="AJ608">
        <v>1.416642</v>
      </c>
      <c r="AK608" t="s">
        <v>76</v>
      </c>
      <c r="AL608">
        <v>47.738686999999999</v>
      </c>
      <c r="AM608" t="s">
        <v>97</v>
      </c>
      <c r="AN608" s="7">
        <v>1285.365220331784</v>
      </c>
      <c r="AO608" t="s">
        <v>65</v>
      </c>
      <c r="AP608" s="3">
        <v>180</v>
      </c>
      <c r="AQ608">
        <v>2</v>
      </c>
      <c r="AR608">
        <v>1309.7815760000001</v>
      </c>
      <c r="AS608" t="s">
        <v>66</v>
      </c>
      <c r="AT608" t="s">
        <v>53</v>
      </c>
    </row>
    <row r="609" spans="1:46">
      <c r="A609">
        <v>964</v>
      </c>
      <c r="B609" t="s">
        <v>46</v>
      </c>
      <c r="C609">
        <v>41</v>
      </c>
      <c r="D609">
        <v>132</v>
      </c>
      <c r="E609" t="s">
        <v>938</v>
      </c>
      <c r="F609" t="s">
        <v>929</v>
      </c>
      <c r="G609">
        <v>41132</v>
      </c>
      <c r="H609">
        <v>41132</v>
      </c>
      <c r="I609" t="s">
        <v>49</v>
      </c>
      <c r="J609">
        <v>4102</v>
      </c>
      <c r="K609" t="s">
        <v>112</v>
      </c>
      <c r="L609" t="s">
        <v>91</v>
      </c>
      <c r="M609" t="s">
        <v>53</v>
      </c>
      <c r="N609">
        <v>33102</v>
      </c>
      <c r="O609" t="s">
        <v>53</v>
      </c>
      <c r="P609" t="s">
        <v>92</v>
      </c>
      <c r="Q609" t="s">
        <v>71</v>
      </c>
      <c r="R609" t="s">
        <v>93</v>
      </c>
      <c r="S609" t="s">
        <v>57</v>
      </c>
      <c r="T609" t="s">
        <v>58</v>
      </c>
      <c r="U609" t="s">
        <v>119</v>
      </c>
      <c r="V609">
        <v>0.69303400000000004</v>
      </c>
      <c r="W609">
        <v>2018</v>
      </c>
      <c r="X609" t="s">
        <v>217</v>
      </c>
      <c r="Y609" t="s">
        <v>167</v>
      </c>
      <c r="Z609" t="str">
        <f t="shared" si="18"/>
        <v>Mayor que 50 - hasta 60</v>
      </c>
      <c r="AA609">
        <f t="shared" si="19"/>
        <v>1</v>
      </c>
      <c r="AB609">
        <v>41132</v>
      </c>
      <c r="AC609" t="s">
        <v>632</v>
      </c>
      <c r="AD609" t="s">
        <v>928</v>
      </c>
      <c r="AE609">
        <v>0.80389999999999995</v>
      </c>
      <c r="AF609" t="s">
        <v>63</v>
      </c>
      <c r="AG609">
        <v>32.569343000000003</v>
      </c>
      <c r="AH609" t="s">
        <v>632</v>
      </c>
      <c r="AI609" t="s">
        <v>928</v>
      </c>
      <c r="AJ609">
        <v>0.69106599999999996</v>
      </c>
      <c r="AK609" t="s">
        <v>63</v>
      </c>
      <c r="AL609">
        <v>31.162237000000001</v>
      </c>
      <c r="AM609" t="s">
        <v>65</v>
      </c>
      <c r="AN609" s="7">
        <v>7581.511623566882</v>
      </c>
      <c r="AO609" t="s">
        <v>65</v>
      </c>
      <c r="AP609" s="3">
        <v>1500</v>
      </c>
      <c r="AQ609">
        <v>2</v>
      </c>
      <c r="AR609">
        <v>13871.536161</v>
      </c>
      <c r="AS609" t="s">
        <v>66</v>
      </c>
      <c r="AT609" t="s">
        <v>53</v>
      </c>
    </row>
    <row r="610" spans="1:46">
      <c r="A610">
        <v>963</v>
      </c>
      <c r="B610" t="s">
        <v>46</v>
      </c>
      <c r="C610">
        <v>41</v>
      </c>
      <c r="D610">
        <v>206</v>
      </c>
      <c r="E610" t="s">
        <v>939</v>
      </c>
      <c r="F610" t="s">
        <v>929</v>
      </c>
      <c r="G610">
        <v>41206</v>
      </c>
      <c r="H610">
        <v>41206</v>
      </c>
      <c r="I610" t="s">
        <v>49</v>
      </c>
      <c r="J610">
        <v>4102</v>
      </c>
      <c r="K610" t="s">
        <v>112</v>
      </c>
      <c r="L610" t="s">
        <v>80</v>
      </c>
      <c r="M610" t="s">
        <v>53</v>
      </c>
      <c r="N610">
        <v>7693</v>
      </c>
      <c r="O610" t="s">
        <v>53</v>
      </c>
      <c r="P610" t="s">
        <v>70</v>
      </c>
      <c r="Q610" t="s">
        <v>71</v>
      </c>
      <c r="R610" t="s">
        <v>122</v>
      </c>
      <c r="S610" t="s">
        <v>57</v>
      </c>
      <c r="T610" t="s">
        <v>73</v>
      </c>
      <c r="U610" t="s">
        <v>101</v>
      </c>
      <c r="V610">
        <v>0.58868399999999999</v>
      </c>
      <c r="W610">
        <v>2018</v>
      </c>
      <c r="X610" t="s">
        <v>217</v>
      </c>
      <c r="Y610" t="s">
        <v>218</v>
      </c>
      <c r="Z610" t="str">
        <f t="shared" si="18"/>
        <v>Mayor que 40 - hasta 50</v>
      </c>
      <c r="AA610">
        <f t="shared" si="19"/>
        <v>0</v>
      </c>
      <c r="AB610">
        <v>41206</v>
      </c>
      <c r="AC610" t="s">
        <v>632</v>
      </c>
      <c r="AD610" t="s">
        <v>928</v>
      </c>
      <c r="AE610">
        <v>3.2253759999999998</v>
      </c>
      <c r="AF610" t="s">
        <v>84</v>
      </c>
      <c r="AG610">
        <v>96.464378999999994</v>
      </c>
      <c r="AH610" t="s">
        <v>632</v>
      </c>
      <c r="AI610" t="s">
        <v>928</v>
      </c>
      <c r="AJ610">
        <v>3.1755399999999998</v>
      </c>
      <c r="AK610" t="s">
        <v>84</v>
      </c>
      <c r="AL610">
        <v>95.564379000000002</v>
      </c>
      <c r="AM610" t="s">
        <v>97</v>
      </c>
      <c r="AN610" s="7">
        <v>2.8835824965041379</v>
      </c>
      <c r="AO610" t="s">
        <v>64</v>
      </c>
      <c r="AP610" s="3">
        <v>6</v>
      </c>
      <c r="AQ610">
        <v>3</v>
      </c>
      <c r="AR610">
        <v>732.93814999999995</v>
      </c>
      <c r="AS610" t="s">
        <v>66</v>
      </c>
      <c r="AT610" t="s">
        <v>53</v>
      </c>
    </row>
    <row r="611" spans="1:46">
      <c r="A611">
        <v>962</v>
      </c>
      <c r="B611" t="s">
        <v>46</v>
      </c>
      <c r="C611">
        <v>41</v>
      </c>
      <c r="D611">
        <v>244</v>
      </c>
      <c r="E611" t="s">
        <v>940</v>
      </c>
      <c r="F611" t="s">
        <v>929</v>
      </c>
      <c r="G611">
        <v>41244</v>
      </c>
      <c r="H611">
        <v>41244</v>
      </c>
      <c r="I611" t="s">
        <v>49</v>
      </c>
      <c r="J611">
        <v>4104</v>
      </c>
      <c r="K611" t="s">
        <v>297</v>
      </c>
      <c r="L611" t="s">
        <v>69</v>
      </c>
      <c r="M611" t="s">
        <v>53</v>
      </c>
      <c r="N611">
        <v>4532</v>
      </c>
      <c r="O611" t="s">
        <v>53</v>
      </c>
      <c r="P611" t="s">
        <v>70</v>
      </c>
      <c r="Q611" t="s">
        <v>71</v>
      </c>
      <c r="R611" t="s">
        <v>72</v>
      </c>
      <c r="S611" t="s">
        <v>57</v>
      </c>
      <c r="T611" t="s">
        <v>58</v>
      </c>
      <c r="U611" t="s">
        <v>81</v>
      </c>
      <c r="V611">
        <v>0.64952699999999997</v>
      </c>
      <c r="W611">
        <v>2018</v>
      </c>
      <c r="X611" t="s">
        <v>217</v>
      </c>
      <c r="Y611" t="s">
        <v>218</v>
      </c>
      <c r="Z611" t="str">
        <f t="shared" si="18"/>
        <v>Mayor que 40 - hasta 50</v>
      </c>
      <c r="AA611">
        <f t="shared" si="19"/>
        <v>0</v>
      </c>
      <c r="AB611">
        <v>41244</v>
      </c>
      <c r="AC611" t="s">
        <v>632</v>
      </c>
      <c r="AD611" t="s">
        <v>931</v>
      </c>
      <c r="AE611">
        <v>0.869699</v>
      </c>
      <c r="AF611" t="s">
        <v>63</v>
      </c>
      <c r="AG611">
        <v>32.340411000000003</v>
      </c>
      <c r="AH611" t="s">
        <v>592</v>
      </c>
      <c r="AI611" t="s">
        <v>587</v>
      </c>
      <c r="AJ611">
        <v>3.3917069999999998</v>
      </c>
      <c r="AK611" t="s">
        <v>84</v>
      </c>
      <c r="AL611">
        <v>113.373925</v>
      </c>
      <c r="AM611" t="s">
        <v>65</v>
      </c>
      <c r="AN611" s="7">
        <v>13.141993931433911</v>
      </c>
      <c r="AO611" t="s">
        <v>65</v>
      </c>
      <c r="AP611" s="3">
        <v>31</v>
      </c>
      <c r="AQ611">
        <v>2</v>
      </c>
      <c r="AR611">
        <v>21.602187000000001</v>
      </c>
      <c r="AS611" t="s">
        <v>66</v>
      </c>
      <c r="AT611" t="s">
        <v>53</v>
      </c>
    </row>
    <row r="612" spans="1:46">
      <c r="A612">
        <v>961</v>
      </c>
      <c r="B612" t="s">
        <v>46</v>
      </c>
      <c r="C612">
        <v>41</v>
      </c>
      <c r="D612">
        <v>298</v>
      </c>
      <c r="E612" t="s">
        <v>941</v>
      </c>
      <c r="F612" t="s">
        <v>929</v>
      </c>
      <c r="G612">
        <v>41298</v>
      </c>
      <c r="H612">
        <v>41298</v>
      </c>
      <c r="I612" t="s">
        <v>49</v>
      </c>
      <c r="J612">
        <v>4101</v>
      </c>
      <c r="K612" t="s">
        <v>409</v>
      </c>
      <c r="L612" t="s">
        <v>91</v>
      </c>
      <c r="M612" t="s">
        <v>53</v>
      </c>
      <c r="N612">
        <v>77794</v>
      </c>
      <c r="O612" t="s">
        <v>53</v>
      </c>
      <c r="P612" t="s">
        <v>92</v>
      </c>
      <c r="Q612" t="s">
        <v>71</v>
      </c>
      <c r="R612" t="s">
        <v>105</v>
      </c>
      <c r="S612" t="s">
        <v>57</v>
      </c>
      <c r="T612" t="s">
        <v>58</v>
      </c>
      <c r="U612" t="s">
        <v>59</v>
      </c>
      <c r="V612">
        <v>0.338362</v>
      </c>
      <c r="W612">
        <v>2018</v>
      </c>
      <c r="X612" t="s">
        <v>144</v>
      </c>
      <c r="Y612" t="s">
        <v>145</v>
      </c>
      <c r="Z612" t="str">
        <f t="shared" si="18"/>
        <v>Mayor que 70 - hasta 80</v>
      </c>
      <c r="AA612">
        <f t="shared" si="19"/>
        <v>0</v>
      </c>
      <c r="AB612">
        <v>41298</v>
      </c>
      <c r="AC612" t="s">
        <v>632</v>
      </c>
      <c r="AD612" t="s">
        <v>933</v>
      </c>
      <c r="AE612">
        <v>0</v>
      </c>
      <c r="AF612" t="s">
        <v>63</v>
      </c>
      <c r="AG612">
        <v>0</v>
      </c>
      <c r="AH612" t="s">
        <v>632</v>
      </c>
      <c r="AI612" t="s">
        <v>928</v>
      </c>
      <c r="AJ612">
        <v>2.399826</v>
      </c>
      <c r="AK612" t="s">
        <v>77</v>
      </c>
      <c r="AL612">
        <v>117.12539700000001</v>
      </c>
      <c r="AM612" t="s">
        <v>65</v>
      </c>
      <c r="AN612" s="7">
        <v>315.18975945255397</v>
      </c>
      <c r="AO612" t="s">
        <v>65</v>
      </c>
      <c r="AP612" s="3">
        <v>319</v>
      </c>
      <c r="AQ612">
        <v>2</v>
      </c>
      <c r="AR612">
        <v>460.89412600000003</v>
      </c>
      <c r="AS612" t="s">
        <v>66</v>
      </c>
      <c r="AT612" t="s">
        <v>53</v>
      </c>
    </row>
    <row r="613" spans="1:46">
      <c r="A613">
        <v>935</v>
      </c>
      <c r="B613" t="s">
        <v>46</v>
      </c>
      <c r="C613">
        <v>41</v>
      </c>
      <c r="D613">
        <v>306</v>
      </c>
      <c r="E613" t="s">
        <v>942</v>
      </c>
      <c r="F613" t="s">
        <v>929</v>
      </c>
      <c r="G613">
        <v>41306</v>
      </c>
      <c r="H613">
        <v>41306</v>
      </c>
      <c r="I613" t="s">
        <v>49</v>
      </c>
      <c r="J613">
        <v>4101</v>
      </c>
      <c r="K613" t="s">
        <v>409</v>
      </c>
      <c r="L613" t="s">
        <v>91</v>
      </c>
      <c r="M613" t="s">
        <v>53</v>
      </c>
      <c r="N613">
        <v>26304</v>
      </c>
      <c r="O613" t="s">
        <v>53</v>
      </c>
      <c r="P613" t="s">
        <v>70</v>
      </c>
      <c r="Q613" t="s">
        <v>71</v>
      </c>
      <c r="R613" t="s">
        <v>122</v>
      </c>
      <c r="S613" t="s">
        <v>57</v>
      </c>
      <c r="T613" t="s">
        <v>58</v>
      </c>
      <c r="U613" t="s">
        <v>59</v>
      </c>
      <c r="V613">
        <v>0.68108000000000002</v>
      </c>
      <c r="W613">
        <v>2018</v>
      </c>
      <c r="X613" t="s">
        <v>144</v>
      </c>
      <c r="Y613" t="s">
        <v>145</v>
      </c>
      <c r="Z613" t="str">
        <f t="shared" si="18"/>
        <v>Mayor que 70 - hasta 80</v>
      </c>
      <c r="AA613">
        <f t="shared" si="19"/>
        <v>0</v>
      </c>
      <c r="AB613">
        <v>41306</v>
      </c>
      <c r="AC613" t="s">
        <v>632</v>
      </c>
      <c r="AD613" t="s">
        <v>933</v>
      </c>
      <c r="AE613">
        <v>0.65766899999999995</v>
      </c>
      <c r="AF613" t="s">
        <v>63</v>
      </c>
      <c r="AG613">
        <v>30.577670000000001</v>
      </c>
      <c r="AH613" t="s">
        <v>632</v>
      </c>
      <c r="AI613" t="s">
        <v>928</v>
      </c>
      <c r="AJ613">
        <v>1.8671960000000001</v>
      </c>
      <c r="AK613" t="s">
        <v>76</v>
      </c>
      <c r="AL613">
        <v>88.454834000000005</v>
      </c>
      <c r="AM613" t="s">
        <v>65</v>
      </c>
      <c r="AN613" s="7">
        <v>26.661992821812571</v>
      </c>
      <c r="AO613" t="s">
        <v>65</v>
      </c>
      <c r="AP613" s="3">
        <v>27</v>
      </c>
      <c r="AQ613">
        <v>2</v>
      </c>
      <c r="AR613">
        <v>28.512308999999998</v>
      </c>
      <c r="AS613" t="s">
        <v>66</v>
      </c>
      <c r="AT613" t="s">
        <v>53</v>
      </c>
    </row>
    <row r="614" spans="1:46">
      <c r="A614">
        <v>936</v>
      </c>
      <c r="B614" t="s">
        <v>46</v>
      </c>
      <c r="C614">
        <v>41</v>
      </c>
      <c r="D614">
        <v>319</v>
      </c>
      <c r="E614" t="s">
        <v>198</v>
      </c>
      <c r="F614" t="s">
        <v>929</v>
      </c>
      <c r="G614">
        <v>41319</v>
      </c>
      <c r="H614">
        <v>41319</v>
      </c>
      <c r="I614" t="s">
        <v>49</v>
      </c>
      <c r="J614">
        <v>4101</v>
      </c>
      <c r="K614" t="s">
        <v>409</v>
      </c>
      <c r="L614" t="s">
        <v>69</v>
      </c>
      <c r="M614" t="s">
        <v>53</v>
      </c>
      <c r="N614">
        <v>19266</v>
      </c>
      <c r="O614" t="s">
        <v>53</v>
      </c>
      <c r="P614" t="s">
        <v>70</v>
      </c>
      <c r="Q614" t="s">
        <v>71</v>
      </c>
      <c r="R614" t="s">
        <v>122</v>
      </c>
      <c r="S614" t="s">
        <v>57</v>
      </c>
      <c r="T614" t="s">
        <v>58</v>
      </c>
      <c r="U614" t="s">
        <v>59</v>
      </c>
      <c r="V614">
        <v>0.34975200000000001</v>
      </c>
      <c r="W614">
        <v>2018</v>
      </c>
      <c r="X614" t="s">
        <v>109</v>
      </c>
      <c r="Y614" t="s">
        <v>116</v>
      </c>
      <c r="Z614" t="str">
        <f t="shared" si="18"/>
        <v>Mayor que 30 - hasta 40</v>
      </c>
      <c r="AA614">
        <f t="shared" si="19"/>
        <v>1</v>
      </c>
      <c r="AB614">
        <v>41319</v>
      </c>
      <c r="AC614" t="s">
        <v>632</v>
      </c>
      <c r="AD614" t="s">
        <v>933</v>
      </c>
      <c r="AE614">
        <v>1.0296749999999999</v>
      </c>
      <c r="AF614" t="s">
        <v>76</v>
      </c>
      <c r="AG614">
        <v>36.217365999999998</v>
      </c>
      <c r="AH614" t="s">
        <v>592</v>
      </c>
      <c r="AI614" t="s">
        <v>587</v>
      </c>
      <c r="AJ614">
        <v>2.780672</v>
      </c>
      <c r="AK614" t="s">
        <v>77</v>
      </c>
      <c r="AL614">
        <v>86.707525000000004</v>
      </c>
      <c r="AM614" t="s">
        <v>64</v>
      </c>
      <c r="AN614" s="7">
        <v>45.270366430312507</v>
      </c>
      <c r="AO614" t="s">
        <v>64</v>
      </c>
      <c r="AP614" s="3">
        <v>3</v>
      </c>
      <c r="AQ614">
        <v>1</v>
      </c>
      <c r="AR614">
        <v>45.217219</v>
      </c>
      <c r="AS614" t="s">
        <v>66</v>
      </c>
      <c r="AT614" t="s">
        <v>53</v>
      </c>
    </row>
    <row r="615" spans="1:46">
      <c r="A615">
        <v>937</v>
      </c>
      <c r="B615" t="s">
        <v>46</v>
      </c>
      <c r="C615">
        <v>41</v>
      </c>
      <c r="D615">
        <v>349</v>
      </c>
      <c r="E615" t="s">
        <v>943</v>
      </c>
      <c r="F615" t="s">
        <v>929</v>
      </c>
      <c r="G615">
        <v>41349</v>
      </c>
      <c r="H615">
        <v>41349</v>
      </c>
      <c r="I615" t="s">
        <v>49</v>
      </c>
      <c r="J615">
        <v>4102</v>
      </c>
      <c r="K615" t="s">
        <v>112</v>
      </c>
      <c r="L615" t="s">
        <v>69</v>
      </c>
      <c r="M615" t="s">
        <v>53</v>
      </c>
      <c r="N615">
        <v>7757</v>
      </c>
      <c r="O615" t="s">
        <v>53</v>
      </c>
      <c r="P615" t="s">
        <v>70</v>
      </c>
      <c r="Q615" t="s">
        <v>71</v>
      </c>
      <c r="R615" t="s">
        <v>93</v>
      </c>
      <c r="S615" t="s">
        <v>57</v>
      </c>
      <c r="T615" t="s">
        <v>73</v>
      </c>
      <c r="U615" t="s">
        <v>59</v>
      </c>
      <c r="V615">
        <v>0.34303499999999998</v>
      </c>
      <c r="W615">
        <v>2018</v>
      </c>
      <c r="X615" t="s">
        <v>217</v>
      </c>
      <c r="Y615" t="s">
        <v>167</v>
      </c>
      <c r="Z615" t="str">
        <f t="shared" si="18"/>
        <v>Mayor que 50 - hasta 60</v>
      </c>
      <c r="AA615">
        <f t="shared" si="19"/>
        <v>1</v>
      </c>
      <c r="AB615">
        <v>41349</v>
      </c>
      <c r="AC615" t="s">
        <v>632</v>
      </c>
      <c r="AD615" t="s">
        <v>928</v>
      </c>
      <c r="AE615">
        <v>1.2067380000000001</v>
      </c>
      <c r="AF615" t="s">
        <v>76</v>
      </c>
      <c r="AG615">
        <v>55.314422999999998</v>
      </c>
      <c r="AH615" t="s">
        <v>632</v>
      </c>
      <c r="AI615" t="s">
        <v>928</v>
      </c>
      <c r="AJ615">
        <v>1.093904</v>
      </c>
      <c r="AK615" t="s">
        <v>76</v>
      </c>
      <c r="AL615">
        <v>53.907316000000002</v>
      </c>
      <c r="AM615" t="s">
        <v>65</v>
      </c>
      <c r="AN615" s="7">
        <v>218.71954981388021</v>
      </c>
      <c r="AO615" t="s">
        <v>65</v>
      </c>
      <c r="AP615" s="3">
        <v>63</v>
      </c>
      <c r="AQ615">
        <v>2</v>
      </c>
      <c r="AR615">
        <v>144.40449699999999</v>
      </c>
      <c r="AS615" t="s">
        <v>66</v>
      </c>
      <c r="AT615" t="s">
        <v>53</v>
      </c>
    </row>
    <row r="616" spans="1:46">
      <c r="A616">
        <v>938</v>
      </c>
      <c r="B616" t="s">
        <v>46</v>
      </c>
      <c r="C616">
        <v>41</v>
      </c>
      <c r="D616">
        <v>357</v>
      </c>
      <c r="E616" t="s">
        <v>944</v>
      </c>
      <c r="F616" t="s">
        <v>929</v>
      </c>
      <c r="G616">
        <v>41357</v>
      </c>
      <c r="H616">
        <v>41357</v>
      </c>
      <c r="I616" t="s">
        <v>49</v>
      </c>
      <c r="J616">
        <v>4102</v>
      </c>
      <c r="K616" t="s">
        <v>112</v>
      </c>
      <c r="L616" t="s">
        <v>80</v>
      </c>
      <c r="M616" t="s">
        <v>53</v>
      </c>
      <c r="N616">
        <v>9939</v>
      </c>
      <c r="O616" t="s">
        <v>53</v>
      </c>
      <c r="P616" t="s">
        <v>70</v>
      </c>
      <c r="Q616" t="s">
        <v>71</v>
      </c>
      <c r="R616" t="s">
        <v>122</v>
      </c>
      <c r="S616" t="s">
        <v>57</v>
      </c>
      <c r="T616" t="s">
        <v>58</v>
      </c>
      <c r="U616" t="s">
        <v>119</v>
      </c>
      <c r="V616">
        <v>0.351273</v>
      </c>
      <c r="W616">
        <v>2018</v>
      </c>
      <c r="X616" t="s">
        <v>176</v>
      </c>
      <c r="Y616" t="s">
        <v>177</v>
      </c>
      <c r="Z616" t="str">
        <f t="shared" si="18"/>
        <v>Mayor que 20 - hasta 30</v>
      </c>
      <c r="AA616">
        <f t="shared" si="19"/>
        <v>0</v>
      </c>
      <c r="AB616">
        <v>41357</v>
      </c>
      <c r="AC616" t="s">
        <v>632</v>
      </c>
      <c r="AD616" t="s">
        <v>633</v>
      </c>
      <c r="AE616">
        <v>1.900711</v>
      </c>
      <c r="AF616" t="s">
        <v>76</v>
      </c>
      <c r="AG616">
        <v>54.002648000000001</v>
      </c>
      <c r="AH616" t="s">
        <v>632</v>
      </c>
      <c r="AI616" t="s">
        <v>928</v>
      </c>
      <c r="AJ616">
        <v>2.2469079999999999</v>
      </c>
      <c r="AK616" t="s">
        <v>77</v>
      </c>
      <c r="AL616">
        <v>65.723967999999999</v>
      </c>
      <c r="AM616" t="s">
        <v>64</v>
      </c>
      <c r="AN616" s="7">
        <v>788.17560300219384</v>
      </c>
      <c r="AO616" t="s">
        <v>65</v>
      </c>
      <c r="AP616" s="3">
        <v>114</v>
      </c>
      <c r="AQ616">
        <v>3</v>
      </c>
      <c r="AR616">
        <v>1044.9568879999999</v>
      </c>
      <c r="AS616" t="s">
        <v>66</v>
      </c>
      <c r="AT616" t="s">
        <v>53</v>
      </c>
    </row>
    <row r="617" spans="1:46">
      <c r="A617">
        <v>939</v>
      </c>
      <c r="B617" t="s">
        <v>46</v>
      </c>
      <c r="C617">
        <v>41</v>
      </c>
      <c r="D617">
        <v>359</v>
      </c>
      <c r="E617" t="s">
        <v>945</v>
      </c>
      <c r="F617" t="s">
        <v>929</v>
      </c>
      <c r="G617">
        <v>41359</v>
      </c>
      <c r="H617">
        <v>41359</v>
      </c>
      <c r="I617" t="s">
        <v>49</v>
      </c>
      <c r="J617">
        <v>4104</v>
      </c>
      <c r="K617" t="s">
        <v>297</v>
      </c>
      <c r="L617" t="s">
        <v>80</v>
      </c>
      <c r="M617" t="s">
        <v>53</v>
      </c>
      <c r="N617">
        <v>27197</v>
      </c>
      <c r="O617" t="s">
        <v>53</v>
      </c>
      <c r="P617" t="s">
        <v>70</v>
      </c>
      <c r="Q617" t="s">
        <v>71</v>
      </c>
      <c r="R617" t="s">
        <v>72</v>
      </c>
      <c r="S617" t="s">
        <v>57</v>
      </c>
      <c r="T617" t="s">
        <v>73</v>
      </c>
      <c r="U617" t="s">
        <v>119</v>
      </c>
      <c r="V617">
        <v>0.75026199999999998</v>
      </c>
      <c r="W617">
        <v>2018</v>
      </c>
      <c r="X617" t="s">
        <v>217</v>
      </c>
      <c r="Y617" t="s">
        <v>127</v>
      </c>
      <c r="Z617" t="str">
        <f t="shared" si="18"/>
        <v>Mayor que 70 - hasta 80</v>
      </c>
      <c r="AA617">
        <f t="shared" si="19"/>
        <v>1</v>
      </c>
      <c r="AB617">
        <v>41359</v>
      </c>
      <c r="AC617" t="s">
        <v>632</v>
      </c>
      <c r="AD617" t="s">
        <v>931</v>
      </c>
      <c r="AE617">
        <v>0.83641900000000002</v>
      </c>
      <c r="AF617" t="s">
        <v>63</v>
      </c>
      <c r="AG617">
        <v>34.149242000000001</v>
      </c>
      <c r="AH617" t="s">
        <v>592</v>
      </c>
      <c r="AI617" t="s">
        <v>612</v>
      </c>
      <c r="AJ617">
        <v>3.7214140000000002</v>
      </c>
      <c r="AK617" t="s">
        <v>84</v>
      </c>
      <c r="AL617">
        <v>101.52712099999999</v>
      </c>
      <c r="AM617" t="s">
        <v>65</v>
      </c>
      <c r="AN617" s="7">
        <v>18.82115305869171</v>
      </c>
      <c r="AO617" t="s">
        <v>65</v>
      </c>
      <c r="AP617" s="3">
        <v>19</v>
      </c>
      <c r="AQ617">
        <v>1</v>
      </c>
      <c r="AR617">
        <v>11.20636</v>
      </c>
      <c r="AS617" t="s">
        <v>66</v>
      </c>
      <c r="AT617" t="s">
        <v>53</v>
      </c>
    </row>
    <row r="618" spans="1:46">
      <c r="A618">
        <v>940</v>
      </c>
      <c r="B618" t="s">
        <v>46</v>
      </c>
      <c r="C618">
        <v>41</v>
      </c>
      <c r="D618">
        <v>378</v>
      </c>
      <c r="E618" t="s">
        <v>946</v>
      </c>
      <c r="F618" t="s">
        <v>929</v>
      </c>
      <c r="G618">
        <v>41378</v>
      </c>
      <c r="H618">
        <v>41378</v>
      </c>
      <c r="I618" t="s">
        <v>49</v>
      </c>
      <c r="J618">
        <v>4103</v>
      </c>
      <c r="K618" t="s">
        <v>79</v>
      </c>
      <c r="L618" t="s">
        <v>69</v>
      </c>
      <c r="M618" t="s">
        <v>53</v>
      </c>
      <c r="N618">
        <v>13884</v>
      </c>
      <c r="O618" t="s">
        <v>53</v>
      </c>
      <c r="P618" t="s">
        <v>70</v>
      </c>
      <c r="Q618" t="s">
        <v>71</v>
      </c>
      <c r="R618" t="s">
        <v>122</v>
      </c>
      <c r="S618" t="s">
        <v>57</v>
      </c>
      <c r="T618" t="s">
        <v>58</v>
      </c>
      <c r="U618" t="s">
        <v>119</v>
      </c>
      <c r="V618">
        <v>0.502722</v>
      </c>
      <c r="W618">
        <v>2018</v>
      </c>
      <c r="X618" t="s">
        <v>176</v>
      </c>
      <c r="Y618" t="s">
        <v>177</v>
      </c>
      <c r="Z618" t="str">
        <f t="shared" si="18"/>
        <v>Mayor que 20 - hasta 30</v>
      </c>
      <c r="AA618">
        <f t="shared" si="19"/>
        <v>0</v>
      </c>
      <c r="AB618">
        <v>41378</v>
      </c>
      <c r="AC618" t="s">
        <v>632</v>
      </c>
      <c r="AD618" t="s">
        <v>633</v>
      </c>
      <c r="AE618">
        <v>0.79905400000000004</v>
      </c>
      <c r="AF618" t="s">
        <v>63</v>
      </c>
      <c r="AG618">
        <v>30.211984000000001</v>
      </c>
      <c r="AH618" t="s">
        <v>592</v>
      </c>
      <c r="AI618" t="s">
        <v>612</v>
      </c>
      <c r="AJ618">
        <v>2.9024100000000002</v>
      </c>
      <c r="AK618" t="s">
        <v>77</v>
      </c>
      <c r="AL618">
        <v>102.337172</v>
      </c>
      <c r="AM618" t="s">
        <v>65</v>
      </c>
      <c r="AN618" s="7">
        <v>1723.0563998949949</v>
      </c>
      <c r="AO618" t="s">
        <v>65</v>
      </c>
      <c r="AP618" s="3">
        <v>667</v>
      </c>
      <c r="AQ618">
        <v>1</v>
      </c>
      <c r="AR618">
        <v>1256.3068780000001</v>
      </c>
      <c r="AS618" t="s">
        <v>66</v>
      </c>
      <c r="AT618" t="s">
        <v>53</v>
      </c>
    </row>
    <row r="619" spans="1:46">
      <c r="A619">
        <v>941</v>
      </c>
      <c r="B619" t="s">
        <v>46</v>
      </c>
      <c r="C619">
        <v>41</v>
      </c>
      <c r="D619">
        <v>396</v>
      </c>
      <c r="E619" t="s">
        <v>633</v>
      </c>
      <c r="F619" t="s">
        <v>929</v>
      </c>
      <c r="G619">
        <v>41396</v>
      </c>
      <c r="H619">
        <v>41396</v>
      </c>
      <c r="I619" t="s">
        <v>49</v>
      </c>
      <c r="J619">
        <v>4103</v>
      </c>
      <c r="K619" t="s">
        <v>79</v>
      </c>
      <c r="L619" t="s">
        <v>91</v>
      </c>
      <c r="M619" t="s">
        <v>53</v>
      </c>
      <c r="N619">
        <v>65676</v>
      </c>
      <c r="O619" t="s">
        <v>53</v>
      </c>
      <c r="P619" t="s">
        <v>92</v>
      </c>
      <c r="Q619" t="s">
        <v>71</v>
      </c>
      <c r="R619" t="s">
        <v>56</v>
      </c>
      <c r="S619" t="s">
        <v>57</v>
      </c>
      <c r="T619" t="s">
        <v>58</v>
      </c>
      <c r="U619" t="s">
        <v>119</v>
      </c>
      <c r="V619">
        <v>0.29082799999999998</v>
      </c>
      <c r="W619">
        <v>2018</v>
      </c>
      <c r="X619" t="s">
        <v>176</v>
      </c>
      <c r="Y619" t="s">
        <v>165</v>
      </c>
      <c r="Z619" t="str">
        <f t="shared" si="18"/>
        <v>Mayor que 60 - hasta 70</v>
      </c>
      <c r="AA619">
        <f t="shared" si="19"/>
        <v>1</v>
      </c>
      <c r="AB619">
        <v>41396</v>
      </c>
      <c r="AC619" t="s">
        <v>632</v>
      </c>
      <c r="AD619" t="s">
        <v>633</v>
      </c>
      <c r="AE619">
        <v>0</v>
      </c>
      <c r="AF619" t="s">
        <v>63</v>
      </c>
      <c r="AG619">
        <v>0</v>
      </c>
      <c r="AH619" t="s">
        <v>632</v>
      </c>
      <c r="AI619" t="s">
        <v>928</v>
      </c>
      <c r="AJ619">
        <v>2.6514190000000002</v>
      </c>
      <c r="AK619" t="s">
        <v>77</v>
      </c>
      <c r="AL619">
        <v>126.15088</v>
      </c>
      <c r="AM619" t="s">
        <v>65</v>
      </c>
      <c r="AN619" s="7">
        <v>2191.3531595998738</v>
      </c>
      <c r="AO619" t="s">
        <v>65</v>
      </c>
      <c r="AP619" s="3">
        <v>943</v>
      </c>
      <c r="AQ619">
        <v>2</v>
      </c>
      <c r="AR619">
        <v>2372.5866019999999</v>
      </c>
      <c r="AS619" t="s">
        <v>66</v>
      </c>
      <c r="AT619" t="s">
        <v>53</v>
      </c>
    </row>
    <row r="620" spans="1:46">
      <c r="A620">
        <v>942</v>
      </c>
      <c r="B620" t="s">
        <v>46</v>
      </c>
      <c r="C620">
        <v>41</v>
      </c>
      <c r="D620">
        <v>483</v>
      </c>
      <c r="E620" t="s">
        <v>947</v>
      </c>
      <c r="F620" t="s">
        <v>929</v>
      </c>
      <c r="G620">
        <v>41483</v>
      </c>
      <c r="H620">
        <v>41483</v>
      </c>
      <c r="I620" t="s">
        <v>49</v>
      </c>
      <c r="J620">
        <v>4103</v>
      </c>
      <c r="K620" t="s">
        <v>79</v>
      </c>
      <c r="L620" t="s">
        <v>69</v>
      </c>
      <c r="M620" t="s">
        <v>53</v>
      </c>
      <c r="N620">
        <v>6950</v>
      </c>
      <c r="O620" t="s">
        <v>53</v>
      </c>
      <c r="P620" t="s">
        <v>70</v>
      </c>
      <c r="Q620" t="s">
        <v>71</v>
      </c>
      <c r="R620" t="s">
        <v>105</v>
      </c>
      <c r="S620" t="s">
        <v>57</v>
      </c>
      <c r="T620" t="s">
        <v>58</v>
      </c>
      <c r="U620" t="s">
        <v>59</v>
      </c>
      <c r="V620">
        <v>0.43156899999999998</v>
      </c>
      <c r="W620">
        <v>2018</v>
      </c>
      <c r="X620" t="s">
        <v>310</v>
      </c>
      <c r="Y620" t="s">
        <v>116</v>
      </c>
      <c r="Z620" t="str">
        <f t="shared" si="18"/>
        <v>Mayor que 30 - hasta 40</v>
      </c>
      <c r="AA620">
        <f t="shared" si="19"/>
        <v>1</v>
      </c>
      <c r="AB620">
        <v>41483</v>
      </c>
      <c r="AC620" t="s">
        <v>632</v>
      </c>
      <c r="AD620" t="s">
        <v>633</v>
      </c>
      <c r="AE620">
        <v>0.68990899999999999</v>
      </c>
      <c r="AF620" t="s">
        <v>63</v>
      </c>
      <c r="AG620">
        <v>23.239191999999999</v>
      </c>
      <c r="AH620" t="s">
        <v>632</v>
      </c>
      <c r="AI620" t="s">
        <v>928</v>
      </c>
      <c r="AJ620">
        <v>2.5046050000000002</v>
      </c>
      <c r="AK620" t="s">
        <v>77</v>
      </c>
      <c r="AL620">
        <v>120.12833999999999</v>
      </c>
      <c r="AM620" t="s">
        <v>65</v>
      </c>
      <c r="AN620" s="7">
        <v>866.18821161865515</v>
      </c>
      <c r="AO620" t="s">
        <v>65</v>
      </c>
      <c r="AP620" s="3">
        <v>269</v>
      </c>
      <c r="AQ620">
        <v>4</v>
      </c>
      <c r="AR620">
        <v>841.338617</v>
      </c>
      <c r="AS620" t="s">
        <v>66</v>
      </c>
      <c r="AT620" t="s">
        <v>53</v>
      </c>
    </row>
    <row r="621" spans="1:46">
      <c r="A621">
        <v>943</v>
      </c>
      <c r="B621" t="s">
        <v>46</v>
      </c>
      <c r="C621">
        <v>41</v>
      </c>
      <c r="D621">
        <v>503</v>
      </c>
      <c r="E621" t="s">
        <v>948</v>
      </c>
      <c r="F621" t="s">
        <v>929</v>
      </c>
      <c r="G621">
        <v>41503</v>
      </c>
      <c r="H621">
        <v>41503</v>
      </c>
      <c r="I621" t="s">
        <v>49</v>
      </c>
      <c r="J621">
        <v>4104</v>
      </c>
      <c r="K621" t="s">
        <v>297</v>
      </c>
      <c r="L621" t="s">
        <v>69</v>
      </c>
      <c r="M621" t="s">
        <v>53</v>
      </c>
      <c r="N621">
        <v>12537</v>
      </c>
      <c r="O621" t="s">
        <v>53</v>
      </c>
      <c r="P621" t="s">
        <v>70</v>
      </c>
      <c r="Q621" t="s">
        <v>71</v>
      </c>
      <c r="R621" t="s">
        <v>72</v>
      </c>
      <c r="S621" t="s">
        <v>57</v>
      </c>
      <c r="T621" t="s">
        <v>58</v>
      </c>
      <c r="U621" t="s">
        <v>59</v>
      </c>
      <c r="V621">
        <v>0.64656100000000005</v>
      </c>
      <c r="W621">
        <v>2018</v>
      </c>
      <c r="X621" t="s">
        <v>109</v>
      </c>
      <c r="Y621" t="s">
        <v>110</v>
      </c>
      <c r="Z621" t="str">
        <f t="shared" si="18"/>
        <v>Mayor que 30 - hasta 40</v>
      </c>
      <c r="AA621">
        <f t="shared" si="19"/>
        <v>0</v>
      </c>
      <c r="AB621">
        <v>41503</v>
      </c>
      <c r="AC621" t="s">
        <v>632</v>
      </c>
      <c r="AD621" t="s">
        <v>931</v>
      </c>
      <c r="AE621">
        <v>0.88151299999999999</v>
      </c>
      <c r="AF621" t="s">
        <v>63</v>
      </c>
      <c r="AG621">
        <v>26.773506000000001</v>
      </c>
      <c r="AH621" t="s">
        <v>592</v>
      </c>
      <c r="AI621" t="s">
        <v>612</v>
      </c>
      <c r="AJ621">
        <v>4.0379990000000001</v>
      </c>
      <c r="AK621" t="s">
        <v>85</v>
      </c>
      <c r="AL621">
        <v>137.91189700000001</v>
      </c>
      <c r="AM621" t="s">
        <v>65</v>
      </c>
      <c r="AN621" s="7">
        <v>181.1103833737246</v>
      </c>
      <c r="AO621" t="s">
        <v>65</v>
      </c>
      <c r="AP621" s="3">
        <v>140</v>
      </c>
      <c r="AQ621">
        <v>4</v>
      </c>
      <c r="AR621">
        <v>99.271752000000006</v>
      </c>
      <c r="AS621" t="s">
        <v>66</v>
      </c>
      <c r="AT621" t="s">
        <v>53</v>
      </c>
    </row>
    <row r="622" spans="1:46">
      <c r="A622">
        <v>944</v>
      </c>
      <c r="B622" t="s">
        <v>46</v>
      </c>
      <c r="C622">
        <v>41</v>
      </c>
      <c r="D622">
        <v>518</v>
      </c>
      <c r="E622" t="s">
        <v>949</v>
      </c>
      <c r="F622" t="s">
        <v>929</v>
      </c>
      <c r="G622">
        <v>41518</v>
      </c>
      <c r="H622">
        <v>41518</v>
      </c>
      <c r="I622" t="s">
        <v>49</v>
      </c>
      <c r="J622">
        <v>4103</v>
      </c>
      <c r="K622" t="s">
        <v>79</v>
      </c>
      <c r="L622" t="s">
        <v>69</v>
      </c>
      <c r="M622" t="s">
        <v>53</v>
      </c>
      <c r="N622">
        <v>7078</v>
      </c>
      <c r="O622" t="s">
        <v>53</v>
      </c>
      <c r="P622" t="s">
        <v>70</v>
      </c>
      <c r="Q622" t="s">
        <v>71</v>
      </c>
      <c r="R622" t="s">
        <v>72</v>
      </c>
      <c r="S622" t="s">
        <v>57</v>
      </c>
      <c r="T622" t="s">
        <v>58</v>
      </c>
      <c r="U622" t="s">
        <v>81</v>
      </c>
      <c r="V622">
        <v>0.31814399999999998</v>
      </c>
      <c r="W622">
        <v>2018</v>
      </c>
      <c r="X622" t="s">
        <v>176</v>
      </c>
      <c r="Y622" t="s">
        <v>116</v>
      </c>
      <c r="Z622" t="str">
        <f t="shared" si="18"/>
        <v>Mayor que 30 - hasta 40</v>
      </c>
      <c r="AA622">
        <f t="shared" si="19"/>
        <v>1</v>
      </c>
      <c r="AB622">
        <v>41518</v>
      </c>
      <c r="AC622" t="s">
        <v>632</v>
      </c>
      <c r="AD622" t="s">
        <v>633</v>
      </c>
      <c r="AE622">
        <v>0.57523199999999997</v>
      </c>
      <c r="AF622" t="s">
        <v>63</v>
      </c>
      <c r="AG622">
        <v>22.932085000000001</v>
      </c>
      <c r="AH622" t="s">
        <v>632</v>
      </c>
      <c r="AI622" t="s">
        <v>928</v>
      </c>
      <c r="AJ622">
        <v>2.1319699999999999</v>
      </c>
      <c r="AK622" t="s">
        <v>77</v>
      </c>
      <c r="AL622">
        <v>105.31585099999999</v>
      </c>
      <c r="AM622" t="s">
        <v>64</v>
      </c>
      <c r="AN622" s="7">
        <v>1305.8380128310721</v>
      </c>
      <c r="AO622" t="s">
        <v>65</v>
      </c>
      <c r="AP622" s="3">
        <v>96</v>
      </c>
      <c r="AQ622">
        <v>1</v>
      </c>
      <c r="AR622">
        <v>1752.670926</v>
      </c>
      <c r="AS622" t="s">
        <v>66</v>
      </c>
      <c r="AT622" t="s">
        <v>53</v>
      </c>
    </row>
    <row r="623" spans="1:46">
      <c r="A623">
        <v>945</v>
      </c>
      <c r="B623" t="s">
        <v>46</v>
      </c>
      <c r="C623">
        <v>41</v>
      </c>
      <c r="D623">
        <v>524</v>
      </c>
      <c r="E623" t="s">
        <v>950</v>
      </c>
      <c r="F623" t="s">
        <v>929</v>
      </c>
      <c r="G623">
        <v>41524</v>
      </c>
      <c r="H623">
        <v>41524</v>
      </c>
      <c r="I623" t="s">
        <v>49</v>
      </c>
      <c r="J623">
        <v>4102</v>
      </c>
      <c r="K623" t="s">
        <v>112</v>
      </c>
      <c r="L623" t="s">
        <v>69</v>
      </c>
      <c r="M623" t="s">
        <v>53</v>
      </c>
      <c r="N623">
        <v>28245</v>
      </c>
      <c r="O623" t="s">
        <v>53</v>
      </c>
      <c r="P623" t="s">
        <v>70</v>
      </c>
      <c r="Q623" t="s">
        <v>71</v>
      </c>
      <c r="R623" t="s">
        <v>122</v>
      </c>
      <c r="S623" t="s">
        <v>57</v>
      </c>
      <c r="T623" t="s">
        <v>58</v>
      </c>
      <c r="U623" t="s">
        <v>59</v>
      </c>
      <c r="V623">
        <v>0.25549500000000003</v>
      </c>
      <c r="W623">
        <v>2018</v>
      </c>
      <c r="X623" t="s">
        <v>147</v>
      </c>
      <c r="Y623" t="s">
        <v>127</v>
      </c>
      <c r="Z623" t="str">
        <f t="shared" si="18"/>
        <v>Mayor que 70 - hasta 80</v>
      </c>
      <c r="AA623">
        <f t="shared" si="19"/>
        <v>1</v>
      </c>
      <c r="AB623">
        <v>41524</v>
      </c>
      <c r="AC623" t="s">
        <v>632</v>
      </c>
      <c r="AD623" t="s">
        <v>928</v>
      </c>
      <c r="AE623">
        <v>0.76805500000000004</v>
      </c>
      <c r="AF623" t="s">
        <v>63</v>
      </c>
      <c r="AG623">
        <v>24.920815000000001</v>
      </c>
      <c r="AH623" t="s">
        <v>632</v>
      </c>
      <c r="AI623" t="s">
        <v>928</v>
      </c>
      <c r="AJ623">
        <v>0.71821900000000005</v>
      </c>
      <c r="AK623" t="s">
        <v>63</v>
      </c>
      <c r="AL623">
        <v>24.020814999999999</v>
      </c>
      <c r="AM623" t="s">
        <v>64</v>
      </c>
      <c r="AN623" s="7">
        <v>72.561901044768732</v>
      </c>
      <c r="AO623" t="s">
        <v>65</v>
      </c>
      <c r="AP623" s="3">
        <v>592</v>
      </c>
      <c r="AQ623">
        <v>2</v>
      </c>
      <c r="AR623">
        <v>93.741508999999994</v>
      </c>
      <c r="AS623" t="s">
        <v>66</v>
      </c>
      <c r="AT623" t="s">
        <v>53</v>
      </c>
    </row>
    <row r="624" spans="1:46">
      <c r="A624">
        <v>946</v>
      </c>
      <c r="B624" t="s">
        <v>46</v>
      </c>
      <c r="C624">
        <v>41</v>
      </c>
      <c r="D624">
        <v>530</v>
      </c>
      <c r="E624" t="s">
        <v>575</v>
      </c>
      <c r="F624" t="s">
        <v>929</v>
      </c>
      <c r="G624">
        <v>41530</v>
      </c>
      <c r="H624">
        <v>41530</v>
      </c>
      <c r="I624" t="s">
        <v>49</v>
      </c>
      <c r="J624">
        <v>4104</v>
      </c>
      <c r="K624" t="s">
        <v>297</v>
      </c>
      <c r="L624" t="s">
        <v>69</v>
      </c>
      <c r="M624" t="s">
        <v>53</v>
      </c>
      <c r="N624">
        <v>12077</v>
      </c>
      <c r="O624" t="s">
        <v>53</v>
      </c>
      <c r="P624" t="s">
        <v>70</v>
      </c>
      <c r="Q624" t="s">
        <v>71</v>
      </c>
      <c r="R624" t="s">
        <v>72</v>
      </c>
      <c r="S624" t="s">
        <v>57</v>
      </c>
      <c r="T624" t="s">
        <v>58</v>
      </c>
      <c r="U624" t="s">
        <v>59</v>
      </c>
      <c r="V624">
        <v>0.75107299999999999</v>
      </c>
      <c r="W624">
        <v>2018</v>
      </c>
      <c r="X624" t="s">
        <v>109</v>
      </c>
      <c r="Y624" t="s">
        <v>102</v>
      </c>
      <c r="Z624" t="str">
        <f t="shared" si="18"/>
        <v>Mayor que 20 - hasta 30</v>
      </c>
      <c r="AA624">
        <f t="shared" si="19"/>
        <v>1</v>
      </c>
      <c r="AB624">
        <v>41530</v>
      </c>
      <c r="AC624" t="s">
        <v>632</v>
      </c>
      <c r="AD624" t="s">
        <v>931</v>
      </c>
      <c r="AE624">
        <v>0.71698600000000001</v>
      </c>
      <c r="AF624" t="s">
        <v>63</v>
      </c>
      <c r="AG624">
        <v>23.017872000000001</v>
      </c>
      <c r="AH624" t="s">
        <v>646</v>
      </c>
      <c r="AI624" t="s">
        <v>647</v>
      </c>
      <c r="AJ624">
        <v>2.8302010000000002</v>
      </c>
      <c r="AK624" t="s">
        <v>77</v>
      </c>
      <c r="AL624">
        <v>106.049661</v>
      </c>
      <c r="AM624" t="s">
        <v>65</v>
      </c>
      <c r="AN624" s="7">
        <v>1763.4787462978429</v>
      </c>
      <c r="AO624" t="s">
        <v>65</v>
      </c>
      <c r="AP624" s="3">
        <v>600</v>
      </c>
      <c r="AQ624">
        <v>2</v>
      </c>
      <c r="AR624">
        <v>1878.4125779999999</v>
      </c>
      <c r="AS624" t="s">
        <v>66</v>
      </c>
      <c r="AT624" t="s">
        <v>53</v>
      </c>
    </row>
    <row r="625" spans="1:46">
      <c r="A625">
        <v>947</v>
      </c>
      <c r="B625" t="s">
        <v>46</v>
      </c>
      <c r="C625">
        <v>41</v>
      </c>
      <c r="D625">
        <v>548</v>
      </c>
      <c r="E625" t="s">
        <v>951</v>
      </c>
      <c r="F625" t="s">
        <v>929</v>
      </c>
      <c r="G625">
        <v>41548</v>
      </c>
      <c r="H625">
        <v>41548</v>
      </c>
      <c r="I625" t="s">
        <v>49</v>
      </c>
      <c r="J625">
        <v>4101</v>
      </c>
      <c r="K625" t="s">
        <v>409</v>
      </c>
      <c r="L625" t="s">
        <v>91</v>
      </c>
      <c r="M625" t="s">
        <v>53</v>
      </c>
      <c r="N625">
        <v>14791</v>
      </c>
      <c r="O625" t="s">
        <v>53</v>
      </c>
      <c r="P625" t="s">
        <v>70</v>
      </c>
      <c r="Q625" t="s">
        <v>71</v>
      </c>
      <c r="R625" t="s">
        <v>105</v>
      </c>
      <c r="S625" t="s">
        <v>57</v>
      </c>
      <c r="T625" t="s">
        <v>58</v>
      </c>
      <c r="U625" t="s">
        <v>59</v>
      </c>
      <c r="V625">
        <v>0.54022000000000003</v>
      </c>
      <c r="W625">
        <v>2018</v>
      </c>
      <c r="X625" t="s">
        <v>176</v>
      </c>
      <c r="Y625" t="s">
        <v>165</v>
      </c>
      <c r="Z625" t="str">
        <f t="shared" si="18"/>
        <v>Mayor que 60 - hasta 70</v>
      </c>
      <c r="AA625">
        <f t="shared" si="19"/>
        <v>1</v>
      </c>
      <c r="AB625">
        <v>41548</v>
      </c>
      <c r="AC625" t="s">
        <v>632</v>
      </c>
      <c r="AD625" t="s">
        <v>933</v>
      </c>
      <c r="AE625">
        <v>0.94307099999999999</v>
      </c>
      <c r="AF625" t="s">
        <v>63</v>
      </c>
      <c r="AG625">
        <v>28.293607000000002</v>
      </c>
      <c r="AH625" t="s">
        <v>632</v>
      </c>
      <c r="AI625" t="s">
        <v>928</v>
      </c>
      <c r="AJ625">
        <v>3.0863809999999998</v>
      </c>
      <c r="AK625" t="s">
        <v>84</v>
      </c>
      <c r="AL625">
        <v>135.76214999999999</v>
      </c>
      <c r="AM625" t="s">
        <v>65</v>
      </c>
      <c r="AN625" s="7">
        <v>664.05993630497517</v>
      </c>
      <c r="AO625" t="s">
        <v>65</v>
      </c>
      <c r="AP625" s="3">
        <v>258</v>
      </c>
      <c r="AQ625">
        <v>2</v>
      </c>
      <c r="AR625">
        <v>990.11663799999997</v>
      </c>
      <c r="AS625" t="s">
        <v>66</v>
      </c>
      <c r="AT625" t="s">
        <v>53</v>
      </c>
    </row>
    <row r="626" spans="1:46">
      <c r="A626">
        <v>948</v>
      </c>
      <c r="B626" t="s">
        <v>46</v>
      </c>
      <c r="C626">
        <v>41</v>
      </c>
      <c r="D626">
        <v>551</v>
      </c>
      <c r="E626" t="s">
        <v>931</v>
      </c>
      <c r="F626" t="s">
        <v>929</v>
      </c>
      <c r="G626">
        <v>41551</v>
      </c>
      <c r="H626">
        <v>41551</v>
      </c>
      <c r="I626" t="s">
        <v>49</v>
      </c>
      <c r="J626">
        <v>4104</v>
      </c>
      <c r="K626" t="s">
        <v>297</v>
      </c>
      <c r="L626" t="s">
        <v>91</v>
      </c>
      <c r="M626" t="s">
        <v>53</v>
      </c>
      <c r="N626">
        <v>134110</v>
      </c>
      <c r="O626" t="s">
        <v>53</v>
      </c>
      <c r="P626" t="s">
        <v>54</v>
      </c>
      <c r="Q626" t="s">
        <v>134</v>
      </c>
      <c r="R626" t="s">
        <v>72</v>
      </c>
      <c r="S626" t="s">
        <v>57</v>
      </c>
      <c r="T626" t="s">
        <v>58</v>
      </c>
      <c r="U626" t="s">
        <v>119</v>
      </c>
      <c r="V626">
        <v>0.39826800000000001</v>
      </c>
      <c r="W626">
        <v>2018</v>
      </c>
      <c r="X626" t="s">
        <v>147</v>
      </c>
      <c r="Y626" t="s">
        <v>127</v>
      </c>
      <c r="Z626" t="str">
        <f t="shared" si="18"/>
        <v>Mayor que 70 - hasta 80</v>
      </c>
      <c r="AA626">
        <f t="shared" si="19"/>
        <v>1</v>
      </c>
      <c r="AB626">
        <v>41551</v>
      </c>
      <c r="AC626" t="s">
        <v>632</v>
      </c>
      <c r="AD626" t="s">
        <v>931</v>
      </c>
      <c r="AE626">
        <v>0</v>
      </c>
      <c r="AF626" t="s">
        <v>63</v>
      </c>
      <c r="AG626">
        <v>0</v>
      </c>
      <c r="AH626" t="s">
        <v>646</v>
      </c>
      <c r="AI626" t="s">
        <v>647</v>
      </c>
      <c r="AJ626">
        <v>3.2870279999999998</v>
      </c>
      <c r="AK626" t="s">
        <v>84</v>
      </c>
      <c r="AL626">
        <v>126.243268</v>
      </c>
      <c r="AM626" t="s">
        <v>65</v>
      </c>
      <c r="AN626" s="7">
        <v>6157.4030184209059</v>
      </c>
      <c r="AO626" t="s">
        <v>65</v>
      </c>
      <c r="AP626" s="3">
        <v>2345</v>
      </c>
      <c r="AQ626">
        <v>2</v>
      </c>
      <c r="AR626">
        <v>5586.9960090000004</v>
      </c>
      <c r="AS626" t="s">
        <v>66</v>
      </c>
      <c r="AT626" t="s">
        <v>53</v>
      </c>
    </row>
    <row r="627" spans="1:46">
      <c r="A627">
        <v>949</v>
      </c>
      <c r="B627" t="s">
        <v>46</v>
      </c>
      <c r="C627">
        <v>41</v>
      </c>
      <c r="D627">
        <v>615</v>
      </c>
      <c r="E627" t="s">
        <v>952</v>
      </c>
      <c r="F627" t="s">
        <v>929</v>
      </c>
      <c r="G627">
        <v>41615</v>
      </c>
      <c r="H627">
        <v>41615</v>
      </c>
      <c r="I627" t="s">
        <v>49</v>
      </c>
      <c r="J627">
        <v>4102</v>
      </c>
      <c r="K627" t="s">
        <v>112</v>
      </c>
      <c r="L627" t="s">
        <v>69</v>
      </c>
      <c r="M627" t="s">
        <v>53</v>
      </c>
      <c r="N627">
        <v>26153</v>
      </c>
      <c r="O627" t="s">
        <v>53</v>
      </c>
      <c r="P627" t="s">
        <v>70</v>
      </c>
      <c r="Q627" t="s">
        <v>71</v>
      </c>
      <c r="R627" t="s">
        <v>122</v>
      </c>
      <c r="S627" t="s">
        <v>57</v>
      </c>
      <c r="T627" t="s">
        <v>58</v>
      </c>
      <c r="U627" t="s">
        <v>59</v>
      </c>
      <c r="V627">
        <v>0.247999</v>
      </c>
      <c r="W627">
        <v>2018</v>
      </c>
      <c r="X627" t="s">
        <v>217</v>
      </c>
      <c r="Y627" t="s">
        <v>127</v>
      </c>
      <c r="Z627" t="str">
        <f t="shared" si="18"/>
        <v>Mayor que 70 - hasta 80</v>
      </c>
      <c r="AA627">
        <f t="shared" si="19"/>
        <v>1</v>
      </c>
      <c r="AB627">
        <v>41615</v>
      </c>
      <c r="AC627" t="s">
        <v>632</v>
      </c>
      <c r="AD627" t="s">
        <v>928</v>
      </c>
      <c r="AE627">
        <v>0.71181399999999995</v>
      </c>
      <c r="AF627" t="s">
        <v>63</v>
      </c>
      <c r="AG627">
        <v>24.623759</v>
      </c>
      <c r="AH627" t="s">
        <v>632</v>
      </c>
      <c r="AI627" t="s">
        <v>928</v>
      </c>
      <c r="AJ627">
        <v>0.59897999999999996</v>
      </c>
      <c r="AK627" t="s">
        <v>63</v>
      </c>
      <c r="AL627">
        <v>23.216652</v>
      </c>
      <c r="AM627" t="s">
        <v>64</v>
      </c>
      <c r="AN627" s="7">
        <v>5561.7849162225821</v>
      </c>
      <c r="AO627" t="s">
        <v>65</v>
      </c>
      <c r="AP627" s="3">
        <v>3441</v>
      </c>
      <c r="AQ627">
        <v>2</v>
      </c>
      <c r="AR627">
        <v>9273.1580119999999</v>
      </c>
      <c r="AS627" t="s">
        <v>66</v>
      </c>
      <c r="AT627" t="s">
        <v>53</v>
      </c>
    </row>
    <row r="628" spans="1:46">
      <c r="A628">
        <v>950</v>
      </c>
      <c r="B628" t="s">
        <v>46</v>
      </c>
      <c r="C628">
        <v>41</v>
      </c>
      <c r="D628">
        <v>660</v>
      </c>
      <c r="E628" t="s">
        <v>953</v>
      </c>
      <c r="F628" t="s">
        <v>929</v>
      </c>
      <c r="G628">
        <v>41660</v>
      </c>
      <c r="H628">
        <v>41660</v>
      </c>
      <c r="I628" t="s">
        <v>49</v>
      </c>
      <c r="J628">
        <v>4104</v>
      </c>
      <c r="K628" t="s">
        <v>297</v>
      </c>
      <c r="L628" t="s">
        <v>80</v>
      </c>
      <c r="M628" t="s">
        <v>53</v>
      </c>
      <c r="N628">
        <v>11265</v>
      </c>
      <c r="O628" t="s">
        <v>53</v>
      </c>
      <c r="P628" t="s">
        <v>70</v>
      </c>
      <c r="Q628" t="s">
        <v>71</v>
      </c>
      <c r="R628" t="s">
        <v>72</v>
      </c>
      <c r="S628" t="s">
        <v>57</v>
      </c>
      <c r="T628" t="s">
        <v>58</v>
      </c>
      <c r="U628" t="s">
        <v>119</v>
      </c>
      <c r="V628">
        <v>0.73526899999999995</v>
      </c>
      <c r="W628">
        <v>2018</v>
      </c>
      <c r="X628" t="s">
        <v>109</v>
      </c>
      <c r="Y628" t="s">
        <v>87</v>
      </c>
      <c r="Z628" t="str">
        <f t="shared" si="18"/>
        <v>Mayor que 40 - hasta 50</v>
      </c>
      <c r="AA628">
        <f t="shared" si="19"/>
        <v>1</v>
      </c>
      <c r="AB628">
        <v>41660</v>
      </c>
      <c r="AC628" t="s">
        <v>632</v>
      </c>
      <c r="AD628" t="s">
        <v>931</v>
      </c>
      <c r="AE628">
        <v>0.91033699999999995</v>
      </c>
      <c r="AF628" t="s">
        <v>63</v>
      </c>
      <c r="AG628">
        <v>26.556349000000001</v>
      </c>
      <c r="AH628" t="s">
        <v>646</v>
      </c>
      <c r="AI628" t="s">
        <v>647</v>
      </c>
      <c r="AJ628">
        <v>4.0933210000000004</v>
      </c>
      <c r="AK628" t="s">
        <v>85</v>
      </c>
      <c r="AL628">
        <v>152.175353</v>
      </c>
      <c r="AM628" t="s">
        <v>65</v>
      </c>
      <c r="AN628" s="7">
        <v>4208.5866400622735</v>
      </c>
      <c r="AO628" t="s">
        <v>65</v>
      </c>
      <c r="AP628" s="3">
        <v>1500</v>
      </c>
      <c r="AQ628">
        <v>2</v>
      </c>
      <c r="AR628">
        <v>4171.4102499999999</v>
      </c>
      <c r="AS628" t="s">
        <v>66</v>
      </c>
      <c r="AT628" t="s">
        <v>53</v>
      </c>
    </row>
    <row r="629" spans="1:46">
      <c r="A629">
        <v>951</v>
      </c>
      <c r="B629" t="s">
        <v>46</v>
      </c>
      <c r="C629">
        <v>41</v>
      </c>
      <c r="D629">
        <v>668</v>
      </c>
      <c r="E629" t="s">
        <v>954</v>
      </c>
      <c r="F629" t="s">
        <v>929</v>
      </c>
      <c r="G629">
        <v>41668</v>
      </c>
      <c r="H629">
        <v>41668</v>
      </c>
      <c r="I629" t="s">
        <v>49</v>
      </c>
      <c r="J629">
        <v>4104</v>
      </c>
      <c r="K629" t="s">
        <v>297</v>
      </c>
      <c r="L629" t="s">
        <v>69</v>
      </c>
      <c r="M629" t="s">
        <v>53</v>
      </c>
      <c r="N629">
        <v>35550</v>
      </c>
      <c r="O629" t="s">
        <v>53</v>
      </c>
      <c r="P629" t="s">
        <v>92</v>
      </c>
      <c r="Q629" t="s">
        <v>71</v>
      </c>
      <c r="R629" t="s">
        <v>122</v>
      </c>
      <c r="S629" t="s">
        <v>57</v>
      </c>
      <c r="T629" t="s">
        <v>58</v>
      </c>
      <c r="U629" t="s">
        <v>119</v>
      </c>
      <c r="V629">
        <v>0.56995399999999996</v>
      </c>
      <c r="W629">
        <v>2018</v>
      </c>
      <c r="X629" t="s">
        <v>141</v>
      </c>
      <c r="Y629" t="s">
        <v>187</v>
      </c>
      <c r="Z629" t="str">
        <f t="shared" si="18"/>
        <v>Mayor que 80 - hasta 100</v>
      </c>
      <c r="AA629">
        <f t="shared" si="19"/>
        <v>1</v>
      </c>
      <c r="AB629">
        <v>41668</v>
      </c>
      <c r="AC629" t="s">
        <v>632</v>
      </c>
      <c r="AD629" t="s">
        <v>931</v>
      </c>
      <c r="AE629">
        <v>0.70815099999999997</v>
      </c>
      <c r="AF629" t="s">
        <v>63</v>
      </c>
      <c r="AG629">
        <v>31.535029000000002</v>
      </c>
      <c r="AH629" t="s">
        <v>646</v>
      </c>
      <c r="AI629" t="s">
        <v>647</v>
      </c>
      <c r="AJ629">
        <v>3.7033200000000002</v>
      </c>
      <c r="AK629" t="s">
        <v>84</v>
      </c>
      <c r="AL629">
        <v>146.52560600000001</v>
      </c>
      <c r="AM629" t="s">
        <v>65</v>
      </c>
      <c r="AN629" s="7">
        <v>139.90900688172181</v>
      </c>
      <c r="AO629" t="s">
        <v>65</v>
      </c>
      <c r="AP629" s="3">
        <v>78</v>
      </c>
      <c r="AQ629">
        <v>1</v>
      </c>
      <c r="AR629">
        <v>136.61031800000001</v>
      </c>
      <c r="AS629" t="s">
        <v>66</v>
      </c>
      <c r="AT629" t="s">
        <v>53</v>
      </c>
    </row>
    <row r="630" spans="1:46">
      <c r="A630">
        <v>952</v>
      </c>
      <c r="B630" t="s">
        <v>46</v>
      </c>
      <c r="C630">
        <v>41</v>
      </c>
      <c r="D630">
        <v>676</v>
      </c>
      <c r="E630" t="s">
        <v>518</v>
      </c>
      <c r="F630" t="s">
        <v>929</v>
      </c>
      <c r="G630">
        <v>41676</v>
      </c>
      <c r="H630">
        <v>41676</v>
      </c>
      <c r="I630" t="s">
        <v>49</v>
      </c>
      <c r="J630">
        <v>4102</v>
      </c>
      <c r="K630" t="s">
        <v>112</v>
      </c>
      <c r="L630" t="s">
        <v>80</v>
      </c>
      <c r="M630" t="s">
        <v>53</v>
      </c>
      <c r="N630">
        <v>11173</v>
      </c>
      <c r="O630" t="s">
        <v>53</v>
      </c>
      <c r="P630" t="s">
        <v>70</v>
      </c>
      <c r="Q630" t="s">
        <v>71</v>
      </c>
      <c r="R630" t="s">
        <v>105</v>
      </c>
      <c r="S630" t="s">
        <v>57</v>
      </c>
      <c r="T630" t="s">
        <v>58</v>
      </c>
      <c r="U630" t="s">
        <v>59</v>
      </c>
      <c r="V630">
        <v>0.45250600000000002</v>
      </c>
      <c r="W630">
        <v>2018</v>
      </c>
      <c r="X630" t="s">
        <v>310</v>
      </c>
      <c r="Y630" t="s">
        <v>102</v>
      </c>
      <c r="Z630" t="str">
        <f t="shared" si="18"/>
        <v>Mayor que 20 - hasta 30</v>
      </c>
      <c r="AA630">
        <f t="shared" si="19"/>
        <v>1</v>
      </c>
      <c r="AB630">
        <v>41676</v>
      </c>
      <c r="AC630" t="s">
        <v>632</v>
      </c>
      <c r="AD630" t="s">
        <v>928</v>
      </c>
      <c r="AE630">
        <v>1.671529</v>
      </c>
      <c r="AF630" t="s">
        <v>76</v>
      </c>
      <c r="AG630">
        <v>52.294322000000001</v>
      </c>
      <c r="AH630" t="s">
        <v>632</v>
      </c>
      <c r="AI630" t="s">
        <v>928</v>
      </c>
      <c r="AJ630">
        <v>1.6216930000000001</v>
      </c>
      <c r="AK630" t="s">
        <v>76</v>
      </c>
      <c r="AL630">
        <v>51.394322000000003</v>
      </c>
      <c r="AM630" t="s">
        <v>65</v>
      </c>
      <c r="AN630" s="7">
        <v>0.1960948560869116</v>
      </c>
      <c r="AO630" t="s">
        <v>64</v>
      </c>
      <c r="AP630" s="3">
        <v>3</v>
      </c>
      <c r="AQ630">
        <v>2</v>
      </c>
      <c r="AR630">
        <v>102.47889000000001</v>
      </c>
      <c r="AS630" t="s">
        <v>66</v>
      </c>
      <c r="AT630" t="s">
        <v>53</v>
      </c>
    </row>
    <row r="631" spans="1:46">
      <c r="A631">
        <v>953</v>
      </c>
      <c r="B631" t="s">
        <v>46</v>
      </c>
      <c r="C631">
        <v>41</v>
      </c>
      <c r="D631">
        <v>770</v>
      </c>
      <c r="E631" t="s">
        <v>955</v>
      </c>
      <c r="F631" t="s">
        <v>929</v>
      </c>
      <c r="G631">
        <v>41770</v>
      </c>
      <c r="H631">
        <v>41770</v>
      </c>
      <c r="I631" t="s">
        <v>49</v>
      </c>
      <c r="J631">
        <v>4101</v>
      </c>
      <c r="K631" t="s">
        <v>409</v>
      </c>
      <c r="L631" t="s">
        <v>69</v>
      </c>
      <c r="M631" t="s">
        <v>53</v>
      </c>
      <c r="N631">
        <v>23562</v>
      </c>
      <c r="O631" t="s">
        <v>53</v>
      </c>
      <c r="P631" t="s">
        <v>70</v>
      </c>
      <c r="Q631" t="s">
        <v>71</v>
      </c>
      <c r="R631" t="s">
        <v>105</v>
      </c>
      <c r="S631" t="s">
        <v>57</v>
      </c>
      <c r="T631" t="s">
        <v>58</v>
      </c>
      <c r="U631" t="s">
        <v>59</v>
      </c>
      <c r="V631">
        <v>0.384432</v>
      </c>
      <c r="W631">
        <v>2018</v>
      </c>
      <c r="X631" t="s">
        <v>147</v>
      </c>
      <c r="Y631" t="s">
        <v>116</v>
      </c>
      <c r="Z631" t="str">
        <f t="shared" si="18"/>
        <v>Mayor que 30 - hasta 40</v>
      </c>
      <c r="AA631">
        <f t="shared" si="19"/>
        <v>1</v>
      </c>
      <c r="AB631">
        <v>41770</v>
      </c>
      <c r="AC631" t="s">
        <v>632</v>
      </c>
      <c r="AD631" t="s">
        <v>933</v>
      </c>
      <c r="AE631">
        <v>1.065107</v>
      </c>
      <c r="AF631" t="s">
        <v>76</v>
      </c>
      <c r="AG631">
        <v>40.238686999999999</v>
      </c>
      <c r="AH631" t="s">
        <v>592</v>
      </c>
      <c r="AI631" t="s">
        <v>587</v>
      </c>
      <c r="AJ631">
        <v>2.5794619999999999</v>
      </c>
      <c r="AK631" t="s">
        <v>77</v>
      </c>
      <c r="AL631">
        <v>77.374934999999994</v>
      </c>
      <c r="AM631" t="s">
        <v>65</v>
      </c>
      <c r="AN631" s="7">
        <v>749.60167746146362</v>
      </c>
      <c r="AO631" t="s">
        <v>65</v>
      </c>
      <c r="AP631" s="3">
        <v>333</v>
      </c>
      <c r="AQ631">
        <v>1</v>
      </c>
      <c r="AR631">
        <v>1578.7247319999999</v>
      </c>
      <c r="AS631" t="s">
        <v>66</v>
      </c>
      <c r="AT631" t="s">
        <v>53</v>
      </c>
    </row>
    <row r="632" spans="1:46">
      <c r="A632">
        <v>954</v>
      </c>
      <c r="B632" t="s">
        <v>46</v>
      </c>
      <c r="C632">
        <v>41</v>
      </c>
      <c r="D632">
        <v>791</v>
      </c>
      <c r="E632" t="s">
        <v>956</v>
      </c>
      <c r="F632" t="s">
        <v>929</v>
      </c>
      <c r="G632">
        <v>41791</v>
      </c>
      <c r="H632">
        <v>41791</v>
      </c>
      <c r="I632" t="s">
        <v>49</v>
      </c>
      <c r="J632">
        <v>4101</v>
      </c>
      <c r="K632" t="s">
        <v>409</v>
      </c>
      <c r="L632" t="s">
        <v>69</v>
      </c>
      <c r="M632" t="s">
        <v>53</v>
      </c>
      <c r="N632">
        <v>18783</v>
      </c>
      <c r="O632" t="s">
        <v>53</v>
      </c>
      <c r="P632" t="s">
        <v>70</v>
      </c>
      <c r="Q632" t="s">
        <v>71</v>
      </c>
      <c r="R632" t="s">
        <v>105</v>
      </c>
      <c r="S632" t="s">
        <v>57</v>
      </c>
      <c r="T632" t="s">
        <v>58</v>
      </c>
      <c r="U632" t="s">
        <v>59</v>
      </c>
      <c r="V632">
        <v>0.57010099999999997</v>
      </c>
      <c r="W632">
        <v>2018</v>
      </c>
      <c r="X632" t="s">
        <v>109</v>
      </c>
      <c r="Y632" t="s">
        <v>167</v>
      </c>
      <c r="Z632" t="str">
        <f t="shared" si="18"/>
        <v>Mayor que 50 - hasta 60</v>
      </c>
      <c r="AA632">
        <f t="shared" si="19"/>
        <v>1</v>
      </c>
      <c r="AB632">
        <v>41791</v>
      </c>
      <c r="AC632" t="s">
        <v>632</v>
      </c>
      <c r="AD632" t="s">
        <v>933</v>
      </c>
      <c r="AE632">
        <v>0.98180800000000001</v>
      </c>
      <c r="AF632" t="s">
        <v>63</v>
      </c>
      <c r="AG632">
        <v>36.534523999999998</v>
      </c>
      <c r="AH632" t="s">
        <v>592</v>
      </c>
      <c r="AI632" t="s">
        <v>587</v>
      </c>
      <c r="AJ632">
        <v>3.085426</v>
      </c>
      <c r="AK632" t="s">
        <v>84</v>
      </c>
      <c r="AL632">
        <v>98.954329000000001</v>
      </c>
      <c r="AM632" t="s">
        <v>64</v>
      </c>
      <c r="AN632" s="7">
        <v>345.07323952839278</v>
      </c>
      <c r="AO632" t="s">
        <v>65</v>
      </c>
      <c r="AP632" s="3">
        <v>136</v>
      </c>
      <c r="AQ632">
        <v>1</v>
      </c>
      <c r="AR632">
        <v>517.08576300000004</v>
      </c>
      <c r="AS632" t="s">
        <v>66</v>
      </c>
      <c r="AT632" t="s">
        <v>53</v>
      </c>
    </row>
    <row r="633" spans="1:46">
      <c r="A633">
        <v>955</v>
      </c>
      <c r="B633" t="s">
        <v>46</v>
      </c>
      <c r="C633">
        <v>41</v>
      </c>
      <c r="D633">
        <v>797</v>
      </c>
      <c r="E633" t="s">
        <v>957</v>
      </c>
      <c r="F633" t="s">
        <v>929</v>
      </c>
      <c r="G633">
        <v>41797</v>
      </c>
      <c r="H633">
        <v>41797</v>
      </c>
      <c r="I633" t="s">
        <v>49</v>
      </c>
      <c r="J633">
        <v>4103</v>
      </c>
      <c r="K633" t="s">
        <v>79</v>
      </c>
      <c r="L633" t="s">
        <v>69</v>
      </c>
      <c r="M633" t="s">
        <v>53</v>
      </c>
      <c r="N633">
        <v>11475</v>
      </c>
      <c r="O633" t="s">
        <v>53</v>
      </c>
      <c r="P633" t="s">
        <v>70</v>
      </c>
      <c r="Q633" t="s">
        <v>71</v>
      </c>
      <c r="R633" t="s">
        <v>105</v>
      </c>
      <c r="S633" t="s">
        <v>57</v>
      </c>
      <c r="T633" t="s">
        <v>58</v>
      </c>
      <c r="U633" t="s">
        <v>59</v>
      </c>
      <c r="V633">
        <v>0.40446700000000002</v>
      </c>
      <c r="W633">
        <v>2018</v>
      </c>
      <c r="X633" t="s">
        <v>109</v>
      </c>
      <c r="Y633" t="s">
        <v>167</v>
      </c>
      <c r="Z633" t="str">
        <f t="shared" si="18"/>
        <v>Mayor que 50 - hasta 60</v>
      </c>
      <c r="AA633">
        <f t="shared" si="19"/>
        <v>1</v>
      </c>
      <c r="AB633">
        <v>41797</v>
      </c>
      <c r="AC633" t="s">
        <v>632</v>
      </c>
      <c r="AD633" t="s">
        <v>633</v>
      </c>
      <c r="AE633">
        <v>0.69927099999999998</v>
      </c>
      <c r="AF633" t="s">
        <v>63</v>
      </c>
      <c r="AG633">
        <v>27.467618999999999</v>
      </c>
      <c r="AH633" t="s">
        <v>632</v>
      </c>
      <c r="AI633" t="s">
        <v>928</v>
      </c>
      <c r="AJ633">
        <v>2.0640369999999999</v>
      </c>
      <c r="AK633" t="s">
        <v>77</v>
      </c>
      <c r="AL633">
        <v>100.891587</v>
      </c>
      <c r="AM633" t="s">
        <v>64</v>
      </c>
      <c r="AN633" s="7">
        <v>929.98088536468822</v>
      </c>
      <c r="AO633" t="s">
        <v>65</v>
      </c>
      <c r="AP633" s="3">
        <v>28</v>
      </c>
      <c r="AQ633">
        <v>3</v>
      </c>
      <c r="AR633">
        <v>1278.791162</v>
      </c>
      <c r="AS633" t="s">
        <v>66</v>
      </c>
      <c r="AT633" t="s">
        <v>53</v>
      </c>
    </row>
    <row r="634" spans="1:46">
      <c r="A634">
        <v>956</v>
      </c>
      <c r="B634" t="s">
        <v>46</v>
      </c>
      <c r="C634">
        <v>41</v>
      </c>
      <c r="D634">
        <v>799</v>
      </c>
      <c r="E634" t="s">
        <v>958</v>
      </c>
      <c r="F634" t="s">
        <v>929</v>
      </c>
      <c r="G634">
        <v>41799</v>
      </c>
      <c r="H634">
        <v>41799</v>
      </c>
      <c r="I634" t="s">
        <v>49</v>
      </c>
      <c r="J634">
        <v>4102</v>
      </c>
      <c r="K634" t="s">
        <v>112</v>
      </c>
      <c r="L634" t="s">
        <v>69</v>
      </c>
      <c r="M634" t="s">
        <v>53</v>
      </c>
      <c r="N634">
        <v>12572</v>
      </c>
      <c r="O634" t="s">
        <v>53</v>
      </c>
      <c r="P634" t="s">
        <v>70</v>
      </c>
      <c r="Q634" t="s">
        <v>71</v>
      </c>
      <c r="R634" t="s">
        <v>72</v>
      </c>
      <c r="S634" t="s">
        <v>57</v>
      </c>
      <c r="T634" t="s">
        <v>73</v>
      </c>
      <c r="U634" t="s">
        <v>119</v>
      </c>
      <c r="V634">
        <v>0.33591900000000002</v>
      </c>
      <c r="W634">
        <v>2018</v>
      </c>
      <c r="X634" t="s">
        <v>147</v>
      </c>
      <c r="Y634" t="s">
        <v>148</v>
      </c>
      <c r="Z634" t="str">
        <f t="shared" si="18"/>
        <v>Mayor que 50 - hasta 60</v>
      </c>
      <c r="AA634">
        <f t="shared" si="19"/>
        <v>0</v>
      </c>
      <c r="AB634">
        <v>41799</v>
      </c>
      <c r="AC634" t="s">
        <v>632</v>
      </c>
      <c r="AD634" t="s">
        <v>928</v>
      </c>
      <c r="AE634">
        <v>1.0328390000000001</v>
      </c>
      <c r="AF634" t="s">
        <v>76</v>
      </c>
      <c r="AG634">
        <v>32.980612999999998</v>
      </c>
      <c r="AH634" t="s">
        <v>632</v>
      </c>
      <c r="AI634" t="s">
        <v>928</v>
      </c>
      <c r="AJ634">
        <v>0.98300200000000004</v>
      </c>
      <c r="AK634" t="s">
        <v>63</v>
      </c>
      <c r="AL634">
        <v>32.080613</v>
      </c>
      <c r="AM634" t="s">
        <v>97</v>
      </c>
      <c r="AN634" s="7">
        <v>516.52775259017812</v>
      </c>
      <c r="AO634" t="s">
        <v>65</v>
      </c>
      <c r="AP634" s="3">
        <v>39</v>
      </c>
      <c r="AQ634">
        <v>1</v>
      </c>
      <c r="AR634">
        <v>790.43991500000004</v>
      </c>
      <c r="AS634" t="s">
        <v>66</v>
      </c>
      <c r="AT634" t="s">
        <v>53</v>
      </c>
    </row>
    <row r="635" spans="1:46">
      <c r="A635">
        <v>957</v>
      </c>
      <c r="B635" t="s">
        <v>46</v>
      </c>
      <c r="C635">
        <v>41</v>
      </c>
      <c r="D635">
        <v>801</v>
      </c>
      <c r="E635" t="s">
        <v>959</v>
      </c>
      <c r="F635" t="s">
        <v>929</v>
      </c>
      <c r="G635">
        <v>41801</v>
      </c>
      <c r="H635">
        <v>41801</v>
      </c>
      <c r="I635" t="s">
        <v>49</v>
      </c>
      <c r="J635">
        <v>4102</v>
      </c>
      <c r="K635" t="s">
        <v>112</v>
      </c>
      <c r="L635" t="s">
        <v>69</v>
      </c>
      <c r="M635" t="s">
        <v>53</v>
      </c>
      <c r="N635">
        <v>8605</v>
      </c>
      <c r="O635" t="s">
        <v>53</v>
      </c>
      <c r="P635" t="s">
        <v>70</v>
      </c>
      <c r="Q635" t="s">
        <v>71</v>
      </c>
      <c r="R635" t="s">
        <v>122</v>
      </c>
      <c r="S635" t="s">
        <v>57</v>
      </c>
      <c r="T635" t="s">
        <v>58</v>
      </c>
      <c r="U635" t="s">
        <v>59</v>
      </c>
      <c r="V635">
        <v>0.39307700000000001</v>
      </c>
      <c r="W635">
        <v>2018</v>
      </c>
      <c r="X635" t="s">
        <v>310</v>
      </c>
      <c r="Y635" t="s">
        <v>102</v>
      </c>
      <c r="Z635" t="str">
        <f t="shared" si="18"/>
        <v>Mayor que 20 - hasta 30</v>
      </c>
      <c r="AA635">
        <f t="shared" si="19"/>
        <v>1</v>
      </c>
      <c r="AB635">
        <v>41801</v>
      </c>
      <c r="AC635" t="s">
        <v>632</v>
      </c>
      <c r="AD635" t="s">
        <v>928</v>
      </c>
      <c r="AE635">
        <v>1.6775359999999999</v>
      </c>
      <c r="AF635" t="s">
        <v>76</v>
      </c>
      <c r="AG635">
        <v>52.421529999999997</v>
      </c>
      <c r="AH635" t="s">
        <v>632</v>
      </c>
      <c r="AI635" t="s">
        <v>928</v>
      </c>
      <c r="AJ635">
        <v>1.6276999999999999</v>
      </c>
      <c r="AK635" t="s">
        <v>76</v>
      </c>
      <c r="AL635">
        <v>51.521529999999998</v>
      </c>
      <c r="AM635" t="s">
        <v>65</v>
      </c>
      <c r="AN635" s="7">
        <v>587.91176612524794</v>
      </c>
      <c r="AO635" t="s">
        <v>65</v>
      </c>
      <c r="AP635" s="3">
        <v>207</v>
      </c>
      <c r="AQ635">
        <v>4</v>
      </c>
      <c r="AR635">
        <v>803.79324899999995</v>
      </c>
      <c r="AS635" t="s">
        <v>66</v>
      </c>
      <c r="AT635" t="s">
        <v>53</v>
      </c>
    </row>
    <row r="636" spans="1:46">
      <c r="A636">
        <v>958</v>
      </c>
      <c r="B636" t="s">
        <v>46</v>
      </c>
      <c r="C636">
        <v>41</v>
      </c>
      <c r="D636">
        <v>807</v>
      </c>
      <c r="E636" t="s">
        <v>960</v>
      </c>
      <c r="F636" t="s">
        <v>929</v>
      </c>
      <c r="G636">
        <v>41807</v>
      </c>
      <c r="H636">
        <v>41807</v>
      </c>
      <c r="I636" t="s">
        <v>49</v>
      </c>
      <c r="J636">
        <v>4104</v>
      </c>
      <c r="K636" t="s">
        <v>297</v>
      </c>
      <c r="L636" t="s">
        <v>91</v>
      </c>
      <c r="M636" t="s">
        <v>53</v>
      </c>
      <c r="N636">
        <v>23395</v>
      </c>
      <c r="O636" t="s">
        <v>53</v>
      </c>
      <c r="P636" t="s">
        <v>70</v>
      </c>
      <c r="Q636" t="s">
        <v>71</v>
      </c>
      <c r="R636" t="s">
        <v>122</v>
      </c>
      <c r="S636" t="s">
        <v>57</v>
      </c>
      <c r="T636" t="s">
        <v>58</v>
      </c>
      <c r="U636" t="s">
        <v>59</v>
      </c>
      <c r="V636">
        <v>0.53633600000000003</v>
      </c>
      <c r="W636">
        <v>2018</v>
      </c>
      <c r="X636" t="s">
        <v>147</v>
      </c>
      <c r="Y636" t="s">
        <v>148</v>
      </c>
      <c r="Z636" t="str">
        <f t="shared" si="18"/>
        <v>Mayor que 50 - hasta 60</v>
      </c>
      <c r="AA636">
        <f t="shared" si="19"/>
        <v>0</v>
      </c>
      <c r="AB636">
        <v>41807</v>
      </c>
      <c r="AC636" t="s">
        <v>632</v>
      </c>
      <c r="AD636" t="s">
        <v>931</v>
      </c>
      <c r="AE636">
        <v>0.58696000000000004</v>
      </c>
      <c r="AF636" t="s">
        <v>63</v>
      </c>
      <c r="AG636">
        <v>22.007821</v>
      </c>
      <c r="AH636" t="s">
        <v>592</v>
      </c>
      <c r="AI636" t="s">
        <v>587</v>
      </c>
      <c r="AJ636">
        <v>3.2804009999999999</v>
      </c>
      <c r="AK636" t="s">
        <v>84</v>
      </c>
      <c r="AL636">
        <v>112.63961</v>
      </c>
      <c r="AM636" t="s">
        <v>65</v>
      </c>
      <c r="AN636" s="7">
        <v>88.56205926663668</v>
      </c>
      <c r="AO636" t="s">
        <v>65</v>
      </c>
      <c r="AP636" s="3">
        <v>76</v>
      </c>
      <c r="AQ636">
        <v>2</v>
      </c>
      <c r="AR636">
        <v>89.352040000000002</v>
      </c>
      <c r="AS636" t="s">
        <v>66</v>
      </c>
      <c r="AT636" t="s">
        <v>53</v>
      </c>
    </row>
    <row r="637" spans="1:46">
      <c r="A637">
        <v>959</v>
      </c>
      <c r="B637" t="s">
        <v>46</v>
      </c>
      <c r="C637">
        <v>41</v>
      </c>
      <c r="D637">
        <v>872</v>
      </c>
      <c r="E637" t="s">
        <v>961</v>
      </c>
      <c r="F637" t="s">
        <v>929</v>
      </c>
      <c r="G637">
        <v>41872</v>
      </c>
      <c r="H637">
        <v>41872</v>
      </c>
      <c r="I637" t="s">
        <v>49</v>
      </c>
      <c r="J637">
        <v>4102</v>
      </c>
      <c r="K637" t="s">
        <v>112</v>
      </c>
      <c r="L637" t="s">
        <v>69</v>
      </c>
      <c r="M637" t="s">
        <v>53</v>
      </c>
      <c r="N637">
        <v>7782</v>
      </c>
      <c r="O637" t="s">
        <v>53</v>
      </c>
      <c r="P637" t="s">
        <v>70</v>
      </c>
      <c r="Q637" t="s">
        <v>71</v>
      </c>
      <c r="R637" t="s">
        <v>93</v>
      </c>
      <c r="S637" t="s">
        <v>57</v>
      </c>
      <c r="T637" t="s">
        <v>58</v>
      </c>
      <c r="U637" t="s">
        <v>81</v>
      </c>
      <c r="V637">
        <v>0.37871300000000002</v>
      </c>
      <c r="W637">
        <v>2018</v>
      </c>
      <c r="X637" t="s">
        <v>217</v>
      </c>
      <c r="Y637" t="s">
        <v>218</v>
      </c>
      <c r="Z637" t="str">
        <f t="shared" si="18"/>
        <v>Mayor que 40 - hasta 50</v>
      </c>
      <c r="AA637">
        <f t="shared" si="19"/>
        <v>0</v>
      </c>
      <c r="AB637">
        <v>41872</v>
      </c>
      <c r="AC637" t="s">
        <v>632</v>
      </c>
      <c r="AD637" t="s">
        <v>928</v>
      </c>
      <c r="AE637">
        <v>1.326773</v>
      </c>
      <c r="AF637" t="s">
        <v>76</v>
      </c>
      <c r="AG637">
        <v>42.720309999999998</v>
      </c>
      <c r="AH637" t="s">
        <v>632</v>
      </c>
      <c r="AI637" t="s">
        <v>928</v>
      </c>
      <c r="AJ637">
        <v>1.2769360000000001</v>
      </c>
      <c r="AK637" t="s">
        <v>76</v>
      </c>
      <c r="AL637">
        <v>41.820309999999999</v>
      </c>
      <c r="AM637" t="s">
        <v>65</v>
      </c>
      <c r="AN637" s="7">
        <v>340.12947521846672</v>
      </c>
      <c r="AO637" t="s">
        <v>65</v>
      </c>
      <c r="AP637" s="3">
        <v>80</v>
      </c>
      <c r="AQ637">
        <v>2</v>
      </c>
      <c r="AR637">
        <v>598.60571600000003</v>
      </c>
      <c r="AS637" t="s">
        <v>66</v>
      </c>
      <c r="AT637" t="s">
        <v>53</v>
      </c>
    </row>
    <row r="638" spans="1:46">
      <c r="A638">
        <v>960</v>
      </c>
      <c r="B638" t="s">
        <v>46</v>
      </c>
      <c r="C638">
        <v>41</v>
      </c>
      <c r="D638">
        <v>885</v>
      </c>
      <c r="E638" t="s">
        <v>962</v>
      </c>
      <c r="F638" t="s">
        <v>929</v>
      </c>
      <c r="G638">
        <v>41885</v>
      </c>
      <c r="H638">
        <v>41885</v>
      </c>
      <c r="I638" t="s">
        <v>49</v>
      </c>
      <c r="J638">
        <v>4102</v>
      </c>
      <c r="K638" t="s">
        <v>112</v>
      </c>
      <c r="L638" t="s">
        <v>69</v>
      </c>
      <c r="M638" t="s">
        <v>53</v>
      </c>
      <c r="N638">
        <v>8218</v>
      </c>
      <c r="O638" t="s">
        <v>53</v>
      </c>
      <c r="P638" t="s">
        <v>70</v>
      </c>
      <c r="Q638" t="s">
        <v>71</v>
      </c>
      <c r="R638" t="s">
        <v>122</v>
      </c>
      <c r="S638" t="s">
        <v>57</v>
      </c>
      <c r="T638" t="s">
        <v>58</v>
      </c>
      <c r="U638" t="s">
        <v>81</v>
      </c>
      <c r="V638">
        <v>0.39623799999999998</v>
      </c>
      <c r="W638">
        <v>2018</v>
      </c>
      <c r="X638" t="s">
        <v>217</v>
      </c>
      <c r="Y638" t="s">
        <v>218</v>
      </c>
      <c r="Z638" t="str">
        <f t="shared" si="18"/>
        <v>Mayor que 40 - hasta 50</v>
      </c>
      <c r="AA638">
        <f t="shared" si="19"/>
        <v>0</v>
      </c>
      <c r="AB638">
        <v>41885</v>
      </c>
      <c r="AC638" t="s">
        <v>632</v>
      </c>
      <c r="AD638" t="s">
        <v>928</v>
      </c>
      <c r="AE638">
        <v>1.58003</v>
      </c>
      <c r="AF638" t="s">
        <v>76</v>
      </c>
      <c r="AG638">
        <v>54.632798999999999</v>
      </c>
      <c r="AH638" t="s">
        <v>632</v>
      </c>
      <c r="AI638" t="s">
        <v>928</v>
      </c>
      <c r="AJ638">
        <v>1.5268710000000001</v>
      </c>
      <c r="AK638" t="s">
        <v>76</v>
      </c>
      <c r="AL638">
        <v>54.660007</v>
      </c>
      <c r="AM638" t="s">
        <v>64</v>
      </c>
      <c r="AN638" s="7">
        <v>2906.104513227991</v>
      </c>
      <c r="AO638" t="s">
        <v>65</v>
      </c>
      <c r="AP638" s="3">
        <v>363</v>
      </c>
      <c r="AQ638">
        <v>3</v>
      </c>
      <c r="AR638">
        <v>2456.52961</v>
      </c>
      <c r="AS638" t="s">
        <v>66</v>
      </c>
      <c r="AT638" t="s">
        <v>53</v>
      </c>
    </row>
    <row r="639" spans="1:46">
      <c r="A639">
        <v>561</v>
      </c>
      <c r="B639" t="s">
        <v>46</v>
      </c>
      <c r="C639">
        <v>44</v>
      </c>
      <c r="D639">
        <v>1</v>
      </c>
      <c r="E639" t="s">
        <v>963</v>
      </c>
      <c r="F639" t="s">
        <v>964</v>
      </c>
      <c r="G639">
        <v>44001</v>
      </c>
      <c r="H639">
        <v>44001</v>
      </c>
      <c r="I639" t="s">
        <v>288</v>
      </c>
      <c r="J639">
        <v>4401</v>
      </c>
      <c r="K639" t="s">
        <v>112</v>
      </c>
      <c r="L639" t="s">
        <v>51</v>
      </c>
      <c r="M639" t="s">
        <v>52</v>
      </c>
      <c r="N639">
        <v>222541</v>
      </c>
      <c r="O639" t="s">
        <v>53</v>
      </c>
      <c r="P639" t="s">
        <v>54</v>
      </c>
      <c r="Q639" t="s">
        <v>134</v>
      </c>
      <c r="R639" t="s">
        <v>93</v>
      </c>
      <c r="S639" t="s">
        <v>57</v>
      </c>
      <c r="T639" t="s">
        <v>73</v>
      </c>
      <c r="U639" t="s">
        <v>119</v>
      </c>
      <c r="V639">
        <v>0.626892</v>
      </c>
      <c r="W639">
        <v>2023</v>
      </c>
      <c r="X639" t="s">
        <v>147</v>
      </c>
      <c r="Y639" t="s">
        <v>148</v>
      </c>
      <c r="Z639" t="str">
        <f t="shared" si="18"/>
        <v>Mayor que 50 - hasta 60</v>
      </c>
      <c r="AA639">
        <f t="shared" si="19"/>
        <v>0</v>
      </c>
      <c r="AB639">
        <v>44001</v>
      </c>
      <c r="AC639" t="s">
        <v>689</v>
      </c>
      <c r="AD639" t="s">
        <v>965</v>
      </c>
      <c r="AE639">
        <v>0</v>
      </c>
      <c r="AF639" t="s">
        <v>63</v>
      </c>
      <c r="AG639">
        <v>0</v>
      </c>
      <c r="AH639" t="s">
        <v>689</v>
      </c>
      <c r="AI639" t="s">
        <v>963</v>
      </c>
      <c r="AJ639">
        <v>0</v>
      </c>
      <c r="AK639" t="s">
        <v>63</v>
      </c>
      <c r="AL639">
        <v>0</v>
      </c>
      <c r="AM639" t="s">
        <v>64</v>
      </c>
      <c r="AN639" s="7">
        <v>2140.74959675842</v>
      </c>
      <c r="AO639" t="s">
        <v>64</v>
      </c>
      <c r="AP639" s="3">
        <v>41</v>
      </c>
      <c r="AQ639">
        <v>3</v>
      </c>
      <c r="AR639">
        <v>3848.1611010000001</v>
      </c>
      <c r="AS639" t="s">
        <v>66</v>
      </c>
      <c r="AT639" t="s">
        <v>966</v>
      </c>
    </row>
    <row r="640" spans="1:46">
      <c r="A640">
        <v>562</v>
      </c>
      <c r="B640" t="s">
        <v>46</v>
      </c>
      <c r="C640">
        <v>44</v>
      </c>
      <c r="D640">
        <v>35</v>
      </c>
      <c r="E640" t="s">
        <v>593</v>
      </c>
      <c r="F640" t="s">
        <v>964</v>
      </c>
      <c r="G640">
        <v>44035</v>
      </c>
      <c r="H640">
        <v>44035</v>
      </c>
      <c r="I640" t="s">
        <v>288</v>
      </c>
      <c r="J640">
        <v>4401</v>
      </c>
      <c r="K640" t="s">
        <v>112</v>
      </c>
      <c r="L640" t="s">
        <v>91</v>
      </c>
      <c r="M640" t="s">
        <v>53</v>
      </c>
      <c r="N640">
        <v>35116</v>
      </c>
      <c r="O640" t="s">
        <v>53</v>
      </c>
      <c r="P640" t="s">
        <v>92</v>
      </c>
      <c r="Q640" t="s">
        <v>118</v>
      </c>
      <c r="R640" t="s">
        <v>56</v>
      </c>
      <c r="S640" t="s">
        <v>57</v>
      </c>
      <c r="T640" t="s">
        <v>58</v>
      </c>
      <c r="U640" t="s">
        <v>59</v>
      </c>
      <c r="V640">
        <v>0.77552600000000005</v>
      </c>
      <c r="W640">
        <v>2023</v>
      </c>
      <c r="X640" t="s">
        <v>310</v>
      </c>
      <c r="Y640" t="s">
        <v>311</v>
      </c>
      <c r="Z640" t="str">
        <f t="shared" si="18"/>
        <v>Mayor que 15 - hasta 20</v>
      </c>
      <c r="AA640">
        <f t="shared" si="19"/>
        <v>0</v>
      </c>
      <c r="AB640">
        <v>44035</v>
      </c>
      <c r="AC640" t="s">
        <v>689</v>
      </c>
      <c r="AD640" t="s">
        <v>967</v>
      </c>
      <c r="AE640">
        <v>1.0269630000000001</v>
      </c>
      <c r="AF640" t="s">
        <v>76</v>
      </c>
      <c r="AG640">
        <v>53.185490999999999</v>
      </c>
      <c r="AH640" t="s">
        <v>689</v>
      </c>
      <c r="AI640" t="s">
        <v>963</v>
      </c>
      <c r="AJ640">
        <v>2.0556399999999999</v>
      </c>
      <c r="AK640" t="s">
        <v>77</v>
      </c>
      <c r="AL640">
        <v>77.127416999999994</v>
      </c>
      <c r="AM640" t="s">
        <v>97</v>
      </c>
      <c r="AN640" s="7">
        <v>9525.4510504822374</v>
      </c>
      <c r="AO640" t="s">
        <v>64</v>
      </c>
      <c r="AP640" s="3">
        <v>119</v>
      </c>
      <c r="AQ640">
        <v>3</v>
      </c>
      <c r="AR640">
        <v>8231.2131659999995</v>
      </c>
      <c r="AS640" t="s">
        <v>66</v>
      </c>
      <c r="AT640" t="s">
        <v>137</v>
      </c>
    </row>
    <row r="641" spans="1:46">
      <c r="A641">
        <v>553</v>
      </c>
      <c r="B641" t="s">
        <v>46</v>
      </c>
      <c r="C641">
        <v>44</v>
      </c>
      <c r="D641">
        <v>78</v>
      </c>
      <c r="E641" t="s">
        <v>968</v>
      </c>
      <c r="F641" t="s">
        <v>964</v>
      </c>
      <c r="G641">
        <v>44078</v>
      </c>
      <c r="H641">
        <v>44078</v>
      </c>
      <c r="I641" t="s">
        <v>288</v>
      </c>
      <c r="J641">
        <v>4402</v>
      </c>
      <c r="K641" t="s">
        <v>297</v>
      </c>
      <c r="L641" t="s">
        <v>69</v>
      </c>
      <c r="M641" t="s">
        <v>53</v>
      </c>
      <c r="N641">
        <v>42906</v>
      </c>
      <c r="O641" t="s">
        <v>53</v>
      </c>
      <c r="P641" t="s">
        <v>92</v>
      </c>
      <c r="Q641" t="s">
        <v>71</v>
      </c>
      <c r="R641" t="s">
        <v>72</v>
      </c>
      <c r="S641" t="s">
        <v>57</v>
      </c>
      <c r="T641" t="s">
        <v>58</v>
      </c>
      <c r="U641" t="s">
        <v>119</v>
      </c>
      <c r="V641">
        <v>0.70740899999999995</v>
      </c>
      <c r="W641">
        <v>2023</v>
      </c>
      <c r="X641" t="s">
        <v>109</v>
      </c>
      <c r="Y641" t="s">
        <v>110</v>
      </c>
      <c r="Z641" t="str">
        <f t="shared" si="18"/>
        <v>Mayor que 30 - hasta 40</v>
      </c>
      <c r="AA641">
        <f t="shared" si="19"/>
        <v>0</v>
      </c>
      <c r="AB641">
        <v>44078</v>
      </c>
      <c r="AC641" t="s">
        <v>689</v>
      </c>
      <c r="AD641" t="s">
        <v>969</v>
      </c>
      <c r="AE641">
        <v>0.26028099999999998</v>
      </c>
      <c r="AF641" t="s">
        <v>63</v>
      </c>
      <c r="AG641">
        <v>12.553910999999999</v>
      </c>
      <c r="AH641" t="s">
        <v>352</v>
      </c>
      <c r="AI641" t="s">
        <v>376</v>
      </c>
      <c r="AJ641">
        <v>1.8169850000000001</v>
      </c>
      <c r="AK641" t="s">
        <v>76</v>
      </c>
      <c r="AL641">
        <v>94.124177000000003</v>
      </c>
      <c r="AM641" t="s">
        <v>64</v>
      </c>
      <c r="AN641" s="7">
        <v>1809.683402670385</v>
      </c>
      <c r="AO641" t="s">
        <v>65</v>
      </c>
      <c r="AP641" s="3">
        <v>300</v>
      </c>
      <c r="AQ641">
        <v>3</v>
      </c>
      <c r="AR641">
        <v>1466.801389</v>
      </c>
      <c r="AS641" t="s">
        <v>66</v>
      </c>
      <c r="AT641" t="s">
        <v>970</v>
      </c>
    </row>
    <row r="642" spans="1:46">
      <c r="A642">
        <v>563</v>
      </c>
      <c r="B642" t="s">
        <v>46</v>
      </c>
      <c r="C642">
        <v>44</v>
      </c>
      <c r="D642">
        <v>90</v>
      </c>
      <c r="E642" t="s">
        <v>971</v>
      </c>
      <c r="F642" t="s">
        <v>964</v>
      </c>
      <c r="G642">
        <v>44090</v>
      </c>
      <c r="H642">
        <v>44090</v>
      </c>
      <c r="I642" t="s">
        <v>288</v>
      </c>
      <c r="J642">
        <v>4401</v>
      </c>
      <c r="K642" t="s">
        <v>112</v>
      </c>
      <c r="L642" t="s">
        <v>80</v>
      </c>
      <c r="M642" t="s">
        <v>53</v>
      </c>
      <c r="N642">
        <v>45876</v>
      </c>
      <c r="O642" t="s">
        <v>53</v>
      </c>
      <c r="P642" t="s">
        <v>92</v>
      </c>
      <c r="Q642" t="s">
        <v>71</v>
      </c>
      <c r="R642" t="s">
        <v>56</v>
      </c>
      <c r="S642" t="s">
        <v>665</v>
      </c>
      <c r="T642" t="s">
        <v>73</v>
      </c>
      <c r="U642" t="s">
        <v>101</v>
      </c>
      <c r="V642">
        <v>0.29114699999999999</v>
      </c>
      <c r="W642">
        <v>2023</v>
      </c>
      <c r="X642" t="s">
        <v>109</v>
      </c>
      <c r="Y642" t="s">
        <v>110</v>
      </c>
      <c r="Z642" t="str">
        <f t="shared" si="18"/>
        <v>Mayor que 30 - hasta 40</v>
      </c>
      <c r="AA642">
        <f t="shared" si="19"/>
        <v>0</v>
      </c>
      <c r="AB642">
        <v>44090</v>
      </c>
      <c r="AC642" t="s">
        <v>689</v>
      </c>
      <c r="AD642" t="s">
        <v>965</v>
      </c>
      <c r="AE642">
        <v>1.512386</v>
      </c>
      <c r="AF642" t="s">
        <v>76</v>
      </c>
      <c r="AG642">
        <v>65.186710000000005</v>
      </c>
      <c r="AH642" t="s">
        <v>689</v>
      </c>
      <c r="AI642" t="s">
        <v>963</v>
      </c>
      <c r="AJ642">
        <v>1.4528449999999999</v>
      </c>
      <c r="AK642" t="s">
        <v>76</v>
      </c>
      <c r="AL642">
        <v>65.045288999999997</v>
      </c>
      <c r="AM642" t="s">
        <v>97</v>
      </c>
      <c r="AN642" s="7">
        <v>2687.3671634883349</v>
      </c>
      <c r="AO642" t="s">
        <v>65</v>
      </c>
      <c r="AP642" s="3">
        <v>153</v>
      </c>
      <c r="AQ642">
        <v>2</v>
      </c>
      <c r="AR642">
        <v>4045.337732</v>
      </c>
      <c r="AS642" t="s">
        <v>66</v>
      </c>
      <c r="AT642" t="s">
        <v>972</v>
      </c>
    </row>
    <row r="643" spans="1:46">
      <c r="A643">
        <v>554</v>
      </c>
      <c r="B643" t="s">
        <v>46</v>
      </c>
      <c r="C643">
        <v>44</v>
      </c>
      <c r="D643">
        <v>98</v>
      </c>
      <c r="E643" t="s">
        <v>973</v>
      </c>
      <c r="F643" t="s">
        <v>964</v>
      </c>
      <c r="G643">
        <v>44098</v>
      </c>
      <c r="H643">
        <v>44098</v>
      </c>
      <c r="I643" t="s">
        <v>288</v>
      </c>
      <c r="J643">
        <v>4402</v>
      </c>
      <c r="K643" t="s">
        <v>297</v>
      </c>
      <c r="L643" t="s">
        <v>91</v>
      </c>
      <c r="M643" t="s">
        <v>53</v>
      </c>
      <c r="N643">
        <v>15317</v>
      </c>
      <c r="O643" t="s">
        <v>53</v>
      </c>
      <c r="P643" t="s">
        <v>70</v>
      </c>
      <c r="Q643" t="s">
        <v>71</v>
      </c>
      <c r="R643" t="s">
        <v>93</v>
      </c>
      <c r="S643" t="s">
        <v>57</v>
      </c>
      <c r="T643" t="s">
        <v>58</v>
      </c>
      <c r="U643" t="s">
        <v>59</v>
      </c>
      <c r="V643">
        <v>0.77211399999999997</v>
      </c>
      <c r="W643">
        <v>2023</v>
      </c>
      <c r="X643" t="s">
        <v>109</v>
      </c>
      <c r="Y643" t="s">
        <v>110</v>
      </c>
      <c r="Z643" t="str">
        <f t="shared" ref="Z643:Z706" si="20">IF(LEFT(Y643,10)="Irradiado_",
   RIGHT(Y643, LEN(Y643)-10),   Y643)</f>
        <v>Mayor que 30 - hasta 40</v>
      </c>
      <c r="AA643">
        <f t="shared" ref="AA643:AA706" si="21">IF(LEFT(Y643,10)="Irradiado_", 1, 0)</f>
        <v>0</v>
      </c>
      <c r="AB643">
        <v>44098</v>
      </c>
      <c r="AC643" t="s">
        <v>689</v>
      </c>
      <c r="AD643" t="s">
        <v>969</v>
      </c>
      <c r="AE643">
        <v>0.119701</v>
      </c>
      <c r="AF643" t="s">
        <v>63</v>
      </c>
      <c r="AG643">
        <v>5.5384779999999996</v>
      </c>
      <c r="AH643" t="s">
        <v>352</v>
      </c>
      <c r="AI643" t="s">
        <v>376</v>
      </c>
      <c r="AJ643">
        <v>1.4974609999999999</v>
      </c>
      <c r="AK643" t="s">
        <v>76</v>
      </c>
      <c r="AL643">
        <v>77.314632000000003</v>
      </c>
      <c r="AM643" t="s">
        <v>64</v>
      </c>
      <c r="AN643" s="7">
        <v>2914.3155815140012</v>
      </c>
      <c r="AO643" t="s">
        <v>65</v>
      </c>
      <c r="AP643" s="3">
        <v>320</v>
      </c>
      <c r="AQ643">
        <v>2</v>
      </c>
      <c r="AR643">
        <v>3694.934769</v>
      </c>
      <c r="AS643" t="s">
        <v>66</v>
      </c>
      <c r="AT643" t="s">
        <v>974</v>
      </c>
    </row>
    <row r="644" spans="1:46">
      <c r="A644">
        <v>555</v>
      </c>
      <c r="B644" t="s">
        <v>46</v>
      </c>
      <c r="C644">
        <v>44</v>
      </c>
      <c r="D644">
        <v>110</v>
      </c>
      <c r="E644" t="s">
        <v>975</v>
      </c>
      <c r="F644" t="s">
        <v>964</v>
      </c>
      <c r="G644">
        <v>44110</v>
      </c>
      <c r="H644">
        <v>44110</v>
      </c>
      <c r="I644" t="s">
        <v>288</v>
      </c>
      <c r="J644">
        <v>4402</v>
      </c>
      <c r="K644" t="s">
        <v>297</v>
      </c>
      <c r="L644" t="s">
        <v>69</v>
      </c>
      <c r="M644" t="s">
        <v>53</v>
      </c>
      <c r="N644">
        <v>8441</v>
      </c>
      <c r="O644" t="s">
        <v>53</v>
      </c>
      <c r="P644" t="s">
        <v>70</v>
      </c>
      <c r="Q644" t="s">
        <v>71</v>
      </c>
      <c r="R644" t="s">
        <v>72</v>
      </c>
      <c r="S644" t="s">
        <v>57</v>
      </c>
      <c r="T644" t="s">
        <v>73</v>
      </c>
      <c r="U644" t="s">
        <v>59</v>
      </c>
      <c r="V644">
        <v>0.47392299999999998</v>
      </c>
      <c r="W644">
        <v>2023</v>
      </c>
      <c r="X644" t="s">
        <v>109</v>
      </c>
      <c r="Y644" t="s">
        <v>110</v>
      </c>
      <c r="Z644" t="str">
        <f t="shared" si="20"/>
        <v>Mayor que 30 - hasta 40</v>
      </c>
      <c r="AA644">
        <f t="shared" si="21"/>
        <v>0</v>
      </c>
      <c r="AB644">
        <v>44110</v>
      </c>
      <c r="AC644" t="s">
        <v>689</v>
      </c>
      <c r="AD644" t="s">
        <v>405</v>
      </c>
      <c r="AE644">
        <v>0.21998899999999999</v>
      </c>
      <c r="AF644" t="s">
        <v>63</v>
      </c>
      <c r="AG644">
        <v>8.3639609999999998</v>
      </c>
      <c r="AH644" t="s">
        <v>352</v>
      </c>
      <c r="AI644" t="s">
        <v>376</v>
      </c>
      <c r="AJ644">
        <v>1.2610110000000001</v>
      </c>
      <c r="AK644" t="s">
        <v>76</v>
      </c>
      <c r="AL644">
        <v>64.302648000000005</v>
      </c>
      <c r="AM644" t="s">
        <v>64</v>
      </c>
      <c r="AN644" s="7">
        <v>1805.425874633838</v>
      </c>
      <c r="AO644" t="s">
        <v>65</v>
      </c>
      <c r="AP644" s="3">
        <v>96</v>
      </c>
      <c r="AQ644">
        <v>1</v>
      </c>
      <c r="AR644">
        <v>2846.2937919999999</v>
      </c>
      <c r="AS644" t="s">
        <v>66</v>
      </c>
      <c r="AT644" t="s">
        <v>976</v>
      </c>
    </row>
    <row r="645" spans="1:46">
      <c r="A645">
        <v>556</v>
      </c>
      <c r="B645" t="s">
        <v>46</v>
      </c>
      <c r="C645">
        <v>44</v>
      </c>
      <c r="D645">
        <v>279</v>
      </c>
      <c r="E645" t="s">
        <v>969</v>
      </c>
      <c r="F645" t="s">
        <v>964</v>
      </c>
      <c r="G645">
        <v>44279</v>
      </c>
      <c r="H645">
        <v>44279</v>
      </c>
      <c r="I645" t="s">
        <v>288</v>
      </c>
      <c r="J645">
        <v>4402</v>
      </c>
      <c r="K645" t="s">
        <v>297</v>
      </c>
      <c r="L645" t="s">
        <v>91</v>
      </c>
      <c r="M645" t="s">
        <v>53</v>
      </c>
      <c r="N645">
        <v>50242</v>
      </c>
      <c r="O645" t="s">
        <v>53</v>
      </c>
      <c r="P645" t="s">
        <v>92</v>
      </c>
      <c r="Q645" t="s">
        <v>71</v>
      </c>
      <c r="R645" t="s">
        <v>122</v>
      </c>
      <c r="S645" t="s">
        <v>665</v>
      </c>
      <c r="T645" t="s">
        <v>73</v>
      </c>
      <c r="U645" t="s">
        <v>119</v>
      </c>
      <c r="V645">
        <v>0.63542799999999999</v>
      </c>
      <c r="W645">
        <v>2023</v>
      </c>
      <c r="X645" t="s">
        <v>109</v>
      </c>
      <c r="Y645" t="s">
        <v>110</v>
      </c>
      <c r="Z645" t="str">
        <f t="shared" si="20"/>
        <v>Mayor que 30 - hasta 40</v>
      </c>
      <c r="AA645">
        <f t="shared" si="21"/>
        <v>0</v>
      </c>
      <c r="AB645">
        <v>44279</v>
      </c>
      <c r="AC645" t="s">
        <v>689</v>
      </c>
      <c r="AD645" t="s">
        <v>969</v>
      </c>
      <c r="AE645">
        <v>0</v>
      </c>
      <c r="AF645" t="s">
        <v>63</v>
      </c>
      <c r="AG645">
        <v>0</v>
      </c>
      <c r="AH645" t="s">
        <v>352</v>
      </c>
      <c r="AI645" t="s">
        <v>376</v>
      </c>
      <c r="AJ645">
        <v>1.5969279999999999</v>
      </c>
      <c r="AK645" t="s">
        <v>76</v>
      </c>
      <c r="AL645">
        <v>82.594531000000003</v>
      </c>
      <c r="AM645" t="s">
        <v>64</v>
      </c>
      <c r="AN645" s="7">
        <v>7431.7153440432903</v>
      </c>
      <c r="AO645" t="s">
        <v>65</v>
      </c>
      <c r="AP645" s="3">
        <v>675</v>
      </c>
      <c r="AQ645">
        <v>2</v>
      </c>
      <c r="AR645">
        <v>7472.9552700000004</v>
      </c>
      <c r="AS645" t="s">
        <v>66</v>
      </c>
      <c r="AT645" t="s">
        <v>970</v>
      </c>
    </row>
    <row r="646" spans="1:46">
      <c r="A646">
        <v>557</v>
      </c>
      <c r="B646" t="s">
        <v>46</v>
      </c>
      <c r="C646">
        <v>44</v>
      </c>
      <c r="D646">
        <v>378</v>
      </c>
      <c r="E646" t="s">
        <v>977</v>
      </c>
      <c r="F646" t="s">
        <v>964</v>
      </c>
      <c r="G646">
        <v>44378</v>
      </c>
      <c r="H646">
        <v>44378</v>
      </c>
      <c r="I646" t="s">
        <v>288</v>
      </c>
      <c r="J646">
        <v>4402</v>
      </c>
      <c r="K646" t="s">
        <v>297</v>
      </c>
      <c r="L646" t="s">
        <v>91</v>
      </c>
      <c r="M646" t="s">
        <v>53</v>
      </c>
      <c r="N646">
        <v>23911</v>
      </c>
      <c r="O646" t="s">
        <v>53</v>
      </c>
      <c r="P646" t="s">
        <v>70</v>
      </c>
      <c r="Q646" t="s">
        <v>71</v>
      </c>
      <c r="R646" t="s">
        <v>93</v>
      </c>
      <c r="S646" t="s">
        <v>57</v>
      </c>
      <c r="T646" t="s">
        <v>58</v>
      </c>
      <c r="U646" t="s">
        <v>59</v>
      </c>
      <c r="V646">
        <v>0.65405400000000002</v>
      </c>
      <c r="W646">
        <v>2023</v>
      </c>
      <c r="X646" t="s">
        <v>310</v>
      </c>
      <c r="Y646" t="s">
        <v>311</v>
      </c>
      <c r="Z646" t="str">
        <f t="shared" si="20"/>
        <v>Mayor que 15 - hasta 20</v>
      </c>
      <c r="AA646">
        <f t="shared" si="21"/>
        <v>0</v>
      </c>
      <c r="AB646">
        <v>44378</v>
      </c>
      <c r="AC646" t="s">
        <v>689</v>
      </c>
      <c r="AD646" t="s">
        <v>969</v>
      </c>
      <c r="AE646">
        <v>0.52384200000000003</v>
      </c>
      <c r="AF646" t="s">
        <v>63</v>
      </c>
      <c r="AG646">
        <v>27.407820999999998</v>
      </c>
      <c r="AH646" t="s">
        <v>352</v>
      </c>
      <c r="AI646" t="s">
        <v>376</v>
      </c>
      <c r="AJ646">
        <v>2.080546</v>
      </c>
      <c r="AK646" t="s">
        <v>77</v>
      </c>
      <c r="AL646">
        <v>108.978088</v>
      </c>
      <c r="AM646" t="s">
        <v>64</v>
      </c>
      <c r="AN646" s="7">
        <v>236.89482137361159</v>
      </c>
      <c r="AO646" t="s">
        <v>65</v>
      </c>
      <c r="AP646" s="3">
        <v>7</v>
      </c>
      <c r="AQ646">
        <v>3</v>
      </c>
      <c r="AR646">
        <v>227.184</v>
      </c>
      <c r="AS646" t="s">
        <v>66</v>
      </c>
      <c r="AT646" t="s">
        <v>137</v>
      </c>
    </row>
    <row r="647" spans="1:46">
      <c r="A647">
        <v>558</v>
      </c>
      <c r="B647" t="s">
        <v>46</v>
      </c>
      <c r="C647">
        <v>44</v>
      </c>
      <c r="D647">
        <v>420</v>
      </c>
      <c r="E647" t="s">
        <v>978</v>
      </c>
      <c r="F647" t="s">
        <v>964</v>
      </c>
      <c r="G647">
        <v>44420</v>
      </c>
      <c r="H647">
        <v>44420</v>
      </c>
      <c r="I647" t="s">
        <v>288</v>
      </c>
      <c r="J647">
        <v>4402</v>
      </c>
      <c r="K647" t="s">
        <v>297</v>
      </c>
      <c r="L647" t="s">
        <v>69</v>
      </c>
      <c r="M647" t="s">
        <v>53</v>
      </c>
      <c r="N647">
        <v>4072</v>
      </c>
      <c r="O647" t="s">
        <v>53</v>
      </c>
      <c r="P647" t="s">
        <v>70</v>
      </c>
      <c r="Q647" t="s">
        <v>71</v>
      </c>
      <c r="R647" t="s">
        <v>93</v>
      </c>
      <c r="S647" t="s">
        <v>57</v>
      </c>
      <c r="T647" t="s">
        <v>73</v>
      </c>
      <c r="U647" t="s">
        <v>59</v>
      </c>
      <c r="V647">
        <v>0.156891</v>
      </c>
      <c r="W647">
        <v>2023</v>
      </c>
      <c r="X647" t="s">
        <v>176</v>
      </c>
      <c r="Y647" t="s">
        <v>177</v>
      </c>
      <c r="Z647" t="str">
        <f t="shared" si="20"/>
        <v>Mayor que 20 - hasta 30</v>
      </c>
      <c r="AA647">
        <f t="shared" si="21"/>
        <v>0</v>
      </c>
      <c r="AB647">
        <v>44420</v>
      </c>
      <c r="AC647" t="s">
        <v>689</v>
      </c>
      <c r="AD647" t="s">
        <v>405</v>
      </c>
      <c r="AE647">
        <v>0.41739500000000002</v>
      </c>
      <c r="AF647" t="s">
        <v>63</v>
      </c>
      <c r="AG647">
        <v>20.945079</v>
      </c>
      <c r="AH647" t="s">
        <v>352</v>
      </c>
      <c r="AI647" t="s">
        <v>376</v>
      </c>
      <c r="AJ647">
        <v>0.78524899999999997</v>
      </c>
      <c r="AK647" t="s">
        <v>63</v>
      </c>
      <c r="AL647">
        <v>38.797770999999997</v>
      </c>
      <c r="AM647" t="s">
        <v>64</v>
      </c>
      <c r="AN647" s="7">
        <v>898.08699821290043</v>
      </c>
      <c r="AO647" t="s">
        <v>64</v>
      </c>
      <c r="AP647" s="3">
        <v>17</v>
      </c>
      <c r="AQ647">
        <v>3</v>
      </c>
      <c r="AR647">
        <v>1154.971685</v>
      </c>
      <c r="AS647" t="s">
        <v>66</v>
      </c>
      <c r="AT647" t="s">
        <v>137</v>
      </c>
    </row>
    <row r="648" spans="1:46">
      <c r="A648">
        <v>566</v>
      </c>
      <c r="B648" t="s">
        <v>46</v>
      </c>
      <c r="C648">
        <v>44</v>
      </c>
      <c r="D648">
        <v>430</v>
      </c>
      <c r="E648" t="s">
        <v>967</v>
      </c>
      <c r="F648" t="s">
        <v>964</v>
      </c>
      <c r="G648">
        <v>44430</v>
      </c>
      <c r="H648">
        <v>44430</v>
      </c>
      <c r="I648" t="s">
        <v>288</v>
      </c>
      <c r="J648">
        <v>4401</v>
      </c>
      <c r="K648" t="s">
        <v>112</v>
      </c>
      <c r="L648" t="s">
        <v>51</v>
      </c>
      <c r="M648" t="s">
        <v>53</v>
      </c>
      <c r="N648">
        <v>200136</v>
      </c>
      <c r="O648" t="s">
        <v>53</v>
      </c>
      <c r="P648" t="s">
        <v>54</v>
      </c>
      <c r="Q648" t="s">
        <v>134</v>
      </c>
      <c r="R648" t="s">
        <v>72</v>
      </c>
      <c r="S648" t="s">
        <v>57</v>
      </c>
      <c r="T648" t="s">
        <v>73</v>
      </c>
      <c r="U648" t="s">
        <v>119</v>
      </c>
      <c r="V648">
        <v>0.64604799999999996</v>
      </c>
      <c r="W648">
        <v>2023</v>
      </c>
      <c r="X648" t="s">
        <v>310</v>
      </c>
      <c r="Y648" t="s">
        <v>311</v>
      </c>
      <c r="Z648" t="str">
        <f t="shared" si="20"/>
        <v>Mayor que 15 - hasta 20</v>
      </c>
      <c r="AA648">
        <f t="shared" si="21"/>
        <v>0</v>
      </c>
      <c r="AB648">
        <v>44430</v>
      </c>
      <c r="AC648" t="s">
        <v>689</v>
      </c>
      <c r="AD648" t="s">
        <v>967</v>
      </c>
      <c r="AE648">
        <v>0</v>
      </c>
      <c r="AF648" t="s">
        <v>63</v>
      </c>
      <c r="AG648">
        <v>0</v>
      </c>
      <c r="AH648" t="s">
        <v>689</v>
      </c>
      <c r="AI648" t="s">
        <v>963</v>
      </c>
      <c r="AJ648">
        <v>1.6287970000000001</v>
      </c>
      <c r="AK648" t="s">
        <v>76</v>
      </c>
      <c r="AL648">
        <v>83.339905999999999</v>
      </c>
      <c r="AM648" t="s">
        <v>64</v>
      </c>
      <c r="AN648" s="7">
        <v>8630.5824440739161</v>
      </c>
      <c r="AO648" t="s">
        <v>64</v>
      </c>
      <c r="AP648" s="3">
        <v>151</v>
      </c>
      <c r="AQ648">
        <v>2</v>
      </c>
      <c r="AR648">
        <v>10759.84015</v>
      </c>
      <c r="AS648" t="s">
        <v>66</v>
      </c>
      <c r="AT648" t="s">
        <v>744</v>
      </c>
    </row>
    <row r="649" spans="1:46">
      <c r="A649">
        <v>567</v>
      </c>
      <c r="B649" t="s">
        <v>46</v>
      </c>
      <c r="C649">
        <v>44</v>
      </c>
      <c r="D649">
        <v>560</v>
      </c>
      <c r="E649" t="s">
        <v>688</v>
      </c>
      <c r="F649" t="s">
        <v>964</v>
      </c>
      <c r="G649">
        <v>44560</v>
      </c>
      <c r="H649">
        <v>44560</v>
      </c>
      <c r="I649" t="s">
        <v>288</v>
      </c>
      <c r="J649">
        <v>4401</v>
      </c>
      <c r="K649" t="s">
        <v>112</v>
      </c>
      <c r="L649" t="s">
        <v>91</v>
      </c>
      <c r="M649" t="s">
        <v>53</v>
      </c>
      <c r="N649">
        <v>97010</v>
      </c>
      <c r="O649" t="s">
        <v>53</v>
      </c>
      <c r="P649" t="s">
        <v>92</v>
      </c>
      <c r="Q649" t="s">
        <v>134</v>
      </c>
      <c r="R649" t="s">
        <v>93</v>
      </c>
      <c r="S649" t="s">
        <v>57</v>
      </c>
      <c r="T649" t="s">
        <v>58</v>
      </c>
      <c r="U649" t="s">
        <v>81</v>
      </c>
      <c r="V649">
        <v>0.825959</v>
      </c>
      <c r="W649">
        <v>2023</v>
      </c>
      <c r="X649" t="s">
        <v>176</v>
      </c>
      <c r="Y649" t="s">
        <v>177</v>
      </c>
      <c r="Z649" t="str">
        <f t="shared" si="20"/>
        <v>Mayor que 20 - hasta 30</v>
      </c>
      <c r="AA649">
        <f t="shared" si="21"/>
        <v>0</v>
      </c>
      <c r="AB649">
        <v>44560</v>
      </c>
      <c r="AC649" t="s">
        <v>689</v>
      </c>
      <c r="AD649" t="s">
        <v>967</v>
      </c>
      <c r="AE649">
        <v>1.6136980000000001</v>
      </c>
      <c r="AF649" t="s">
        <v>76</v>
      </c>
      <c r="AG649">
        <v>63.739192000000003</v>
      </c>
      <c r="AH649" t="s">
        <v>689</v>
      </c>
      <c r="AI649" t="s">
        <v>963</v>
      </c>
      <c r="AJ649">
        <v>2.0308820000000001</v>
      </c>
      <c r="AK649" t="s">
        <v>77</v>
      </c>
      <c r="AL649">
        <v>79.260721000000004</v>
      </c>
      <c r="AM649" t="s">
        <v>97</v>
      </c>
      <c r="AN649" s="7">
        <v>7909.9356682950774</v>
      </c>
      <c r="AO649" t="s">
        <v>64</v>
      </c>
      <c r="AP649" s="3">
        <v>11</v>
      </c>
      <c r="AQ649">
        <v>4</v>
      </c>
      <c r="AR649">
        <v>5622.1801240000004</v>
      </c>
      <c r="AS649" t="s">
        <v>66</v>
      </c>
      <c r="AT649" t="s">
        <v>979</v>
      </c>
    </row>
    <row r="650" spans="1:46">
      <c r="A650">
        <v>564</v>
      </c>
      <c r="B650" t="s">
        <v>46</v>
      </c>
      <c r="C650">
        <v>44</v>
      </c>
      <c r="D650">
        <v>650</v>
      </c>
      <c r="E650" t="s">
        <v>980</v>
      </c>
      <c r="F650" t="s">
        <v>964</v>
      </c>
      <c r="G650">
        <v>44650</v>
      </c>
      <c r="H650">
        <v>44650</v>
      </c>
      <c r="I650" t="s">
        <v>288</v>
      </c>
      <c r="J650">
        <v>4402</v>
      </c>
      <c r="K650" t="s">
        <v>297</v>
      </c>
      <c r="L650" t="s">
        <v>91</v>
      </c>
      <c r="M650" t="s">
        <v>53</v>
      </c>
      <c r="N650">
        <v>54858</v>
      </c>
      <c r="O650" t="s">
        <v>53</v>
      </c>
      <c r="P650" t="s">
        <v>92</v>
      </c>
      <c r="Q650" t="s">
        <v>71</v>
      </c>
      <c r="R650" t="s">
        <v>72</v>
      </c>
      <c r="S650" t="s">
        <v>665</v>
      </c>
      <c r="T650" t="s">
        <v>73</v>
      </c>
      <c r="U650" t="s">
        <v>59</v>
      </c>
      <c r="V650">
        <v>0.60711099999999996</v>
      </c>
      <c r="W650">
        <v>2023</v>
      </c>
      <c r="X650" t="s">
        <v>109</v>
      </c>
      <c r="Y650" t="s">
        <v>110</v>
      </c>
      <c r="Z650" t="str">
        <f t="shared" si="20"/>
        <v>Mayor que 30 - hasta 40</v>
      </c>
      <c r="AA650">
        <f t="shared" si="21"/>
        <v>0</v>
      </c>
      <c r="AB650">
        <v>44650</v>
      </c>
      <c r="AC650" t="s">
        <v>689</v>
      </c>
      <c r="AD650" t="s">
        <v>980</v>
      </c>
      <c r="AE650">
        <v>0</v>
      </c>
      <c r="AF650" t="s">
        <v>63</v>
      </c>
      <c r="AG650">
        <v>0</v>
      </c>
      <c r="AH650" t="s">
        <v>352</v>
      </c>
      <c r="AI650" t="s">
        <v>376</v>
      </c>
      <c r="AJ650">
        <v>1.1741509999999999</v>
      </c>
      <c r="AK650" t="s">
        <v>76</v>
      </c>
      <c r="AL650">
        <v>58.606811</v>
      </c>
      <c r="AM650" t="s">
        <v>64</v>
      </c>
      <c r="AN650" s="7">
        <v>3722.9971902768661</v>
      </c>
      <c r="AO650" t="s">
        <v>65</v>
      </c>
      <c r="AP650" s="3">
        <v>213</v>
      </c>
      <c r="AQ650">
        <v>2</v>
      </c>
      <c r="AR650">
        <v>6464.2536339999997</v>
      </c>
      <c r="AS650" t="s">
        <v>66</v>
      </c>
      <c r="AT650" t="s">
        <v>974</v>
      </c>
    </row>
    <row r="651" spans="1:46">
      <c r="A651">
        <v>565</v>
      </c>
      <c r="B651" t="s">
        <v>46</v>
      </c>
      <c r="C651">
        <v>44</v>
      </c>
      <c r="D651">
        <v>847</v>
      </c>
      <c r="E651" t="s">
        <v>981</v>
      </c>
      <c r="F651" t="s">
        <v>964</v>
      </c>
      <c r="G651">
        <v>44847</v>
      </c>
      <c r="H651">
        <v>44847</v>
      </c>
      <c r="I651" t="s">
        <v>288</v>
      </c>
      <c r="J651">
        <v>4401</v>
      </c>
      <c r="K651" t="s">
        <v>112</v>
      </c>
      <c r="L651" t="s">
        <v>80</v>
      </c>
      <c r="M651" t="s">
        <v>53</v>
      </c>
      <c r="N651">
        <v>192278</v>
      </c>
      <c r="O651" t="s">
        <v>53</v>
      </c>
      <c r="P651" t="s">
        <v>54</v>
      </c>
      <c r="Q651" t="s">
        <v>134</v>
      </c>
      <c r="R651" t="s">
        <v>93</v>
      </c>
      <c r="S651" t="s">
        <v>57</v>
      </c>
      <c r="T651" t="s">
        <v>58</v>
      </c>
      <c r="U651" t="s">
        <v>59</v>
      </c>
      <c r="V651">
        <v>0.99095699999999998</v>
      </c>
      <c r="W651">
        <v>2023</v>
      </c>
      <c r="X651" t="s">
        <v>176</v>
      </c>
      <c r="Y651" t="s">
        <v>177</v>
      </c>
      <c r="Z651" t="str">
        <f t="shared" si="20"/>
        <v>Mayor que 20 - hasta 30</v>
      </c>
      <c r="AA651">
        <f t="shared" si="21"/>
        <v>0</v>
      </c>
      <c r="AB651">
        <v>44847</v>
      </c>
      <c r="AC651" t="s">
        <v>689</v>
      </c>
      <c r="AD651" t="s">
        <v>967</v>
      </c>
      <c r="AE651">
        <v>1.0278640000000001</v>
      </c>
      <c r="AF651" t="s">
        <v>76</v>
      </c>
      <c r="AG651">
        <v>41.436753000000003</v>
      </c>
      <c r="AH651" t="s">
        <v>689</v>
      </c>
      <c r="AI651" t="s">
        <v>963</v>
      </c>
      <c r="AJ651">
        <v>2.267468</v>
      </c>
      <c r="AK651" t="s">
        <v>77</v>
      </c>
      <c r="AL651">
        <v>104.071991</v>
      </c>
      <c r="AM651" t="s">
        <v>97</v>
      </c>
      <c r="AN651" s="7">
        <v>6290.1545783339652</v>
      </c>
      <c r="AO651" t="s">
        <v>97</v>
      </c>
      <c r="AP651" s="3">
        <v>5</v>
      </c>
      <c r="AQ651">
        <v>4</v>
      </c>
      <c r="AR651">
        <v>6125.032432</v>
      </c>
      <c r="AS651" t="s">
        <v>66</v>
      </c>
      <c r="AT651" t="s">
        <v>966</v>
      </c>
    </row>
    <row r="652" spans="1:46">
      <c r="A652">
        <v>559</v>
      </c>
      <c r="B652" t="s">
        <v>46</v>
      </c>
      <c r="C652">
        <v>44</v>
      </c>
      <c r="D652">
        <v>855</v>
      </c>
      <c r="E652" t="s">
        <v>982</v>
      </c>
      <c r="F652" t="s">
        <v>964</v>
      </c>
      <c r="G652">
        <v>44855</v>
      </c>
      <c r="H652">
        <v>44855</v>
      </c>
      <c r="I652" t="s">
        <v>288</v>
      </c>
      <c r="J652">
        <v>4402</v>
      </c>
      <c r="K652" t="s">
        <v>297</v>
      </c>
      <c r="L652" t="s">
        <v>91</v>
      </c>
      <c r="M652" t="s">
        <v>53</v>
      </c>
      <c r="N652">
        <v>12578</v>
      </c>
      <c r="O652" t="s">
        <v>53</v>
      </c>
      <c r="P652" t="s">
        <v>70</v>
      </c>
      <c r="Q652" t="s">
        <v>71</v>
      </c>
      <c r="R652" t="s">
        <v>105</v>
      </c>
      <c r="S652" t="s">
        <v>57</v>
      </c>
      <c r="T652" t="s">
        <v>73</v>
      </c>
      <c r="U652" t="s">
        <v>59</v>
      </c>
      <c r="V652">
        <v>0.67863600000000002</v>
      </c>
      <c r="W652">
        <v>2023</v>
      </c>
      <c r="X652" t="s">
        <v>176</v>
      </c>
      <c r="Y652" t="s">
        <v>177</v>
      </c>
      <c r="Z652" t="str">
        <f t="shared" si="20"/>
        <v>Mayor que 20 - hasta 30</v>
      </c>
      <c r="AA652">
        <f t="shared" si="21"/>
        <v>0</v>
      </c>
      <c r="AB652">
        <v>44855</v>
      </c>
      <c r="AC652" t="s">
        <v>689</v>
      </c>
      <c r="AD652" t="s">
        <v>405</v>
      </c>
      <c r="AE652">
        <v>0.21243899999999999</v>
      </c>
      <c r="AF652" t="s">
        <v>63</v>
      </c>
      <c r="AG652">
        <v>7.4468040000000002</v>
      </c>
      <c r="AH652" t="s">
        <v>352</v>
      </c>
      <c r="AI652" t="s">
        <v>376</v>
      </c>
      <c r="AJ652">
        <v>1.000149</v>
      </c>
      <c r="AK652" t="s">
        <v>76</v>
      </c>
      <c r="AL652">
        <v>49.237468</v>
      </c>
      <c r="AM652" t="s">
        <v>64</v>
      </c>
      <c r="AN652" s="7">
        <v>673.80283985648396</v>
      </c>
      <c r="AO652" t="s">
        <v>64</v>
      </c>
      <c r="AP652" s="3">
        <v>11</v>
      </c>
      <c r="AQ652">
        <v>3</v>
      </c>
      <c r="AR652">
        <v>733.18923600000005</v>
      </c>
      <c r="AS652" t="s">
        <v>66</v>
      </c>
      <c r="AT652" t="s">
        <v>681</v>
      </c>
    </row>
    <row r="653" spans="1:46">
      <c r="A653">
        <v>560</v>
      </c>
      <c r="B653" t="s">
        <v>46</v>
      </c>
      <c r="C653">
        <v>44</v>
      </c>
      <c r="D653">
        <v>874</v>
      </c>
      <c r="E653" t="s">
        <v>405</v>
      </c>
      <c r="F653" t="s">
        <v>964</v>
      </c>
      <c r="G653">
        <v>44874</v>
      </c>
      <c r="H653">
        <v>44874</v>
      </c>
      <c r="I653" t="s">
        <v>288</v>
      </c>
      <c r="J653">
        <v>4402</v>
      </c>
      <c r="K653" t="s">
        <v>297</v>
      </c>
      <c r="L653" t="s">
        <v>91</v>
      </c>
      <c r="M653" t="s">
        <v>53</v>
      </c>
      <c r="N653">
        <v>33115</v>
      </c>
      <c r="O653" t="s">
        <v>53</v>
      </c>
      <c r="P653" t="s">
        <v>92</v>
      </c>
      <c r="Q653" t="s">
        <v>71</v>
      </c>
      <c r="R653" t="s">
        <v>122</v>
      </c>
      <c r="S653" t="s">
        <v>57</v>
      </c>
      <c r="T653" t="s">
        <v>73</v>
      </c>
      <c r="U653" t="s">
        <v>59</v>
      </c>
      <c r="V653">
        <v>0.59060400000000002</v>
      </c>
      <c r="W653">
        <v>2023</v>
      </c>
      <c r="X653" t="s">
        <v>176</v>
      </c>
      <c r="Y653" t="s">
        <v>177</v>
      </c>
      <c r="Z653" t="str">
        <f t="shared" si="20"/>
        <v>Mayor que 20 - hasta 30</v>
      </c>
      <c r="AA653">
        <f t="shared" si="21"/>
        <v>0</v>
      </c>
      <c r="AB653">
        <v>44874</v>
      </c>
      <c r="AC653" t="s">
        <v>689</v>
      </c>
      <c r="AD653" t="s">
        <v>405</v>
      </c>
      <c r="AE653">
        <v>0</v>
      </c>
      <c r="AF653" t="s">
        <v>63</v>
      </c>
      <c r="AG653">
        <v>0</v>
      </c>
      <c r="AH653" t="s">
        <v>352</v>
      </c>
      <c r="AI653" t="s">
        <v>376</v>
      </c>
      <c r="AJ653">
        <v>1.0602910000000001</v>
      </c>
      <c r="AK653" t="s">
        <v>76</v>
      </c>
      <c r="AL653">
        <v>54.987214999999999</v>
      </c>
      <c r="AM653" t="s">
        <v>64</v>
      </c>
      <c r="AN653" s="7">
        <v>2900.6766589312292</v>
      </c>
      <c r="AO653" t="s">
        <v>65</v>
      </c>
      <c r="AP653" s="3">
        <v>63</v>
      </c>
      <c r="AQ653">
        <v>3</v>
      </c>
      <c r="AR653">
        <v>3835.6204029999999</v>
      </c>
      <c r="AS653" t="s">
        <v>66</v>
      </c>
      <c r="AT653" t="s">
        <v>137</v>
      </c>
    </row>
    <row r="654" spans="1:46">
      <c r="A654">
        <v>596</v>
      </c>
      <c r="B654" t="s">
        <v>46</v>
      </c>
      <c r="C654">
        <v>47</v>
      </c>
      <c r="D654">
        <v>1</v>
      </c>
      <c r="E654" t="s">
        <v>983</v>
      </c>
      <c r="F654" t="s">
        <v>984</v>
      </c>
      <c r="G654">
        <v>47001</v>
      </c>
      <c r="H654">
        <v>47001</v>
      </c>
      <c r="I654" t="s">
        <v>288</v>
      </c>
      <c r="J654">
        <v>4701</v>
      </c>
      <c r="K654" t="s">
        <v>983</v>
      </c>
      <c r="L654" t="s">
        <v>51</v>
      </c>
      <c r="M654" t="s">
        <v>52</v>
      </c>
      <c r="N654">
        <v>555030</v>
      </c>
      <c r="O654" t="s">
        <v>53</v>
      </c>
      <c r="P654" t="s">
        <v>54</v>
      </c>
      <c r="Q654" t="s">
        <v>138</v>
      </c>
      <c r="R654" t="s">
        <v>105</v>
      </c>
      <c r="S654" t="s">
        <v>665</v>
      </c>
      <c r="T654" t="s">
        <v>58</v>
      </c>
      <c r="U654" t="s">
        <v>119</v>
      </c>
      <c r="V654">
        <v>0.44317699999999999</v>
      </c>
      <c r="W654" t="s">
        <v>289</v>
      </c>
      <c r="X654" t="s">
        <v>176</v>
      </c>
      <c r="Y654" t="s">
        <v>187</v>
      </c>
      <c r="Z654" t="str">
        <f t="shared" si="20"/>
        <v>Mayor que 80 - hasta 100</v>
      </c>
      <c r="AA654">
        <f t="shared" si="21"/>
        <v>1</v>
      </c>
      <c r="AB654">
        <v>47001</v>
      </c>
      <c r="AC654" t="s">
        <v>347</v>
      </c>
      <c r="AD654" t="s">
        <v>985</v>
      </c>
      <c r="AE654">
        <v>0</v>
      </c>
      <c r="AF654" t="s">
        <v>63</v>
      </c>
      <c r="AG654">
        <v>0</v>
      </c>
      <c r="AH654" t="s">
        <v>347</v>
      </c>
      <c r="AI654" t="s">
        <v>983</v>
      </c>
      <c r="AJ654">
        <v>0</v>
      </c>
      <c r="AK654" t="s">
        <v>63</v>
      </c>
      <c r="AL654">
        <v>0</v>
      </c>
      <c r="AM654" s="4" t="s">
        <v>64</v>
      </c>
      <c r="AN654" s="5">
        <v>59218.672465641423</v>
      </c>
      <c r="AO654" s="4" t="s">
        <v>65</v>
      </c>
      <c r="AP654" s="6">
        <v>3812</v>
      </c>
      <c r="AQ654">
        <v>3</v>
      </c>
      <c r="AR654">
        <v>54800.491265999997</v>
      </c>
      <c r="AS654" t="s">
        <v>66</v>
      </c>
      <c r="AT654" t="s">
        <v>53</v>
      </c>
    </row>
    <row r="655" spans="1:46">
      <c r="A655">
        <v>569</v>
      </c>
      <c r="B655" t="s">
        <v>46</v>
      </c>
      <c r="C655">
        <v>47</v>
      </c>
      <c r="D655">
        <v>30</v>
      </c>
      <c r="E655" t="s">
        <v>986</v>
      </c>
      <c r="F655" t="s">
        <v>984</v>
      </c>
      <c r="G655">
        <v>47030</v>
      </c>
      <c r="H655">
        <v>47030</v>
      </c>
      <c r="I655" t="s">
        <v>288</v>
      </c>
      <c r="J655">
        <v>4703</v>
      </c>
      <c r="K655" t="s">
        <v>112</v>
      </c>
      <c r="L655" t="s">
        <v>69</v>
      </c>
      <c r="M655" t="s">
        <v>53</v>
      </c>
      <c r="N655">
        <v>17549</v>
      </c>
      <c r="O655" t="s">
        <v>53</v>
      </c>
      <c r="P655" t="s">
        <v>70</v>
      </c>
      <c r="Q655" t="s">
        <v>71</v>
      </c>
      <c r="R655" t="s">
        <v>122</v>
      </c>
      <c r="S655" t="s">
        <v>57</v>
      </c>
      <c r="T655" t="s">
        <v>58</v>
      </c>
      <c r="U655" t="s">
        <v>59</v>
      </c>
      <c r="V655">
        <v>0.69625000000000004</v>
      </c>
      <c r="W655" t="s">
        <v>289</v>
      </c>
      <c r="X655" t="s">
        <v>310</v>
      </c>
      <c r="Y655" t="s">
        <v>311</v>
      </c>
      <c r="Z655" t="str">
        <f t="shared" si="20"/>
        <v>Mayor que 15 - hasta 20</v>
      </c>
      <c r="AA655">
        <f t="shared" si="21"/>
        <v>0</v>
      </c>
      <c r="AB655">
        <v>47030</v>
      </c>
      <c r="AC655" t="s">
        <v>352</v>
      </c>
      <c r="AD655" t="s">
        <v>679</v>
      </c>
      <c r="AE655">
        <v>0.75176100000000001</v>
      </c>
      <c r="AF655" t="s">
        <v>63</v>
      </c>
      <c r="AG655">
        <v>18.226703000000001</v>
      </c>
      <c r="AH655" t="s">
        <v>352</v>
      </c>
      <c r="AI655" t="s">
        <v>376</v>
      </c>
      <c r="AJ655">
        <v>2.8870399999999998</v>
      </c>
      <c r="AK655" t="s">
        <v>77</v>
      </c>
      <c r="AL655">
        <v>138.59007199999999</v>
      </c>
      <c r="AM655" s="4" t="s">
        <v>64</v>
      </c>
      <c r="AN655" s="5">
        <v>19807.071506537719</v>
      </c>
      <c r="AO655" s="4" t="s">
        <v>64</v>
      </c>
      <c r="AP655" s="6">
        <v>275</v>
      </c>
      <c r="AQ655">
        <v>2</v>
      </c>
      <c r="AR655">
        <v>21801.178178999999</v>
      </c>
      <c r="AS655" t="s">
        <v>66</v>
      </c>
      <c r="AT655" t="s">
        <v>53</v>
      </c>
    </row>
    <row r="656" spans="1:46">
      <c r="A656">
        <v>593</v>
      </c>
      <c r="B656" t="s">
        <v>46</v>
      </c>
      <c r="C656">
        <v>47</v>
      </c>
      <c r="D656">
        <v>53</v>
      </c>
      <c r="E656" t="s">
        <v>987</v>
      </c>
      <c r="F656" t="s">
        <v>984</v>
      </c>
      <c r="G656">
        <v>47053</v>
      </c>
      <c r="H656">
        <v>47053</v>
      </c>
      <c r="I656" t="s">
        <v>288</v>
      </c>
      <c r="J656">
        <v>4703</v>
      </c>
      <c r="K656" t="s">
        <v>112</v>
      </c>
      <c r="L656" t="s">
        <v>91</v>
      </c>
      <c r="M656" t="s">
        <v>53</v>
      </c>
      <c r="N656">
        <v>44857</v>
      </c>
      <c r="O656" t="s">
        <v>53</v>
      </c>
      <c r="P656" t="s">
        <v>92</v>
      </c>
      <c r="Q656" t="s">
        <v>71</v>
      </c>
      <c r="R656" t="s">
        <v>93</v>
      </c>
      <c r="S656" t="s">
        <v>665</v>
      </c>
      <c r="T656" t="s">
        <v>73</v>
      </c>
      <c r="U656" t="s">
        <v>119</v>
      </c>
      <c r="V656">
        <v>0.20987700000000001</v>
      </c>
      <c r="W656" t="s">
        <v>289</v>
      </c>
      <c r="X656" t="s">
        <v>176</v>
      </c>
      <c r="Y656" t="s">
        <v>177</v>
      </c>
      <c r="Z656" t="str">
        <f t="shared" si="20"/>
        <v>Mayor que 20 - hasta 30</v>
      </c>
      <c r="AA656">
        <f t="shared" si="21"/>
        <v>0</v>
      </c>
      <c r="AB656">
        <v>47053</v>
      </c>
      <c r="AC656" t="s">
        <v>347</v>
      </c>
      <c r="AD656" t="s">
        <v>987</v>
      </c>
      <c r="AE656">
        <v>0</v>
      </c>
      <c r="AF656" t="s">
        <v>63</v>
      </c>
      <c r="AG656">
        <v>0</v>
      </c>
      <c r="AH656" t="s">
        <v>347</v>
      </c>
      <c r="AI656" t="s">
        <v>983</v>
      </c>
      <c r="AJ656">
        <v>1.918523</v>
      </c>
      <c r="AK656" t="s">
        <v>76</v>
      </c>
      <c r="AL656">
        <v>87.636456999999993</v>
      </c>
      <c r="AM656" s="4" t="s">
        <v>64</v>
      </c>
      <c r="AN656" s="5">
        <v>34503.530889292204</v>
      </c>
      <c r="AO656" s="4" t="s">
        <v>65</v>
      </c>
      <c r="AP656" s="6">
        <v>810</v>
      </c>
      <c r="AQ656">
        <v>3</v>
      </c>
      <c r="AR656">
        <v>19551.289095</v>
      </c>
      <c r="AS656" t="s">
        <v>66</v>
      </c>
      <c r="AT656" t="s">
        <v>53</v>
      </c>
    </row>
    <row r="657" spans="1:46">
      <c r="A657">
        <v>570</v>
      </c>
      <c r="B657" t="s">
        <v>46</v>
      </c>
      <c r="C657">
        <v>47</v>
      </c>
      <c r="D657">
        <v>58</v>
      </c>
      <c r="E657" t="s">
        <v>988</v>
      </c>
      <c r="F657" t="s">
        <v>984</v>
      </c>
      <c r="G657">
        <v>47058</v>
      </c>
      <c r="H657">
        <v>47058</v>
      </c>
      <c r="I657" t="s">
        <v>288</v>
      </c>
      <c r="J657">
        <v>4702</v>
      </c>
      <c r="K657" t="s">
        <v>409</v>
      </c>
      <c r="L657" t="s">
        <v>69</v>
      </c>
      <c r="M657" t="s">
        <v>53</v>
      </c>
      <c r="N657">
        <v>33688</v>
      </c>
      <c r="O657" t="s">
        <v>53</v>
      </c>
      <c r="P657" t="s">
        <v>92</v>
      </c>
      <c r="Q657" t="s">
        <v>71</v>
      </c>
      <c r="R657" t="s">
        <v>105</v>
      </c>
      <c r="S657" t="s">
        <v>57</v>
      </c>
      <c r="T657" t="s">
        <v>58</v>
      </c>
      <c r="U657" t="s">
        <v>59</v>
      </c>
      <c r="V657">
        <v>0.18820200000000001</v>
      </c>
      <c r="W657" t="s">
        <v>289</v>
      </c>
      <c r="X657" t="s">
        <v>310</v>
      </c>
      <c r="Y657" t="s">
        <v>311</v>
      </c>
      <c r="Z657" t="str">
        <f t="shared" si="20"/>
        <v>Mayor que 15 - hasta 20</v>
      </c>
      <c r="AA657">
        <f t="shared" si="21"/>
        <v>0</v>
      </c>
      <c r="AB657">
        <v>47058</v>
      </c>
      <c r="AC657" t="s">
        <v>352</v>
      </c>
      <c r="AD657" t="s">
        <v>671</v>
      </c>
      <c r="AE657">
        <v>0.87456699999999998</v>
      </c>
      <c r="AF657" t="s">
        <v>63</v>
      </c>
      <c r="AG657">
        <v>44.557569000000001</v>
      </c>
      <c r="AH657" t="s">
        <v>352</v>
      </c>
      <c r="AI657" t="s">
        <v>376</v>
      </c>
      <c r="AJ657">
        <v>2.6342940000000001</v>
      </c>
      <c r="AK657" t="s">
        <v>77</v>
      </c>
      <c r="AL657">
        <v>142.02438699999999</v>
      </c>
      <c r="AM657" s="4" t="s">
        <v>64</v>
      </c>
      <c r="AN657" s="5">
        <v>68016.336133687422</v>
      </c>
      <c r="AO657" s="4" t="s">
        <v>64</v>
      </c>
      <c r="AP657" s="6">
        <v>1120</v>
      </c>
      <c r="AQ657">
        <v>1</v>
      </c>
      <c r="AR657">
        <v>41898.524569000001</v>
      </c>
      <c r="AS657" t="s">
        <v>66</v>
      </c>
      <c r="AT657" t="s">
        <v>53</v>
      </c>
    </row>
    <row r="658" spans="1:46">
      <c r="A658">
        <v>571</v>
      </c>
      <c r="B658" t="s">
        <v>46</v>
      </c>
      <c r="C658">
        <v>47</v>
      </c>
      <c r="D658">
        <v>161</v>
      </c>
      <c r="E658" t="s">
        <v>989</v>
      </c>
      <c r="F658" t="s">
        <v>984</v>
      </c>
      <c r="G658">
        <v>47161</v>
      </c>
      <c r="H658">
        <v>47161</v>
      </c>
      <c r="I658" t="s">
        <v>288</v>
      </c>
      <c r="J658">
        <v>4704</v>
      </c>
      <c r="K658" t="s">
        <v>990</v>
      </c>
      <c r="L658" t="s">
        <v>69</v>
      </c>
      <c r="M658" t="s">
        <v>53</v>
      </c>
      <c r="N658">
        <v>11146</v>
      </c>
      <c r="O658" t="s">
        <v>53</v>
      </c>
      <c r="P658" t="s">
        <v>70</v>
      </c>
      <c r="Q658" t="s">
        <v>71</v>
      </c>
      <c r="R658" t="s">
        <v>56</v>
      </c>
      <c r="S658" t="s">
        <v>57</v>
      </c>
      <c r="T658" t="s">
        <v>58</v>
      </c>
      <c r="U658" t="s">
        <v>81</v>
      </c>
      <c r="V658">
        <v>0.51813500000000001</v>
      </c>
      <c r="W658" t="s">
        <v>289</v>
      </c>
      <c r="X658" t="s">
        <v>339</v>
      </c>
      <c r="Y658" t="s">
        <v>340</v>
      </c>
      <c r="Z658" t="str">
        <f t="shared" si="20"/>
        <v>Mayor que 10 - hasta 15</v>
      </c>
      <c r="AA658">
        <f t="shared" si="21"/>
        <v>0</v>
      </c>
      <c r="AB658">
        <v>47161</v>
      </c>
      <c r="AC658" t="s">
        <v>347</v>
      </c>
      <c r="AD658" t="s">
        <v>369</v>
      </c>
      <c r="AE658">
        <v>1.6608259999999999</v>
      </c>
      <c r="AF658" t="s">
        <v>76</v>
      </c>
      <c r="AG658">
        <v>89.503361999999996</v>
      </c>
      <c r="AH658" t="s">
        <v>290</v>
      </c>
      <c r="AI658" t="s">
        <v>286</v>
      </c>
      <c r="AJ658">
        <v>2.0085320000000002</v>
      </c>
      <c r="AK658" t="s">
        <v>77</v>
      </c>
      <c r="AL658">
        <v>97.410469000000006</v>
      </c>
      <c r="AM658" s="4" t="s">
        <v>64</v>
      </c>
      <c r="AN658" s="5">
        <v>7492.5700782378817</v>
      </c>
      <c r="AO658" s="4" t="s">
        <v>65</v>
      </c>
      <c r="AP658" s="6">
        <v>589</v>
      </c>
      <c r="AQ658">
        <v>4</v>
      </c>
      <c r="AR658">
        <v>4858.5888059999997</v>
      </c>
      <c r="AS658" t="s">
        <v>66</v>
      </c>
      <c r="AT658" t="s">
        <v>53</v>
      </c>
    </row>
    <row r="659" spans="1:46">
      <c r="A659">
        <v>572</v>
      </c>
      <c r="B659" t="s">
        <v>46</v>
      </c>
      <c r="C659">
        <v>47</v>
      </c>
      <c r="D659">
        <v>170</v>
      </c>
      <c r="E659" t="s">
        <v>991</v>
      </c>
      <c r="F659" t="s">
        <v>984</v>
      </c>
      <c r="G659">
        <v>47170</v>
      </c>
      <c r="H659">
        <v>47170</v>
      </c>
      <c r="I659" t="s">
        <v>288</v>
      </c>
      <c r="J659">
        <v>4702</v>
      </c>
      <c r="K659" t="s">
        <v>409</v>
      </c>
      <c r="L659" t="s">
        <v>69</v>
      </c>
      <c r="M659" t="s">
        <v>53</v>
      </c>
      <c r="N659">
        <v>24624</v>
      </c>
      <c r="O659" t="s">
        <v>53</v>
      </c>
      <c r="P659" t="s">
        <v>70</v>
      </c>
      <c r="Q659" t="s">
        <v>71</v>
      </c>
      <c r="R659" t="s">
        <v>93</v>
      </c>
      <c r="S659" t="s">
        <v>57</v>
      </c>
      <c r="T659" t="s">
        <v>58</v>
      </c>
      <c r="U659" t="s">
        <v>59</v>
      </c>
      <c r="V659">
        <v>0.14594199999999999</v>
      </c>
      <c r="W659" t="s">
        <v>289</v>
      </c>
      <c r="X659" t="s">
        <v>310</v>
      </c>
      <c r="Y659" t="s">
        <v>311</v>
      </c>
      <c r="Z659" t="str">
        <f t="shared" si="20"/>
        <v>Mayor que 15 - hasta 20</v>
      </c>
      <c r="AA659">
        <f t="shared" si="21"/>
        <v>0</v>
      </c>
      <c r="AB659">
        <v>47170</v>
      </c>
      <c r="AC659" t="s">
        <v>347</v>
      </c>
      <c r="AD659" t="s">
        <v>369</v>
      </c>
      <c r="AE659">
        <v>1.3883259999999999</v>
      </c>
      <c r="AF659" t="s">
        <v>76</v>
      </c>
      <c r="AG659">
        <v>43.774726000000001</v>
      </c>
      <c r="AH659" t="s">
        <v>341</v>
      </c>
      <c r="AI659" t="s">
        <v>349</v>
      </c>
      <c r="AJ659">
        <v>3.6896420000000001</v>
      </c>
      <c r="AK659" t="s">
        <v>84</v>
      </c>
      <c r="AL659">
        <v>158.87707800000001</v>
      </c>
      <c r="AM659" s="4" t="s">
        <v>64</v>
      </c>
      <c r="AN659" s="5">
        <v>40597.981822095804</v>
      </c>
      <c r="AO659" s="4" t="s">
        <v>64</v>
      </c>
      <c r="AP659" s="6">
        <v>899</v>
      </c>
      <c r="AQ659">
        <v>2</v>
      </c>
      <c r="AR659">
        <v>46770.729883</v>
      </c>
      <c r="AS659" t="s">
        <v>66</v>
      </c>
      <c r="AT659" t="s">
        <v>53</v>
      </c>
    </row>
    <row r="660" spans="1:46">
      <c r="A660">
        <v>594</v>
      </c>
      <c r="B660" t="s">
        <v>46</v>
      </c>
      <c r="C660">
        <v>47</v>
      </c>
      <c r="D660">
        <v>189</v>
      </c>
      <c r="E660" t="s">
        <v>992</v>
      </c>
      <c r="F660" t="s">
        <v>984</v>
      </c>
      <c r="G660">
        <v>47189</v>
      </c>
      <c r="H660">
        <v>47189</v>
      </c>
      <c r="I660" t="s">
        <v>288</v>
      </c>
      <c r="J660">
        <v>4703</v>
      </c>
      <c r="K660" t="s">
        <v>112</v>
      </c>
      <c r="L660" t="s">
        <v>51</v>
      </c>
      <c r="M660" t="s">
        <v>53</v>
      </c>
      <c r="N660">
        <v>132157</v>
      </c>
      <c r="O660" t="s">
        <v>53</v>
      </c>
      <c r="P660" t="s">
        <v>54</v>
      </c>
      <c r="Q660" t="s">
        <v>118</v>
      </c>
      <c r="R660" t="s">
        <v>122</v>
      </c>
      <c r="S660" t="s">
        <v>665</v>
      </c>
      <c r="T660" t="s">
        <v>58</v>
      </c>
      <c r="U660" t="s">
        <v>119</v>
      </c>
      <c r="V660">
        <v>0.72328300000000001</v>
      </c>
      <c r="W660" t="s">
        <v>289</v>
      </c>
      <c r="X660" t="s">
        <v>176</v>
      </c>
      <c r="Y660" t="s">
        <v>177</v>
      </c>
      <c r="Z660" t="str">
        <f t="shared" si="20"/>
        <v>Mayor que 20 - hasta 30</v>
      </c>
      <c r="AA660">
        <f t="shared" si="21"/>
        <v>0</v>
      </c>
      <c r="AB660">
        <v>47189</v>
      </c>
      <c r="AC660" t="s">
        <v>347</v>
      </c>
      <c r="AD660" t="s">
        <v>993</v>
      </c>
      <c r="AE660">
        <v>0</v>
      </c>
      <c r="AF660" t="s">
        <v>63</v>
      </c>
      <c r="AG660">
        <v>0</v>
      </c>
      <c r="AH660" t="s">
        <v>347</v>
      </c>
      <c r="AI660" t="s">
        <v>983</v>
      </c>
      <c r="AJ660">
        <v>0.91581199999999996</v>
      </c>
      <c r="AK660" t="s">
        <v>63</v>
      </c>
      <c r="AL660">
        <v>33.176450000000003</v>
      </c>
      <c r="AM660" s="4" t="s">
        <v>64</v>
      </c>
      <c r="AN660" s="5">
        <v>56573.35429776524</v>
      </c>
      <c r="AO660" s="4" t="s">
        <v>65</v>
      </c>
      <c r="AP660" s="6">
        <v>1591</v>
      </c>
      <c r="AQ660">
        <v>4</v>
      </c>
      <c r="AR660">
        <v>63822.505075000001</v>
      </c>
      <c r="AS660" t="s">
        <v>66</v>
      </c>
      <c r="AT660" t="s">
        <v>53</v>
      </c>
    </row>
    <row r="661" spans="1:46">
      <c r="A661">
        <v>573</v>
      </c>
      <c r="B661" t="s">
        <v>46</v>
      </c>
      <c r="C661">
        <v>47</v>
      </c>
      <c r="D661">
        <v>205</v>
      </c>
      <c r="E661" t="s">
        <v>178</v>
      </c>
      <c r="F661" t="s">
        <v>984</v>
      </c>
      <c r="G661">
        <v>47205</v>
      </c>
      <c r="H661">
        <v>47205</v>
      </c>
      <c r="I661" t="s">
        <v>288</v>
      </c>
      <c r="J661">
        <v>4704</v>
      </c>
      <c r="K661" t="s">
        <v>990</v>
      </c>
      <c r="L661" t="s">
        <v>91</v>
      </c>
      <c r="M661" t="s">
        <v>53</v>
      </c>
      <c r="N661">
        <v>11731</v>
      </c>
      <c r="O661" t="s">
        <v>53</v>
      </c>
      <c r="P661" t="s">
        <v>70</v>
      </c>
      <c r="Q661" t="s">
        <v>71</v>
      </c>
      <c r="R661" t="s">
        <v>56</v>
      </c>
      <c r="S661" t="s">
        <v>57</v>
      </c>
      <c r="T661" t="s">
        <v>58</v>
      </c>
      <c r="U661" t="s">
        <v>81</v>
      </c>
      <c r="V661">
        <v>0.60928400000000005</v>
      </c>
      <c r="W661" t="s">
        <v>289</v>
      </c>
      <c r="X661" t="s">
        <v>339</v>
      </c>
      <c r="Y661" t="s">
        <v>340</v>
      </c>
      <c r="Z661" t="str">
        <f t="shared" si="20"/>
        <v>Mayor que 10 - hasta 15</v>
      </c>
      <c r="AA661">
        <f t="shared" si="21"/>
        <v>0</v>
      </c>
      <c r="AB661">
        <v>47205</v>
      </c>
      <c r="AC661" t="s">
        <v>347</v>
      </c>
      <c r="AD661" t="s">
        <v>369</v>
      </c>
      <c r="AE661">
        <v>1.7560640000000001</v>
      </c>
      <c r="AF661" t="s">
        <v>76</v>
      </c>
      <c r="AG661">
        <v>72.679603</v>
      </c>
      <c r="AH661" t="s">
        <v>290</v>
      </c>
      <c r="AI661" t="s">
        <v>286</v>
      </c>
      <c r="AJ661">
        <v>2.7115480000000001</v>
      </c>
      <c r="AK661" t="s">
        <v>77</v>
      </c>
      <c r="AL661">
        <v>112.122958</v>
      </c>
      <c r="AM661" s="4" t="s">
        <v>64</v>
      </c>
      <c r="AN661" s="5">
        <v>6557.9760469787352</v>
      </c>
      <c r="AO661" s="4" t="s">
        <v>65</v>
      </c>
      <c r="AP661" s="6">
        <v>346</v>
      </c>
      <c r="AQ661">
        <v>3</v>
      </c>
      <c r="AR661">
        <v>5077.8549540000004</v>
      </c>
      <c r="AS661" t="s">
        <v>66</v>
      </c>
      <c r="AT661" t="s">
        <v>53</v>
      </c>
    </row>
    <row r="662" spans="1:46">
      <c r="A662">
        <v>597</v>
      </c>
      <c r="B662" t="s">
        <v>46</v>
      </c>
      <c r="C662">
        <v>47</v>
      </c>
      <c r="D662">
        <v>245</v>
      </c>
      <c r="E662" t="s">
        <v>348</v>
      </c>
      <c r="F662" t="s">
        <v>984</v>
      </c>
      <c r="G662">
        <v>47245</v>
      </c>
      <c r="H662">
        <v>47245</v>
      </c>
      <c r="I662" t="s">
        <v>288</v>
      </c>
      <c r="J662">
        <v>4705</v>
      </c>
      <c r="K662" t="s">
        <v>297</v>
      </c>
      <c r="L662" t="s">
        <v>91</v>
      </c>
      <c r="M662" t="s">
        <v>53</v>
      </c>
      <c r="N662">
        <v>73253</v>
      </c>
      <c r="O662" t="s">
        <v>53</v>
      </c>
      <c r="P662" t="s">
        <v>92</v>
      </c>
      <c r="Q662" t="s">
        <v>71</v>
      </c>
      <c r="R662" t="s">
        <v>122</v>
      </c>
      <c r="S662" t="s">
        <v>57</v>
      </c>
      <c r="T662" t="s">
        <v>58</v>
      </c>
      <c r="U662" t="s">
        <v>59</v>
      </c>
      <c r="V662">
        <v>0.63183900000000004</v>
      </c>
      <c r="W662" t="s">
        <v>289</v>
      </c>
      <c r="X662" t="s">
        <v>310</v>
      </c>
      <c r="Y662" t="s">
        <v>311</v>
      </c>
      <c r="Z662" t="str">
        <f t="shared" si="20"/>
        <v>Mayor que 15 - hasta 20</v>
      </c>
      <c r="AA662">
        <f t="shared" si="21"/>
        <v>0</v>
      </c>
      <c r="AB662">
        <v>47245</v>
      </c>
      <c r="AC662" t="s">
        <v>347</v>
      </c>
      <c r="AD662" t="s">
        <v>348</v>
      </c>
      <c r="AE662">
        <v>0</v>
      </c>
      <c r="AF662" t="s">
        <v>63</v>
      </c>
      <c r="AG662">
        <v>0</v>
      </c>
      <c r="AH662" t="s">
        <v>341</v>
      </c>
      <c r="AI662" t="s">
        <v>349</v>
      </c>
      <c r="AJ662">
        <v>4.3980689999999996</v>
      </c>
      <c r="AK662" t="s">
        <v>85</v>
      </c>
      <c r="AL662">
        <v>224.703485</v>
      </c>
      <c r="AM662" s="4" t="s">
        <v>64</v>
      </c>
      <c r="AN662" s="5">
        <v>29822.23558342566</v>
      </c>
      <c r="AO662" s="4" t="s">
        <v>65</v>
      </c>
      <c r="AP662" s="6">
        <v>1478</v>
      </c>
      <c r="AQ662">
        <v>4</v>
      </c>
      <c r="AR662">
        <v>20478.703518999999</v>
      </c>
      <c r="AS662" t="s">
        <v>66</v>
      </c>
      <c r="AT662" t="s">
        <v>53</v>
      </c>
    </row>
    <row r="663" spans="1:46">
      <c r="A663">
        <v>574</v>
      </c>
      <c r="B663" t="s">
        <v>46</v>
      </c>
      <c r="C663">
        <v>47</v>
      </c>
      <c r="D663">
        <v>258</v>
      </c>
      <c r="E663" t="s">
        <v>994</v>
      </c>
      <c r="F663" t="s">
        <v>984</v>
      </c>
      <c r="G663">
        <v>47258</v>
      </c>
      <c r="H663">
        <v>47258</v>
      </c>
      <c r="I663" t="s">
        <v>288</v>
      </c>
      <c r="J663">
        <v>4704</v>
      </c>
      <c r="K663" t="s">
        <v>990</v>
      </c>
      <c r="L663" t="s">
        <v>69</v>
      </c>
      <c r="M663" t="s">
        <v>53</v>
      </c>
      <c r="N663">
        <v>25382</v>
      </c>
      <c r="O663" t="s">
        <v>53</v>
      </c>
      <c r="P663" t="s">
        <v>70</v>
      </c>
      <c r="Q663" t="s">
        <v>71</v>
      </c>
      <c r="R663" t="s">
        <v>56</v>
      </c>
      <c r="S663" t="s">
        <v>57</v>
      </c>
      <c r="T663" t="s">
        <v>58</v>
      </c>
      <c r="U663" t="s">
        <v>81</v>
      </c>
      <c r="V663">
        <v>0.261152</v>
      </c>
      <c r="W663" t="s">
        <v>289</v>
      </c>
      <c r="X663" t="s">
        <v>339</v>
      </c>
      <c r="Y663" t="s">
        <v>340</v>
      </c>
      <c r="Z663" t="str">
        <f t="shared" si="20"/>
        <v>Mayor que 10 - hasta 15</v>
      </c>
      <c r="AA663">
        <f t="shared" si="21"/>
        <v>0</v>
      </c>
      <c r="AB663">
        <v>47258</v>
      </c>
      <c r="AC663" t="s">
        <v>290</v>
      </c>
      <c r="AD663" t="s">
        <v>322</v>
      </c>
      <c r="AE663">
        <v>1.714826</v>
      </c>
      <c r="AF663" t="s">
        <v>76</v>
      </c>
      <c r="AG663">
        <v>84.073716000000005</v>
      </c>
      <c r="AH663" t="s">
        <v>290</v>
      </c>
      <c r="AI663" t="s">
        <v>286</v>
      </c>
      <c r="AJ663">
        <v>1.8196810000000001</v>
      </c>
      <c r="AK663" t="s">
        <v>76</v>
      </c>
      <c r="AL663">
        <v>86.839400999999995</v>
      </c>
      <c r="AM663" s="4" t="s">
        <v>64</v>
      </c>
      <c r="AN663" s="5">
        <v>31971.653301646264</v>
      </c>
      <c r="AO663" s="4" t="s">
        <v>65</v>
      </c>
      <c r="AP663" s="6">
        <v>1194</v>
      </c>
      <c r="AQ663">
        <v>1</v>
      </c>
      <c r="AR663">
        <v>26439.426914</v>
      </c>
      <c r="AS663" t="s">
        <v>66</v>
      </c>
      <c r="AT663" t="s">
        <v>53</v>
      </c>
    </row>
    <row r="664" spans="1:46">
      <c r="A664">
        <v>575</v>
      </c>
      <c r="B664" t="s">
        <v>46</v>
      </c>
      <c r="C664">
        <v>47</v>
      </c>
      <c r="D664">
        <v>268</v>
      </c>
      <c r="E664" t="s">
        <v>995</v>
      </c>
      <c r="F664" t="s">
        <v>984</v>
      </c>
      <c r="G664">
        <v>47268</v>
      </c>
      <c r="H664">
        <v>47268</v>
      </c>
      <c r="I664" t="s">
        <v>288</v>
      </c>
      <c r="J664">
        <v>4703</v>
      </c>
      <c r="K664" t="s">
        <v>112</v>
      </c>
      <c r="L664" t="s">
        <v>91</v>
      </c>
      <c r="M664" t="s">
        <v>53</v>
      </c>
      <c r="N664">
        <v>21634</v>
      </c>
      <c r="O664" t="s">
        <v>53</v>
      </c>
      <c r="P664" t="s">
        <v>70</v>
      </c>
      <c r="Q664" t="s">
        <v>71</v>
      </c>
      <c r="R664" t="s">
        <v>56</v>
      </c>
      <c r="S664" t="s">
        <v>57</v>
      </c>
      <c r="T664" t="s">
        <v>58</v>
      </c>
      <c r="U664" t="s">
        <v>59</v>
      </c>
      <c r="V664">
        <v>0.29703000000000002</v>
      </c>
      <c r="W664" t="s">
        <v>289</v>
      </c>
      <c r="X664" t="s">
        <v>176</v>
      </c>
      <c r="Y664" t="s">
        <v>177</v>
      </c>
      <c r="Z664" t="str">
        <f t="shared" si="20"/>
        <v>Mayor que 20 - hasta 30</v>
      </c>
      <c r="AA664">
        <f t="shared" si="21"/>
        <v>0</v>
      </c>
      <c r="AB664">
        <v>47268</v>
      </c>
      <c r="AC664" t="s">
        <v>347</v>
      </c>
      <c r="AD664" t="s">
        <v>987</v>
      </c>
      <c r="AE664">
        <v>0.44744</v>
      </c>
      <c r="AF664" t="s">
        <v>63</v>
      </c>
      <c r="AG664">
        <v>11.705382</v>
      </c>
      <c r="AH664" t="s">
        <v>347</v>
      </c>
      <c r="AI664" t="s">
        <v>983</v>
      </c>
      <c r="AJ664">
        <v>2.3659629999999998</v>
      </c>
      <c r="AK664" t="s">
        <v>77</v>
      </c>
      <c r="AL664">
        <v>99.341840000000005</v>
      </c>
      <c r="AM664" s="4" t="s">
        <v>64</v>
      </c>
      <c r="AN664" s="5">
        <v>11014.528502777501</v>
      </c>
      <c r="AO664" s="4" t="s">
        <v>65</v>
      </c>
      <c r="AP664" s="6">
        <v>512</v>
      </c>
      <c r="AQ664">
        <v>4</v>
      </c>
      <c r="AR664">
        <v>8401.4500549999993</v>
      </c>
      <c r="AS664" t="s">
        <v>66</v>
      </c>
      <c r="AT664" t="s">
        <v>53</v>
      </c>
    </row>
    <row r="665" spans="1:46">
      <c r="A665">
        <v>595</v>
      </c>
      <c r="B665" t="s">
        <v>46</v>
      </c>
      <c r="C665">
        <v>47</v>
      </c>
      <c r="D665">
        <v>288</v>
      </c>
      <c r="E665" t="s">
        <v>996</v>
      </c>
      <c r="F665" t="s">
        <v>984</v>
      </c>
      <c r="G665">
        <v>47288</v>
      </c>
      <c r="H665">
        <v>47288</v>
      </c>
      <c r="I665" t="s">
        <v>288</v>
      </c>
      <c r="J665">
        <v>4703</v>
      </c>
      <c r="K665" t="s">
        <v>112</v>
      </c>
      <c r="L665" t="s">
        <v>91</v>
      </c>
      <c r="M665" t="s">
        <v>53</v>
      </c>
      <c r="N665">
        <v>74175</v>
      </c>
      <c r="O665" t="s">
        <v>53</v>
      </c>
      <c r="P665" t="s">
        <v>92</v>
      </c>
      <c r="Q665" t="s">
        <v>71</v>
      </c>
      <c r="R665" t="s">
        <v>72</v>
      </c>
      <c r="S665" t="s">
        <v>665</v>
      </c>
      <c r="T665" t="s">
        <v>73</v>
      </c>
      <c r="U665" t="s">
        <v>119</v>
      </c>
      <c r="V665">
        <v>0.31174299999999999</v>
      </c>
      <c r="W665" t="s">
        <v>289</v>
      </c>
      <c r="X665" t="s">
        <v>176</v>
      </c>
      <c r="Y665" t="s">
        <v>177</v>
      </c>
      <c r="Z665" t="str">
        <f t="shared" si="20"/>
        <v>Mayor que 20 - hasta 30</v>
      </c>
      <c r="AA665">
        <f t="shared" si="21"/>
        <v>0</v>
      </c>
      <c r="AB665">
        <v>47288</v>
      </c>
      <c r="AC665" t="s">
        <v>347</v>
      </c>
      <c r="AD665" t="s">
        <v>997</v>
      </c>
      <c r="AE665">
        <v>0</v>
      </c>
      <c r="AF665" t="s">
        <v>63</v>
      </c>
      <c r="AG665">
        <v>0</v>
      </c>
      <c r="AH665" t="s">
        <v>347</v>
      </c>
      <c r="AI665" t="s">
        <v>983</v>
      </c>
      <c r="AJ665">
        <v>2.330714</v>
      </c>
      <c r="AK665" t="s">
        <v>77</v>
      </c>
      <c r="AL665">
        <v>98.140619999999998</v>
      </c>
      <c r="AM665" s="4" t="s">
        <v>64</v>
      </c>
      <c r="AN665" s="5">
        <v>20316.434563804731</v>
      </c>
      <c r="AO665" s="4" t="s">
        <v>64</v>
      </c>
      <c r="AP665" s="6">
        <v>302</v>
      </c>
      <c r="AQ665">
        <v>3</v>
      </c>
      <c r="AR665">
        <v>26509.700712999998</v>
      </c>
      <c r="AS665" t="s">
        <v>66</v>
      </c>
      <c r="AT665" t="s">
        <v>53</v>
      </c>
    </row>
    <row r="666" spans="1:46">
      <c r="A666">
        <v>576</v>
      </c>
      <c r="B666" t="s">
        <v>46</v>
      </c>
      <c r="C666">
        <v>47</v>
      </c>
      <c r="D666">
        <v>318</v>
      </c>
      <c r="E666" t="s">
        <v>998</v>
      </c>
      <c r="F666" t="s">
        <v>984</v>
      </c>
      <c r="G666">
        <v>47318</v>
      </c>
      <c r="H666">
        <v>47318</v>
      </c>
      <c r="I666" t="s">
        <v>288</v>
      </c>
      <c r="J666">
        <v>4705</v>
      </c>
      <c r="K666" t="s">
        <v>297</v>
      </c>
      <c r="L666" t="s">
        <v>80</v>
      </c>
      <c r="M666" t="s">
        <v>53</v>
      </c>
      <c r="N666">
        <v>29946</v>
      </c>
      <c r="O666" t="s">
        <v>53</v>
      </c>
      <c r="P666" t="s">
        <v>70</v>
      </c>
      <c r="Q666" t="s">
        <v>71</v>
      </c>
      <c r="R666" t="s">
        <v>93</v>
      </c>
      <c r="S666" t="s">
        <v>57</v>
      </c>
      <c r="T666" t="s">
        <v>58</v>
      </c>
      <c r="U666" t="s">
        <v>81</v>
      </c>
      <c r="V666">
        <v>0.58928599999999998</v>
      </c>
      <c r="W666" t="s">
        <v>289</v>
      </c>
      <c r="X666" t="s">
        <v>339</v>
      </c>
      <c r="Y666" t="s">
        <v>340</v>
      </c>
      <c r="Z666" t="str">
        <f t="shared" si="20"/>
        <v>Mayor que 10 - hasta 15</v>
      </c>
      <c r="AA666">
        <f t="shared" si="21"/>
        <v>0</v>
      </c>
      <c r="AB666">
        <v>47318</v>
      </c>
      <c r="AC666" t="s">
        <v>347</v>
      </c>
      <c r="AD666" t="s">
        <v>348</v>
      </c>
      <c r="AE666">
        <v>0.69658500000000001</v>
      </c>
      <c r="AF666" t="s">
        <v>63</v>
      </c>
      <c r="AG666">
        <v>37.558788</v>
      </c>
      <c r="AH666" t="s">
        <v>341</v>
      </c>
      <c r="AI666" t="s">
        <v>349</v>
      </c>
      <c r="AJ666">
        <v>3.7184539999999999</v>
      </c>
      <c r="AK666" t="s">
        <v>84</v>
      </c>
      <c r="AL666">
        <v>187.261854</v>
      </c>
      <c r="AM666" s="4" t="s">
        <v>64</v>
      </c>
      <c r="AN666" s="5">
        <v>28678.237181774137</v>
      </c>
      <c r="AO666" s="4" t="s">
        <v>65</v>
      </c>
      <c r="AP666" s="6">
        <v>2188</v>
      </c>
      <c r="AQ666">
        <v>2</v>
      </c>
      <c r="AR666">
        <v>32280.673143</v>
      </c>
      <c r="AS666" t="s">
        <v>66</v>
      </c>
      <c r="AT666" t="s">
        <v>53</v>
      </c>
    </row>
    <row r="667" spans="1:46">
      <c r="A667">
        <v>577</v>
      </c>
      <c r="B667" t="s">
        <v>46</v>
      </c>
      <c r="C667">
        <v>47</v>
      </c>
      <c r="D667">
        <v>460</v>
      </c>
      <c r="E667" t="s">
        <v>999</v>
      </c>
      <c r="F667" t="s">
        <v>984</v>
      </c>
      <c r="G667">
        <v>47460</v>
      </c>
      <c r="H667">
        <v>47460</v>
      </c>
      <c r="I667" t="s">
        <v>288</v>
      </c>
      <c r="J667">
        <v>4702</v>
      </c>
      <c r="K667" t="s">
        <v>409</v>
      </c>
      <c r="L667" t="s">
        <v>69</v>
      </c>
      <c r="M667" t="s">
        <v>53</v>
      </c>
      <c r="N667">
        <v>22104</v>
      </c>
      <c r="O667" t="s">
        <v>53</v>
      </c>
      <c r="P667" t="s">
        <v>70</v>
      </c>
      <c r="Q667" t="s">
        <v>71</v>
      </c>
      <c r="R667" t="s">
        <v>105</v>
      </c>
      <c r="S667" t="s">
        <v>57</v>
      </c>
      <c r="T667" t="s">
        <v>58</v>
      </c>
      <c r="U667" t="s">
        <v>59</v>
      </c>
      <c r="V667">
        <v>0.19724800000000001</v>
      </c>
      <c r="W667" t="s">
        <v>289</v>
      </c>
      <c r="X667" t="s">
        <v>310</v>
      </c>
      <c r="Y667" t="s">
        <v>311</v>
      </c>
      <c r="Z667" t="str">
        <f t="shared" si="20"/>
        <v>Mayor que 15 - hasta 20</v>
      </c>
      <c r="AA667">
        <f t="shared" si="21"/>
        <v>0</v>
      </c>
      <c r="AB667">
        <v>47460</v>
      </c>
      <c r="AC667" t="s">
        <v>347</v>
      </c>
      <c r="AD667" t="s">
        <v>369</v>
      </c>
      <c r="AE667">
        <v>1.0945860000000001</v>
      </c>
      <c r="AF667" t="s">
        <v>76</v>
      </c>
      <c r="AG667">
        <v>52.231580000000001</v>
      </c>
      <c r="AH667" t="s">
        <v>352</v>
      </c>
      <c r="AI667" t="s">
        <v>376</v>
      </c>
      <c r="AJ667">
        <v>3.0234899999999998</v>
      </c>
      <c r="AK667" t="s">
        <v>84</v>
      </c>
      <c r="AL667">
        <v>162.016775</v>
      </c>
      <c r="AM667" s="4" t="s">
        <v>64</v>
      </c>
      <c r="AN667" s="5">
        <v>53889.996971955101</v>
      </c>
      <c r="AO667" s="4" t="s">
        <v>64</v>
      </c>
      <c r="AP667" s="6">
        <v>956</v>
      </c>
      <c r="AQ667">
        <v>2</v>
      </c>
      <c r="AR667">
        <v>66195.747145999994</v>
      </c>
      <c r="AS667" t="s">
        <v>66</v>
      </c>
      <c r="AT667" t="s">
        <v>53</v>
      </c>
    </row>
    <row r="668" spans="1:46">
      <c r="A668">
        <v>568</v>
      </c>
      <c r="B668" t="s">
        <v>46</v>
      </c>
      <c r="C668">
        <v>47</v>
      </c>
      <c r="D668">
        <v>541</v>
      </c>
      <c r="E668" t="s">
        <v>1000</v>
      </c>
      <c r="F668" t="s">
        <v>984</v>
      </c>
      <c r="G668">
        <v>47541</v>
      </c>
      <c r="H668">
        <v>47541</v>
      </c>
      <c r="I668" t="s">
        <v>288</v>
      </c>
      <c r="J668">
        <v>4704</v>
      </c>
      <c r="K668" t="s">
        <v>990</v>
      </c>
      <c r="L668" t="s">
        <v>69</v>
      </c>
      <c r="M668" t="s">
        <v>53</v>
      </c>
      <c r="N668">
        <v>10411</v>
      </c>
      <c r="O668" t="s">
        <v>53</v>
      </c>
      <c r="P668" t="s">
        <v>70</v>
      </c>
      <c r="Q668" t="s">
        <v>71</v>
      </c>
      <c r="R668" t="s">
        <v>56</v>
      </c>
      <c r="S668" t="s">
        <v>57</v>
      </c>
      <c r="T668" t="s">
        <v>58</v>
      </c>
      <c r="U668" t="s">
        <v>59</v>
      </c>
      <c r="V668">
        <v>0.53431799999999996</v>
      </c>
      <c r="W668" t="s">
        <v>289</v>
      </c>
      <c r="X668" t="s">
        <v>339</v>
      </c>
      <c r="Y668" t="s">
        <v>340</v>
      </c>
      <c r="Z668" t="str">
        <f t="shared" si="20"/>
        <v>Mayor que 10 - hasta 15</v>
      </c>
      <c r="AA668">
        <f t="shared" si="21"/>
        <v>0</v>
      </c>
      <c r="AB668">
        <v>47541</v>
      </c>
      <c r="AC668" t="s">
        <v>347</v>
      </c>
      <c r="AD668" t="s">
        <v>369</v>
      </c>
      <c r="AE668">
        <v>1.3248310000000001</v>
      </c>
      <c r="AF668" t="s">
        <v>76</v>
      </c>
      <c r="AG668">
        <v>70.910973999999996</v>
      </c>
      <c r="AH668" t="s">
        <v>290</v>
      </c>
      <c r="AI668" t="s">
        <v>286</v>
      </c>
      <c r="AJ668">
        <v>2.3285930000000001</v>
      </c>
      <c r="AK668" t="s">
        <v>77</v>
      </c>
      <c r="AL668">
        <v>115.944278</v>
      </c>
      <c r="AM668" s="4" t="s">
        <v>64</v>
      </c>
      <c r="AN668" s="5">
        <v>17541.690254020396</v>
      </c>
      <c r="AO668" s="4" t="s">
        <v>65</v>
      </c>
      <c r="AP668" s="6">
        <v>774</v>
      </c>
      <c r="AQ668">
        <v>3</v>
      </c>
      <c r="AR668">
        <v>18933.645486000001</v>
      </c>
      <c r="AS668" t="s">
        <v>66</v>
      </c>
      <c r="AT668" t="s">
        <v>53</v>
      </c>
    </row>
    <row r="669" spans="1:46">
      <c r="A669">
        <v>578</v>
      </c>
      <c r="B669" t="s">
        <v>46</v>
      </c>
      <c r="C669">
        <v>47</v>
      </c>
      <c r="D669">
        <v>545</v>
      </c>
      <c r="E669" t="s">
        <v>1001</v>
      </c>
      <c r="F669" t="s">
        <v>984</v>
      </c>
      <c r="G669">
        <v>47545</v>
      </c>
      <c r="H669">
        <v>47545</v>
      </c>
      <c r="I669" t="s">
        <v>288</v>
      </c>
      <c r="J669">
        <v>4705</v>
      </c>
      <c r="K669" t="s">
        <v>297</v>
      </c>
      <c r="L669" t="s">
        <v>69</v>
      </c>
      <c r="M669" t="s">
        <v>53</v>
      </c>
      <c r="N669">
        <v>13498</v>
      </c>
      <c r="O669" t="s">
        <v>53</v>
      </c>
      <c r="P669" t="s">
        <v>70</v>
      </c>
      <c r="Q669" t="s">
        <v>71</v>
      </c>
      <c r="R669" t="s">
        <v>93</v>
      </c>
      <c r="S669" t="s">
        <v>57</v>
      </c>
      <c r="T669" t="s">
        <v>58</v>
      </c>
      <c r="U669" t="s">
        <v>81</v>
      </c>
      <c r="V669">
        <v>0.38037599999999999</v>
      </c>
      <c r="W669" t="s">
        <v>289</v>
      </c>
      <c r="X669" t="s">
        <v>339</v>
      </c>
      <c r="Y669" t="s">
        <v>340</v>
      </c>
      <c r="Z669" t="str">
        <f t="shared" si="20"/>
        <v>Mayor que 10 - hasta 15</v>
      </c>
      <c r="AA669">
        <f t="shared" si="21"/>
        <v>0</v>
      </c>
      <c r="AB669">
        <v>47545</v>
      </c>
      <c r="AC669" t="s">
        <v>306</v>
      </c>
      <c r="AD669" t="s">
        <v>365</v>
      </c>
      <c r="AE669">
        <v>1.1074949999999999</v>
      </c>
      <c r="AF669" t="s">
        <v>76</v>
      </c>
      <c r="AG669">
        <v>55.011479000000001</v>
      </c>
      <c r="AH669" t="s">
        <v>341</v>
      </c>
      <c r="AI669" t="s">
        <v>349</v>
      </c>
      <c r="AJ669">
        <v>3.0816759999999999</v>
      </c>
      <c r="AK669" t="s">
        <v>84</v>
      </c>
      <c r="AL669">
        <v>146.88885300000001</v>
      </c>
      <c r="AM669" s="4" t="s">
        <v>64</v>
      </c>
      <c r="AN669" s="5">
        <v>42348.839155878748</v>
      </c>
      <c r="AO669" s="4" t="s">
        <v>64</v>
      </c>
      <c r="AP669" s="6">
        <v>723</v>
      </c>
      <c r="AQ669">
        <v>1</v>
      </c>
      <c r="AR669">
        <v>26159.484509999998</v>
      </c>
      <c r="AS669" t="s">
        <v>66</v>
      </c>
      <c r="AT669" t="s">
        <v>53</v>
      </c>
    </row>
    <row r="670" spans="1:46">
      <c r="A670">
        <v>579</v>
      </c>
      <c r="B670" t="s">
        <v>46</v>
      </c>
      <c r="C670">
        <v>47</v>
      </c>
      <c r="D670">
        <v>551</v>
      </c>
      <c r="E670" t="s">
        <v>1002</v>
      </c>
      <c r="F670" t="s">
        <v>984</v>
      </c>
      <c r="G670">
        <v>47551</v>
      </c>
      <c r="H670">
        <v>47551</v>
      </c>
      <c r="I670" t="s">
        <v>288</v>
      </c>
      <c r="J670">
        <v>4704</v>
      </c>
      <c r="K670" t="s">
        <v>990</v>
      </c>
      <c r="L670" t="s">
        <v>69</v>
      </c>
      <c r="M670" t="s">
        <v>53</v>
      </c>
      <c r="N670">
        <v>41612</v>
      </c>
      <c r="O670" t="s">
        <v>53</v>
      </c>
      <c r="P670" t="s">
        <v>92</v>
      </c>
      <c r="Q670" t="s">
        <v>71</v>
      </c>
      <c r="R670" t="s">
        <v>56</v>
      </c>
      <c r="S670" t="s">
        <v>57</v>
      </c>
      <c r="T670" t="s">
        <v>58</v>
      </c>
      <c r="U670" t="s">
        <v>59</v>
      </c>
      <c r="V670">
        <v>0.52314799999999995</v>
      </c>
      <c r="W670" t="s">
        <v>289</v>
      </c>
      <c r="X670" t="s">
        <v>310</v>
      </c>
      <c r="Y670" t="s">
        <v>311</v>
      </c>
      <c r="Z670" t="str">
        <f t="shared" si="20"/>
        <v>Mayor que 15 - hasta 20</v>
      </c>
      <c r="AA670">
        <f t="shared" si="21"/>
        <v>0</v>
      </c>
      <c r="AB670">
        <v>47551</v>
      </c>
      <c r="AC670" t="s">
        <v>290</v>
      </c>
      <c r="AD670" t="s">
        <v>322</v>
      </c>
      <c r="AE670">
        <v>2.0641210000000001</v>
      </c>
      <c r="AF670" t="s">
        <v>77</v>
      </c>
      <c r="AG670">
        <v>78.723967999999999</v>
      </c>
      <c r="AH670" t="s">
        <v>290</v>
      </c>
      <c r="AI670" t="s">
        <v>286</v>
      </c>
      <c r="AJ670">
        <v>2.1689769999999999</v>
      </c>
      <c r="AK670" t="s">
        <v>77</v>
      </c>
      <c r="AL670">
        <v>81.489654000000002</v>
      </c>
      <c r="AM670" s="4" t="s">
        <v>64</v>
      </c>
      <c r="AN670" s="5">
        <v>100434.21073705677</v>
      </c>
      <c r="AO670" s="4" t="s">
        <v>64</v>
      </c>
      <c r="AP670" s="6">
        <v>1765</v>
      </c>
      <c r="AQ670">
        <v>2</v>
      </c>
      <c r="AR670">
        <v>91972.223593000002</v>
      </c>
      <c r="AS670" t="s">
        <v>66</v>
      </c>
      <c r="AT670" t="s">
        <v>53</v>
      </c>
    </row>
    <row r="671" spans="1:46">
      <c r="A671">
        <v>580</v>
      </c>
      <c r="B671" t="s">
        <v>46</v>
      </c>
      <c r="C671">
        <v>47</v>
      </c>
      <c r="D671">
        <v>555</v>
      </c>
      <c r="E671" t="s">
        <v>369</v>
      </c>
      <c r="F671" t="s">
        <v>984</v>
      </c>
      <c r="G671">
        <v>47555</v>
      </c>
      <c r="H671">
        <v>47555</v>
      </c>
      <c r="I671" t="s">
        <v>288</v>
      </c>
      <c r="J671">
        <v>4702</v>
      </c>
      <c r="K671" t="s">
        <v>409</v>
      </c>
      <c r="L671" t="s">
        <v>91</v>
      </c>
      <c r="M671" t="s">
        <v>53</v>
      </c>
      <c r="N671">
        <v>69707</v>
      </c>
      <c r="O671" t="s">
        <v>53</v>
      </c>
      <c r="P671" t="s">
        <v>92</v>
      </c>
      <c r="Q671" t="s">
        <v>71</v>
      </c>
      <c r="R671" t="s">
        <v>122</v>
      </c>
      <c r="S671" t="s">
        <v>57</v>
      </c>
      <c r="T671" t="s">
        <v>58</v>
      </c>
      <c r="U671" t="s">
        <v>59</v>
      </c>
      <c r="V671">
        <v>0.207233</v>
      </c>
      <c r="W671" t="s">
        <v>289</v>
      </c>
      <c r="X671" t="s">
        <v>310</v>
      </c>
      <c r="Y671" t="s">
        <v>311</v>
      </c>
      <c r="Z671" t="str">
        <f t="shared" si="20"/>
        <v>Mayor que 15 - hasta 20</v>
      </c>
      <c r="AA671">
        <f t="shared" si="21"/>
        <v>0</v>
      </c>
      <c r="AB671">
        <v>47555</v>
      </c>
      <c r="AC671" t="s">
        <v>347</v>
      </c>
      <c r="AD671" t="s">
        <v>369</v>
      </c>
      <c r="AE671">
        <v>0</v>
      </c>
      <c r="AF671" t="s">
        <v>63</v>
      </c>
      <c r="AG671">
        <v>0</v>
      </c>
      <c r="AH671" t="s">
        <v>341</v>
      </c>
      <c r="AI671" t="s">
        <v>349</v>
      </c>
      <c r="AJ671">
        <v>2.4453420000000001</v>
      </c>
      <c r="AK671" t="s">
        <v>77</v>
      </c>
      <c r="AL671">
        <v>115.985195</v>
      </c>
      <c r="AM671" s="4" t="s">
        <v>64</v>
      </c>
      <c r="AN671" s="5">
        <v>87228.320387647924</v>
      </c>
      <c r="AO671" s="4" t="s">
        <v>64</v>
      </c>
      <c r="AP671" s="6">
        <v>1580</v>
      </c>
      <c r="AQ671">
        <v>2</v>
      </c>
      <c r="AR671">
        <v>76166.421774999995</v>
      </c>
      <c r="AS671" t="s">
        <v>66</v>
      </c>
      <c r="AT671" t="s">
        <v>53</v>
      </c>
    </row>
    <row r="672" spans="1:46">
      <c r="A672">
        <v>581</v>
      </c>
      <c r="B672" t="s">
        <v>46</v>
      </c>
      <c r="C672">
        <v>47</v>
      </c>
      <c r="D672">
        <v>570</v>
      </c>
      <c r="E672" t="s">
        <v>1003</v>
      </c>
      <c r="F672" t="s">
        <v>984</v>
      </c>
      <c r="G672">
        <v>47570</v>
      </c>
      <c r="H672">
        <v>47570</v>
      </c>
      <c r="I672" t="s">
        <v>288</v>
      </c>
      <c r="J672">
        <v>4703</v>
      </c>
      <c r="K672" t="s">
        <v>112</v>
      </c>
      <c r="L672" t="s">
        <v>69</v>
      </c>
      <c r="M672" t="s">
        <v>53</v>
      </c>
      <c r="N672">
        <v>33789</v>
      </c>
      <c r="O672" t="s">
        <v>53</v>
      </c>
      <c r="P672" t="s">
        <v>92</v>
      </c>
      <c r="Q672" t="s">
        <v>71</v>
      </c>
      <c r="R672" t="s">
        <v>72</v>
      </c>
      <c r="S672" t="s">
        <v>57</v>
      </c>
      <c r="T672" t="s">
        <v>58</v>
      </c>
      <c r="U672" t="s">
        <v>59</v>
      </c>
      <c r="V672">
        <v>0.79939199999999999</v>
      </c>
      <c r="W672" t="s">
        <v>289</v>
      </c>
      <c r="X672" t="s">
        <v>339</v>
      </c>
      <c r="Y672" t="s">
        <v>340</v>
      </c>
      <c r="Z672" t="str">
        <f t="shared" si="20"/>
        <v>Mayor que 10 - hasta 15</v>
      </c>
      <c r="AA672">
        <f t="shared" si="21"/>
        <v>0</v>
      </c>
      <c r="AB672">
        <v>47570</v>
      </c>
      <c r="AC672" t="s">
        <v>347</v>
      </c>
      <c r="AD672" t="s">
        <v>993</v>
      </c>
      <c r="AE672">
        <v>0.123832</v>
      </c>
      <c r="AF672" t="s">
        <v>63</v>
      </c>
      <c r="AG672">
        <v>5.3213200000000001</v>
      </c>
      <c r="AH672" t="s">
        <v>347</v>
      </c>
      <c r="AI672" t="s">
        <v>983</v>
      </c>
      <c r="AJ672">
        <v>0.98787700000000001</v>
      </c>
      <c r="AK672" t="s">
        <v>63</v>
      </c>
      <c r="AL672">
        <v>38.097771000000002</v>
      </c>
      <c r="AM672" s="4" t="s">
        <v>97</v>
      </c>
      <c r="AN672" s="5">
        <v>14998.90865955964</v>
      </c>
      <c r="AO672" s="4" t="s">
        <v>64</v>
      </c>
      <c r="AP672" s="6">
        <v>112</v>
      </c>
      <c r="AQ672">
        <v>3</v>
      </c>
      <c r="AR672">
        <v>8893.285065</v>
      </c>
      <c r="AS672" t="s">
        <v>66</v>
      </c>
      <c r="AT672" t="s">
        <v>53</v>
      </c>
    </row>
    <row r="673" spans="1:46">
      <c r="A673">
        <v>582</v>
      </c>
      <c r="B673" t="s">
        <v>46</v>
      </c>
      <c r="C673">
        <v>47</v>
      </c>
      <c r="D673">
        <v>605</v>
      </c>
      <c r="E673" t="s">
        <v>1004</v>
      </c>
      <c r="F673" t="s">
        <v>984</v>
      </c>
      <c r="G673">
        <v>47605</v>
      </c>
      <c r="H673">
        <v>47605</v>
      </c>
      <c r="I673" t="s">
        <v>288</v>
      </c>
      <c r="J673">
        <v>4704</v>
      </c>
      <c r="K673" t="s">
        <v>990</v>
      </c>
      <c r="L673" t="s">
        <v>69</v>
      </c>
      <c r="M673" t="s">
        <v>53</v>
      </c>
      <c r="N673">
        <v>12766</v>
      </c>
      <c r="O673" t="s">
        <v>53</v>
      </c>
      <c r="P673" t="s">
        <v>70</v>
      </c>
      <c r="Q673" t="s">
        <v>71</v>
      </c>
      <c r="R673" t="s">
        <v>56</v>
      </c>
      <c r="S673" t="s">
        <v>57</v>
      </c>
      <c r="T673" t="s">
        <v>58</v>
      </c>
      <c r="U673" t="s">
        <v>59</v>
      </c>
      <c r="V673">
        <v>0.59822299999999995</v>
      </c>
      <c r="W673" t="s">
        <v>289</v>
      </c>
      <c r="X673" t="s">
        <v>339</v>
      </c>
      <c r="Y673" t="s">
        <v>340</v>
      </c>
      <c r="Z673" t="str">
        <f t="shared" si="20"/>
        <v>Mayor que 10 - hasta 15</v>
      </c>
      <c r="AA673">
        <f t="shared" si="21"/>
        <v>0</v>
      </c>
      <c r="AB673">
        <v>47605</v>
      </c>
      <c r="AC673" t="s">
        <v>290</v>
      </c>
      <c r="AD673" t="s">
        <v>322</v>
      </c>
      <c r="AE673">
        <v>0.97925399999999996</v>
      </c>
      <c r="AF673" t="s">
        <v>63</v>
      </c>
      <c r="AG673">
        <v>42.823253999999999</v>
      </c>
      <c r="AH673" t="s">
        <v>290</v>
      </c>
      <c r="AI673" t="s">
        <v>286</v>
      </c>
      <c r="AJ673">
        <v>1.084109</v>
      </c>
      <c r="AK673" t="s">
        <v>76</v>
      </c>
      <c r="AL673">
        <v>45.588939000000003</v>
      </c>
      <c r="AM673" s="4" t="s">
        <v>64</v>
      </c>
      <c r="AN673" s="5">
        <v>21576.430360749393</v>
      </c>
      <c r="AO673" s="4" t="s">
        <v>65</v>
      </c>
      <c r="AP673" s="6">
        <v>533</v>
      </c>
      <c r="AQ673">
        <v>3</v>
      </c>
      <c r="AR673">
        <v>17667.727180000002</v>
      </c>
      <c r="AS673" t="s">
        <v>66</v>
      </c>
      <c r="AT673" t="s">
        <v>53</v>
      </c>
    </row>
    <row r="674" spans="1:46">
      <c r="A674">
        <v>583</v>
      </c>
      <c r="B674" t="s">
        <v>46</v>
      </c>
      <c r="C674">
        <v>47</v>
      </c>
      <c r="D674">
        <v>660</v>
      </c>
      <c r="E674" t="s">
        <v>1005</v>
      </c>
      <c r="F674" t="s">
        <v>984</v>
      </c>
      <c r="G674">
        <v>47660</v>
      </c>
      <c r="H674">
        <v>47660</v>
      </c>
      <c r="I674" t="s">
        <v>288</v>
      </c>
      <c r="J674">
        <v>4702</v>
      </c>
      <c r="K674" t="s">
        <v>409</v>
      </c>
      <c r="L674" t="s">
        <v>80</v>
      </c>
      <c r="M674" t="s">
        <v>53</v>
      </c>
      <c r="N674">
        <v>17458</v>
      </c>
      <c r="O674" t="s">
        <v>53</v>
      </c>
      <c r="P674" t="s">
        <v>70</v>
      </c>
      <c r="Q674" t="s">
        <v>71</v>
      </c>
      <c r="R674" t="s">
        <v>56</v>
      </c>
      <c r="S674" t="s">
        <v>57</v>
      </c>
      <c r="T674" t="s">
        <v>58</v>
      </c>
      <c r="U674" t="s">
        <v>59</v>
      </c>
      <c r="V674">
        <v>0.24260899999999999</v>
      </c>
      <c r="W674" t="s">
        <v>289</v>
      </c>
      <c r="X674" t="s">
        <v>310</v>
      </c>
      <c r="Y674" t="s">
        <v>311</v>
      </c>
      <c r="Z674" t="str">
        <f t="shared" si="20"/>
        <v>Mayor que 15 - hasta 20</v>
      </c>
      <c r="AA674">
        <f t="shared" si="21"/>
        <v>0</v>
      </c>
      <c r="AB674">
        <v>47660</v>
      </c>
      <c r="AC674" t="s">
        <v>352</v>
      </c>
      <c r="AD674" t="s">
        <v>671</v>
      </c>
      <c r="AE674">
        <v>1.3942619999999999</v>
      </c>
      <c r="AF674" t="s">
        <v>76</v>
      </c>
      <c r="AG674">
        <v>49.185996000000003</v>
      </c>
      <c r="AH674" t="s">
        <v>352</v>
      </c>
      <c r="AI674" t="s">
        <v>376</v>
      </c>
      <c r="AJ674">
        <v>3.1539890000000002</v>
      </c>
      <c r="AK674" t="s">
        <v>84</v>
      </c>
      <c r="AL674">
        <v>146.65281400000001</v>
      </c>
      <c r="AM674" s="4" t="s">
        <v>64</v>
      </c>
      <c r="AN674" s="5">
        <v>67044.100896196411</v>
      </c>
      <c r="AO674" s="4" t="s">
        <v>64</v>
      </c>
      <c r="AP674" s="6">
        <v>1277</v>
      </c>
      <c r="AQ674">
        <v>2</v>
      </c>
      <c r="AR674">
        <v>79580.205505000005</v>
      </c>
      <c r="AS674" t="s">
        <v>66</v>
      </c>
      <c r="AT674" t="s">
        <v>53</v>
      </c>
    </row>
    <row r="675" spans="1:46">
      <c r="A675">
        <v>584</v>
      </c>
      <c r="B675" t="s">
        <v>46</v>
      </c>
      <c r="C675">
        <v>47</v>
      </c>
      <c r="D675">
        <v>675</v>
      </c>
      <c r="E675" t="s">
        <v>579</v>
      </c>
      <c r="F675" t="s">
        <v>984</v>
      </c>
      <c r="G675">
        <v>47675</v>
      </c>
      <c r="H675">
        <v>47675</v>
      </c>
      <c r="I675" t="s">
        <v>288</v>
      </c>
      <c r="J675">
        <v>4704</v>
      </c>
      <c r="K675" t="s">
        <v>990</v>
      </c>
      <c r="L675" t="s">
        <v>69</v>
      </c>
      <c r="M675" t="s">
        <v>53</v>
      </c>
      <c r="N675">
        <v>11986</v>
      </c>
      <c r="O675" t="s">
        <v>53</v>
      </c>
      <c r="P675" t="s">
        <v>70</v>
      </c>
      <c r="Q675" t="s">
        <v>71</v>
      </c>
      <c r="R675" t="s">
        <v>56</v>
      </c>
      <c r="S675" t="s">
        <v>57</v>
      </c>
      <c r="T675" t="s">
        <v>58</v>
      </c>
      <c r="U675" t="s">
        <v>81</v>
      </c>
      <c r="V675">
        <v>0.564276</v>
      </c>
      <c r="W675" t="s">
        <v>289</v>
      </c>
      <c r="X675" t="s">
        <v>339</v>
      </c>
      <c r="Y675" t="s">
        <v>340</v>
      </c>
      <c r="Z675" t="str">
        <f t="shared" si="20"/>
        <v>Mayor que 10 - hasta 15</v>
      </c>
      <c r="AA675">
        <f t="shared" si="21"/>
        <v>0</v>
      </c>
      <c r="AB675">
        <v>47675</v>
      </c>
      <c r="AC675" t="s">
        <v>290</v>
      </c>
      <c r="AD675" t="s">
        <v>322</v>
      </c>
      <c r="AE675">
        <v>1.5372479999999999</v>
      </c>
      <c r="AF675" t="s">
        <v>76</v>
      </c>
      <c r="AG675">
        <v>73.006810999999999</v>
      </c>
      <c r="AH675" t="s">
        <v>290</v>
      </c>
      <c r="AI675" t="s">
        <v>286</v>
      </c>
      <c r="AJ675">
        <v>1.642104</v>
      </c>
      <c r="AK675" t="s">
        <v>76</v>
      </c>
      <c r="AL675">
        <v>75.772496000000004</v>
      </c>
      <c r="AM675" s="4" t="s">
        <v>64</v>
      </c>
      <c r="AN675" s="5">
        <v>9976.962335922377</v>
      </c>
      <c r="AO675" s="4" t="s">
        <v>65</v>
      </c>
      <c r="AP675" s="6">
        <v>439</v>
      </c>
      <c r="AQ675">
        <v>2</v>
      </c>
      <c r="AR675">
        <v>8279.0317579999992</v>
      </c>
      <c r="AS675" t="s">
        <v>66</v>
      </c>
      <c r="AT675" t="s">
        <v>53</v>
      </c>
    </row>
    <row r="676" spans="1:46">
      <c r="A676">
        <v>585</v>
      </c>
      <c r="B676" t="s">
        <v>46</v>
      </c>
      <c r="C676">
        <v>47</v>
      </c>
      <c r="D676">
        <v>692</v>
      </c>
      <c r="E676" t="s">
        <v>1006</v>
      </c>
      <c r="F676" t="s">
        <v>984</v>
      </c>
      <c r="G676">
        <v>47692</v>
      </c>
      <c r="H676">
        <v>47692</v>
      </c>
      <c r="I676" t="s">
        <v>288</v>
      </c>
      <c r="J676">
        <v>4705</v>
      </c>
      <c r="K676" t="s">
        <v>297</v>
      </c>
      <c r="L676" t="s">
        <v>69</v>
      </c>
      <c r="M676" t="s">
        <v>53</v>
      </c>
      <c r="N676">
        <v>22080</v>
      </c>
      <c r="O676" t="s">
        <v>53</v>
      </c>
      <c r="P676" t="s">
        <v>70</v>
      </c>
      <c r="Q676" t="s">
        <v>71</v>
      </c>
      <c r="R676" t="s">
        <v>93</v>
      </c>
      <c r="S676" t="s">
        <v>57</v>
      </c>
      <c r="T676" t="s">
        <v>58</v>
      </c>
      <c r="U676" t="s">
        <v>81</v>
      </c>
      <c r="V676">
        <v>0.575013</v>
      </c>
      <c r="W676" t="s">
        <v>289</v>
      </c>
      <c r="X676" t="s">
        <v>339</v>
      </c>
      <c r="Y676" t="s">
        <v>340</v>
      </c>
      <c r="Z676" t="str">
        <f t="shared" si="20"/>
        <v>Mayor que 10 - hasta 15</v>
      </c>
      <c r="AA676">
        <f t="shared" si="21"/>
        <v>0</v>
      </c>
      <c r="AB676">
        <v>47692</v>
      </c>
      <c r="AC676" t="s">
        <v>347</v>
      </c>
      <c r="AD676" t="s">
        <v>348</v>
      </c>
      <c r="AE676">
        <v>1.4685900000000001</v>
      </c>
      <c r="AF676" t="s">
        <v>76</v>
      </c>
      <c r="AG676">
        <v>62.452395000000003</v>
      </c>
      <c r="AH676" t="s">
        <v>341</v>
      </c>
      <c r="AI676" t="s">
        <v>349</v>
      </c>
      <c r="AJ676">
        <v>3.692984</v>
      </c>
      <c r="AK676" t="s">
        <v>84</v>
      </c>
      <c r="AL676">
        <v>167.82093800000001</v>
      </c>
      <c r="AM676" s="4" t="s">
        <v>64</v>
      </c>
      <c r="AN676" s="5">
        <v>22094.627607933486</v>
      </c>
      <c r="AO676" s="4" t="s">
        <v>65</v>
      </c>
      <c r="AP676" s="6">
        <v>1169</v>
      </c>
      <c r="AQ676">
        <v>2</v>
      </c>
      <c r="AR676">
        <v>26498.931261000002</v>
      </c>
      <c r="AS676" t="s">
        <v>66</v>
      </c>
      <c r="AT676" t="s">
        <v>53</v>
      </c>
    </row>
    <row r="677" spans="1:46">
      <c r="A677">
        <v>586</v>
      </c>
      <c r="B677" t="s">
        <v>46</v>
      </c>
      <c r="C677">
        <v>47</v>
      </c>
      <c r="D677">
        <v>703</v>
      </c>
      <c r="E677" t="s">
        <v>1007</v>
      </c>
      <c r="F677" t="s">
        <v>984</v>
      </c>
      <c r="G677">
        <v>47703</v>
      </c>
      <c r="H677">
        <v>47703</v>
      </c>
      <c r="I677" t="s">
        <v>288</v>
      </c>
      <c r="J677">
        <v>4705</v>
      </c>
      <c r="K677" t="s">
        <v>297</v>
      </c>
      <c r="L677" t="s">
        <v>80</v>
      </c>
      <c r="M677" t="s">
        <v>53</v>
      </c>
      <c r="N677">
        <v>13286</v>
      </c>
      <c r="O677" t="s">
        <v>53</v>
      </c>
      <c r="P677" t="s">
        <v>70</v>
      </c>
      <c r="Q677" t="s">
        <v>71</v>
      </c>
      <c r="R677" t="s">
        <v>72</v>
      </c>
      <c r="S677" t="s">
        <v>57</v>
      </c>
      <c r="T677" t="s">
        <v>58</v>
      </c>
      <c r="U677" t="s">
        <v>81</v>
      </c>
      <c r="V677">
        <v>0.71035199999999998</v>
      </c>
      <c r="W677" t="s">
        <v>289</v>
      </c>
      <c r="X677" t="s">
        <v>339</v>
      </c>
      <c r="Y677" t="s">
        <v>340</v>
      </c>
      <c r="Z677" t="str">
        <f t="shared" si="20"/>
        <v>Mayor que 10 - hasta 15</v>
      </c>
      <c r="AA677">
        <f t="shared" si="21"/>
        <v>0</v>
      </c>
      <c r="AB677">
        <v>47703</v>
      </c>
      <c r="AC677" t="s">
        <v>306</v>
      </c>
      <c r="AD677" t="s">
        <v>365</v>
      </c>
      <c r="AE677">
        <v>1.0598019999999999</v>
      </c>
      <c r="AF677" t="s">
        <v>76</v>
      </c>
      <c r="AG677">
        <v>48.007316000000003</v>
      </c>
      <c r="AH677" t="s">
        <v>341</v>
      </c>
      <c r="AI677" t="s">
        <v>349</v>
      </c>
      <c r="AJ677">
        <v>3.0339830000000001</v>
      </c>
      <c r="AK677" t="s">
        <v>84</v>
      </c>
      <c r="AL677">
        <v>139.88469000000001</v>
      </c>
      <c r="AM677" s="4" t="s">
        <v>97</v>
      </c>
      <c r="AN677" s="5">
        <v>13168.785562173343</v>
      </c>
      <c r="AO677" s="4" t="s">
        <v>65</v>
      </c>
      <c r="AP677" s="6">
        <v>586</v>
      </c>
      <c r="AQ677">
        <v>2</v>
      </c>
      <c r="AR677">
        <v>9257.9104480000005</v>
      </c>
      <c r="AS677" t="s">
        <v>66</v>
      </c>
      <c r="AT677" t="s">
        <v>53</v>
      </c>
    </row>
    <row r="678" spans="1:46">
      <c r="A678">
        <v>587</v>
      </c>
      <c r="B678" t="s">
        <v>46</v>
      </c>
      <c r="C678">
        <v>47</v>
      </c>
      <c r="D678">
        <v>707</v>
      </c>
      <c r="E678" t="s">
        <v>1008</v>
      </c>
      <c r="F678" t="s">
        <v>984</v>
      </c>
      <c r="G678">
        <v>47707</v>
      </c>
      <c r="H678">
        <v>47707</v>
      </c>
      <c r="I678" t="s">
        <v>288</v>
      </c>
      <c r="J678">
        <v>4705</v>
      </c>
      <c r="K678" t="s">
        <v>297</v>
      </c>
      <c r="L678" t="s">
        <v>69</v>
      </c>
      <c r="M678" t="s">
        <v>53</v>
      </c>
      <c r="N678">
        <v>27616</v>
      </c>
      <c r="O678" t="s">
        <v>53</v>
      </c>
      <c r="P678" t="s">
        <v>70</v>
      </c>
      <c r="Q678" t="s">
        <v>71</v>
      </c>
      <c r="R678" t="s">
        <v>93</v>
      </c>
      <c r="S678" t="s">
        <v>57</v>
      </c>
      <c r="T678" t="s">
        <v>58</v>
      </c>
      <c r="U678" t="s">
        <v>81</v>
      </c>
      <c r="V678">
        <v>0.24868799999999999</v>
      </c>
      <c r="W678" t="s">
        <v>289</v>
      </c>
      <c r="X678" t="s">
        <v>339</v>
      </c>
      <c r="Y678" t="s">
        <v>340</v>
      </c>
      <c r="Z678" t="str">
        <f t="shared" si="20"/>
        <v>Mayor que 10 - hasta 15</v>
      </c>
      <c r="AA678">
        <f t="shared" si="21"/>
        <v>0</v>
      </c>
      <c r="AB678">
        <v>47707</v>
      </c>
      <c r="AC678" t="s">
        <v>306</v>
      </c>
      <c r="AD678" t="s">
        <v>365</v>
      </c>
      <c r="AE678">
        <v>0.72075999999999996</v>
      </c>
      <c r="AF678" t="s">
        <v>63</v>
      </c>
      <c r="AG678">
        <v>37.826197999999998</v>
      </c>
      <c r="AH678" t="s">
        <v>341</v>
      </c>
      <c r="AI678" t="s">
        <v>349</v>
      </c>
      <c r="AJ678">
        <v>2.694941</v>
      </c>
      <c r="AK678" t="s">
        <v>77</v>
      </c>
      <c r="AL678">
        <v>129.70357100000001</v>
      </c>
      <c r="AM678" s="4" t="s">
        <v>64</v>
      </c>
      <c r="AN678" s="5">
        <v>56542.123347337962</v>
      </c>
      <c r="AO678" s="4" t="s">
        <v>65</v>
      </c>
      <c r="AP678" s="6">
        <v>994</v>
      </c>
      <c r="AQ678">
        <v>2</v>
      </c>
      <c r="AR678">
        <v>52756.898385</v>
      </c>
      <c r="AS678" t="s">
        <v>66</v>
      </c>
      <c r="AT678" t="s">
        <v>53</v>
      </c>
    </row>
    <row r="679" spans="1:46">
      <c r="A679">
        <v>588</v>
      </c>
      <c r="B679" t="s">
        <v>46</v>
      </c>
      <c r="C679">
        <v>47</v>
      </c>
      <c r="D679">
        <v>720</v>
      </c>
      <c r="E679" t="s">
        <v>1009</v>
      </c>
      <c r="F679" t="s">
        <v>984</v>
      </c>
      <c r="G679">
        <v>47720</v>
      </c>
      <c r="H679">
        <v>47720</v>
      </c>
      <c r="I679" t="s">
        <v>288</v>
      </c>
      <c r="J679">
        <v>4705</v>
      </c>
      <c r="K679" t="s">
        <v>297</v>
      </c>
      <c r="L679" t="s">
        <v>69</v>
      </c>
      <c r="M679" t="s">
        <v>53</v>
      </c>
      <c r="N679">
        <v>11606</v>
      </c>
      <c r="O679" t="s">
        <v>53</v>
      </c>
      <c r="P679" t="s">
        <v>70</v>
      </c>
      <c r="Q679" t="s">
        <v>71</v>
      </c>
      <c r="R679" t="s">
        <v>72</v>
      </c>
      <c r="S679" t="s">
        <v>57</v>
      </c>
      <c r="T679" t="s">
        <v>58</v>
      </c>
      <c r="U679" t="s">
        <v>81</v>
      </c>
      <c r="V679">
        <v>0.38912999999999998</v>
      </c>
      <c r="W679" t="s">
        <v>289</v>
      </c>
      <c r="X679" t="s">
        <v>339</v>
      </c>
      <c r="Y679" t="s">
        <v>340</v>
      </c>
      <c r="Z679" t="str">
        <f t="shared" si="20"/>
        <v>Mayor que 10 - hasta 15</v>
      </c>
      <c r="AA679">
        <f t="shared" si="21"/>
        <v>0</v>
      </c>
      <c r="AB679">
        <v>47720</v>
      </c>
      <c r="AC679" t="s">
        <v>306</v>
      </c>
      <c r="AD679" t="s">
        <v>365</v>
      </c>
      <c r="AE679">
        <v>1.5789089999999999</v>
      </c>
      <c r="AF679" t="s">
        <v>76</v>
      </c>
      <c r="AG679">
        <v>60.578384</v>
      </c>
      <c r="AH679" t="s">
        <v>341</v>
      </c>
      <c r="AI679" t="s">
        <v>349</v>
      </c>
      <c r="AJ679">
        <v>3.5530910000000002</v>
      </c>
      <c r="AK679" t="s">
        <v>84</v>
      </c>
      <c r="AL679">
        <v>152.45575700000001</v>
      </c>
      <c r="AM679" s="4" t="s">
        <v>97</v>
      </c>
      <c r="AN679" s="5">
        <v>24133.287677110471</v>
      </c>
      <c r="AO679" s="4" t="s">
        <v>64</v>
      </c>
      <c r="AP679" s="6">
        <v>391</v>
      </c>
      <c r="AQ679">
        <v>2</v>
      </c>
      <c r="AR679">
        <v>26938.549457000001</v>
      </c>
      <c r="AS679" t="s">
        <v>66</v>
      </c>
      <c r="AT679" t="s">
        <v>53</v>
      </c>
    </row>
    <row r="680" spans="1:46">
      <c r="A680">
        <v>589</v>
      </c>
      <c r="B680" t="s">
        <v>46</v>
      </c>
      <c r="C680">
        <v>47</v>
      </c>
      <c r="D680">
        <v>745</v>
      </c>
      <c r="E680" t="s">
        <v>1010</v>
      </c>
      <c r="F680" t="s">
        <v>984</v>
      </c>
      <c r="G680">
        <v>47745</v>
      </c>
      <c r="H680">
        <v>47745</v>
      </c>
      <c r="I680" t="s">
        <v>288</v>
      </c>
      <c r="J680">
        <v>4704</v>
      </c>
      <c r="K680" t="s">
        <v>990</v>
      </c>
      <c r="L680" t="s">
        <v>69</v>
      </c>
      <c r="M680" t="s">
        <v>53</v>
      </c>
      <c r="N680">
        <v>30470</v>
      </c>
      <c r="O680" t="s">
        <v>53</v>
      </c>
      <c r="P680" t="s">
        <v>92</v>
      </c>
      <c r="Q680" t="s">
        <v>71</v>
      </c>
      <c r="R680" t="s">
        <v>56</v>
      </c>
      <c r="S680" t="s">
        <v>57</v>
      </c>
      <c r="T680" t="s">
        <v>58</v>
      </c>
      <c r="U680" t="s">
        <v>59</v>
      </c>
      <c r="V680">
        <v>0.71386400000000005</v>
      </c>
      <c r="W680" t="s">
        <v>289</v>
      </c>
      <c r="X680" t="s">
        <v>339</v>
      </c>
      <c r="Y680" t="s">
        <v>340</v>
      </c>
      <c r="Z680" t="str">
        <f t="shared" si="20"/>
        <v>Mayor que 10 - hasta 15</v>
      </c>
      <c r="AA680">
        <f t="shared" si="21"/>
        <v>0</v>
      </c>
      <c r="AB680">
        <v>47745</v>
      </c>
      <c r="AC680" t="s">
        <v>290</v>
      </c>
      <c r="AD680" t="s">
        <v>322</v>
      </c>
      <c r="AE680">
        <v>0.80666300000000002</v>
      </c>
      <c r="AF680" t="s">
        <v>63</v>
      </c>
      <c r="AG680">
        <v>33.056348999999997</v>
      </c>
      <c r="AH680" t="s">
        <v>290</v>
      </c>
      <c r="AI680" t="s">
        <v>286</v>
      </c>
      <c r="AJ680">
        <v>0.91151800000000005</v>
      </c>
      <c r="AK680" t="s">
        <v>63</v>
      </c>
      <c r="AL680">
        <v>35.822035</v>
      </c>
      <c r="AM680" s="4" t="s">
        <v>97</v>
      </c>
      <c r="AN680" s="5">
        <v>32940.271990962399</v>
      </c>
      <c r="AO680" s="4" t="s">
        <v>65</v>
      </c>
      <c r="AP680" s="6">
        <v>1226</v>
      </c>
      <c r="AQ680">
        <v>4</v>
      </c>
      <c r="AR680">
        <v>20484.13222</v>
      </c>
      <c r="AS680" t="s">
        <v>66</v>
      </c>
      <c r="AT680" t="s">
        <v>53</v>
      </c>
    </row>
    <row r="681" spans="1:46">
      <c r="A681">
        <v>590</v>
      </c>
      <c r="B681" t="s">
        <v>46</v>
      </c>
      <c r="C681">
        <v>47</v>
      </c>
      <c r="D681">
        <v>798</v>
      </c>
      <c r="E681" t="s">
        <v>1011</v>
      </c>
      <c r="F681" t="s">
        <v>984</v>
      </c>
      <c r="G681">
        <v>47798</v>
      </c>
      <c r="H681">
        <v>47798</v>
      </c>
      <c r="I681" t="s">
        <v>288</v>
      </c>
      <c r="J681">
        <v>4702</v>
      </c>
      <c r="K681" t="s">
        <v>409</v>
      </c>
      <c r="L681" t="s">
        <v>69</v>
      </c>
      <c r="M681" t="s">
        <v>53</v>
      </c>
      <c r="N681">
        <v>14736</v>
      </c>
      <c r="O681" t="s">
        <v>53</v>
      </c>
      <c r="P681" t="s">
        <v>70</v>
      </c>
      <c r="Q681" t="s">
        <v>71</v>
      </c>
      <c r="R681" t="s">
        <v>122</v>
      </c>
      <c r="S681" t="s">
        <v>57</v>
      </c>
      <c r="T681" t="s">
        <v>58</v>
      </c>
      <c r="U681" t="s">
        <v>119</v>
      </c>
      <c r="V681">
        <v>0.27639999999999998</v>
      </c>
      <c r="W681" t="s">
        <v>289</v>
      </c>
      <c r="X681" t="s">
        <v>339</v>
      </c>
      <c r="Y681" t="s">
        <v>340</v>
      </c>
      <c r="Z681" t="str">
        <f t="shared" si="20"/>
        <v>Mayor que 10 - hasta 15</v>
      </c>
      <c r="AA681">
        <f t="shared" si="21"/>
        <v>0</v>
      </c>
      <c r="AB681">
        <v>47798</v>
      </c>
      <c r="AC681" t="s">
        <v>347</v>
      </c>
      <c r="AD681" t="s">
        <v>369</v>
      </c>
      <c r="AE681">
        <v>0.39391700000000002</v>
      </c>
      <c r="AF681" t="s">
        <v>63</v>
      </c>
      <c r="AG681">
        <v>18.085280999999998</v>
      </c>
      <c r="AH681" t="s">
        <v>341</v>
      </c>
      <c r="AI681" t="s">
        <v>349</v>
      </c>
      <c r="AJ681">
        <v>2.5947390000000001</v>
      </c>
      <c r="AK681" t="s">
        <v>77</v>
      </c>
      <c r="AL681">
        <v>127.50062800000001</v>
      </c>
      <c r="AM681" s="4" t="s">
        <v>64</v>
      </c>
      <c r="AN681" s="5">
        <v>33219.059814433778</v>
      </c>
      <c r="AO681" s="4" t="s">
        <v>64</v>
      </c>
      <c r="AP681" s="6">
        <v>752</v>
      </c>
      <c r="AQ681">
        <v>2</v>
      </c>
      <c r="AR681">
        <v>26006.554520000002</v>
      </c>
      <c r="AS681" t="s">
        <v>66</v>
      </c>
      <c r="AT681" t="s">
        <v>53</v>
      </c>
    </row>
    <row r="682" spans="1:46">
      <c r="A682">
        <v>591</v>
      </c>
      <c r="B682" t="s">
        <v>46</v>
      </c>
      <c r="C682">
        <v>47</v>
      </c>
      <c r="D682">
        <v>960</v>
      </c>
      <c r="E682" t="s">
        <v>1012</v>
      </c>
      <c r="F682" t="s">
        <v>984</v>
      </c>
      <c r="G682">
        <v>47960</v>
      </c>
      <c r="H682">
        <v>47960</v>
      </c>
      <c r="I682" t="s">
        <v>288</v>
      </c>
      <c r="J682">
        <v>4704</v>
      </c>
      <c r="K682" t="s">
        <v>990</v>
      </c>
      <c r="L682" t="s">
        <v>69</v>
      </c>
      <c r="M682" t="s">
        <v>53</v>
      </c>
      <c r="N682">
        <v>10904</v>
      </c>
      <c r="O682" t="s">
        <v>53</v>
      </c>
      <c r="P682" t="s">
        <v>70</v>
      </c>
      <c r="Q682" t="s">
        <v>71</v>
      </c>
      <c r="R682" t="s">
        <v>122</v>
      </c>
      <c r="S682" t="s">
        <v>57</v>
      </c>
      <c r="T682" t="s">
        <v>58</v>
      </c>
      <c r="U682" t="s">
        <v>59</v>
      </c>
      <c r="V682">
        <v>0.29970799999999997</v>
      </c>
      <c r="W682" t="s">
        <v>289</v>
      </c>
      <c r="X682" t="s">
        <v>339</v>
      </c>
      <c r="Y682" t="s">
        <v>340</v>
      </c>
      <c r="Z682" t="str">
        <f t="shared" si="20"/>
        <v>Mayor que 10 - hasta 15</v>
      </c>
      <c r="AA682">
        <f t="shared" si="21"/>
        <v>0</v>
      </c>
      <c r="AB682">
        <v>47960</v>
      </c>
      <c r="AC682" t="s">
        <v>347</v>
      </c>
      <c r="AD682" t="s">
        <v>369</v>
      </c>
      <c r="AE682">
        <v>2.2155689999999999</v>
      </c>
      <c r="AF682" t="s">
        <v>77</v>
      </c>
      <c r="AG682">
        <v>78.636456999999993</v>
      </c>
      <c r="AH682" t="s">
        <v>290</v>
      </c>
      <c r="AI682" t="s">
        <v>286</v>
      </c>
      <c r="AJ682">
        <v>3.4617369999999998</v>
      </c>
      <c r="AK682" t="s">
        <v>84</v>
      </c>
      <c r="AL682">
        <v>129.678088</v>
      </c>
      <c r="AM682" s="4" t="s">
        <v>64</v>
      </c>
      <c r="AN682" s="5">
        <v>20987.258658414612</v>
      </c>
      <c r="AO682" s="4" t="s">
        <v>64</v>
      </c>
      <c r="AP682" s="6">
        <v>393</v>
      </c>
      <c r="AQ682">
        <v>2</v>
      </c>
      <c r="AR682">
        <v>24788.556385</v>
      </c>
      <c r="AS682" t="s">
        <v>66</v>
      </c>
      <c r="AT682" t="s">
        <v>53</v>
      </c>
    </row>
    <row r="683" spans="1:46">
      <c r="A683">
        <v>592</v>
      </c>
      <c r="B683" t="s">
        <v>46</v>
      </c>
      <c r="C683">
        <v>47</v>
      </c>
      <c r="D683">
        <v>980</v>
      </c>
      <c r="E683" t="s">
        <v>1013</v>
      </c>
      <c r="F683" t="s">
        <v>984</v>
      </c>
      <c r="G683">
        <v>47980</v>
      </c>
      <c r="H683">
        <v>47980</v>
      </c>
      <c r="I683" t="s">
        <v>288</v>
      </c>
      <c r="J683">
        <v>4703</v>
      </c>
      <c r="K683" t="s">
        <v>112</v>
      </c>
      <c r="L683" t="s">
        <v>91</v>
      </c>
      <c r="M683" t="s">
        <v>53</v>
      </c>
      <c r="N683">
        <v>76962</v>
      </c>
      <c r="O683" t="s">
        <v>53</v>
      </c>
      <c r="P683" t="s">
        <v>92</v>
      </c>
      <c r="Q683" t="s">
        <v>71</v>
      </c>
      <c r="R683" t="s">
        <v>72</v>
      </c>
      <c r="S683" t="s">
        <v>57</v>
      </c>
      <c r="T683" t="s">
        <v>58</v>
      </c>
      <c r="U683" t="s">
        <v>119</v>
      </c>
      <c r="V683">
        <v>0.863232</v>
      </c>
      <c r="W683" t="s">
        <v>289</v>
      </c>
      <c r="X683" t="s">
        <v>176</v>
      </c>
      <c r="Y683" t="s">
        <v>177</v>
      </c>
      <c r="Z683" t="str">
        <f t="shared" si="20"/>
        <v>Mayor que 20 - hasta 30</v>
      </c>
      <c r="AA683">
        <f t="shared" si="21"/>
        <v>0</v>
      </c>
      <c r="AB683">
        <v>47980</v>
      </c>
      <c r="AC683" t="s">
        <v>347</v>
      </c>
      <c r="AD683" t="s">
        <v>987</v>
      </c>
      <c r="AE683">
        <v>0.58941200000000005</v>
      </c>
      <c r="AF683" t="s">
        <v>63</v>
      </c>
      <c r="AG683">
        <v>25.306602000000002</v>
      </c>
      <c r="AH683" t="s">
        <v>347</v>
      </c>
      <c r="AI683" t="s">
        <v>983</v>
      </c>
      <c r="AJ683">
        <v>1.587353</v>
      </c>
      <c r="AK683" t="s">
        <v>76</v>
      </c>
      <c r="AL683">
        <v>65.085491000000005</v>
      </c>
      <c r="AM683" s="4" t="s">
        <v>64</v>
      </c>
      <c r="AN683" s="5">
        <v>21906.434513975841</v>
      </c>
      <c r="AO683" s="4" t="s">
        <v>65</v>
      </c>
      <c r="AP683" s="6">
        <v>2262</v>
      </c>
      <c r="AQ683">
        <v>2</v>
      </c>
      <c r="AR683">
        <v>15304.556563</v>
      </c>
      <c r="AS683" t="s">
        <v>66</v>
      </c>
      <c r="AT683" t="s">
        <v>53</v>
      </c>
    </row>
    <row r="684" spans="1:46">
      <c r="A684">
        <v>905</v>
      </c>
      <c r="B684" t="s">
        <v>46</v>
      </c>
      <c r="C684">
        <v>50</v>
      </c>
      <c r="D684">
        <v>1</v>
      </c>
      <c r="E684" t="s">
        <v>513</v>
      </c>
      <c r="F684" t="s">
        <v>1014</v>
      </c>
      <c r="G684">
        <v>50001</v>
      </c>
      <c r="H684">
        <v>50001</v>
      </c>
      <c r="I684" t="s">
        <v>1015</v>
      </c>
      <c r="J684">
        <v>5002</v>
      </c>
      <c r="K684" t="s">
        <v>1016</v>
      </c>
      <c r="L684" t="s">
        <v>51</v>
      </c>
      <c r="M684" t="s">
        <v>52</v>
      </c>
      <c r="N684">
        <v>577875</v>
      </c>
      <c r="O684" t="s">
        <v>53</v>
      </c>
      <c r="P684" t="s">
        <v>54</v>
      </c>
      <c r="Q684" t="s">
        <v>138</v>
      </c>
      <c r="R684" t="s">
        <v>105</v>
      </c>
      <c r="S684" t="s">
        <v>57</v>
      </c>
      <c r="T684" t="s">
        <v>58</v>
      </c>
      <c r="U684" t="s">
        <v>119</v>
      </c>
      <c r="V684">
        <v>0.39859099999999997</v>
      </c>
      <c r="W684">
        <v>2022</v>
      </c>
      <c r="X684" t="s">
        <v>106</v>
      </c>
      <c r="Y684" t="s">
        <v>139</v>
      </c>
      <c r="Z684" t="str">
        <f t="shared" si="20"/>
        <v>Mayor que 300 - hasta 400</v>
      </c>
      <c r="AA684">
        <f t="shared" si="21"/>
        <v>1</v>
      </c>
      <c r="AB684">
        <v>50001</v>
      </c>
      <c r="AC684" t="s">
        <v>512</v>
      </c>
      <c r="AD684" t="s">
        <v>513</v>
      </c>
      <c r="AE684">
        <v>0</v>
      </c>
      <c r="AF684" t="s">
        <v>63</v>
      </c>
      <c r="AG684">
        <v>0</v>
      </c>
      <c r="AH684" t="s">
        <v>512</v>
      </c>
      <c r="AI684" t="s">
        <v>513</v>
      </c>
      <c r="AJ684">
        <v>0</v>
      </c>
      <c r="AK684" t="s">
        <v>63</v>
      </c>
      <c r="AL684">
        <v>0</v>
      </c>
      <c r="AM684" t="s">
        <v>64</v>
      </c>
      <c r="AN684" s="7">
        <v>3221.1922931204831</v>
      </c>
      <c r="AO684" t="s">
        <v>65</v>
      </c>
      <c r="AP684" s="3">
        <v>351</v>
      </c>
      <c r="AQ684">
        <v>1</v>
      </c>
      <c r="AR684">
        <v>2699.161756</v>
      </c>
      <c r="AS684" t="s">
        <v>66</v>
      </c>
      <c r="AT684" t="s">
        <v>1017</v>
      </c>
    </row>
    <row r="685" spans="1:46">
      <c r="A685">
        <v>906</v>
      </c>
      <c r="B685" t="s">
        <v>46</v>
      </c>
      <c r="C685">
        <v>50</v>
      </c>
      <c r="D685">
        <v>6</v>
      </c>
      <c r="E685" t="s">
        <v>1018</v>
      </c>
      <c r="F685" t="s">
        <v>1014</v>
      </c>
      <c r="G685">
        <v>50006</v>
      </c>
      <c r="H685">
        <v>50006</v>
      </c>
      <c r="I685" t="s">
        <v>1015</v>
      </c>
      <c r="J685">
        <v>5003</v>
      </c>
      <c r="K685" t="s">
        <v>1019</v>
      </c>
      <c r="L685" t="s">
        <v>91</v>
      </c>
      <c r="M685" t="s">
        <v>53</v>
      </c>
      <c r="N685">
        <v>95500</v>
      </c>
      <c r="O685" t="s">
        <v>53</v>
      </c>
      <c r="P685" t="s">
        <v>92</v>
      </c>
      <c r="Q685" t="s">
        <v>125</v>
      </c>
      <c r="R685" t="s">
        <v>122</v>
      </c>
      <c r="S685" t="s">
        <v>57</v>
      </c>
      <c r="T685" t="s">
        <v>58</v>
      </c>
      <c r="U685" t="s">
        <v>59</v>
      </c>
      <c r="V685">
        <v>0.289524</v>
      </c>
      <c r="W685">
        <v>2022</v>
      </c>
      <c r="X685" t="s">
        <v>141</v>
      </c>
      <c r="Y685" t="s">
        <v>120</v>
      </c>
      <c r="Z685" t="str">
        <f t="shared" si="20"/>
        <v>Mayor que 200 - hasta 250</v>
      </c>
      <c r="AA685">
        <f t="shared" si="21"/>
        <v>1</v>
      </c>
      <c r="AB685">
        <v>50006</v>
      </c>
      <c r="AC685" t="s">
        <v>512</v>
      </c>
      <c r="AD685" t="s">
        <v>1020</v>
      </c>
      <c r="AE685">
        <v>0</v>
      </c>
      <c r="AF685" t="s">
        <v>63</v>
      </c>
      <c r="AG685">
        <v>0</v>
      </c>
      <c r="AH685" t="s">
        <v>512</v>
      </c>
      <c r="AI685" t="s">
        <v>513</v>
      </c>
      <c r="AJ685">
        <v>0.64287399999999995</v>
      </c>
      <c r="AK685" t="s">
        <v>63</v>
      </c>
      <c r="AL685">
        <v>32.170563000000001</v>
      </c>
      <c r="AM685" t="s">
        <v>97</v>
      </c>
      <c r="AN685" s="7">
        <v>2264.2458450795539</v>
      </c>
      <c r="AO685" t="s">
        <v>65</v>
      </c>
      <c r="AP685" s="3">
        <v>75</v>
      </c>
      <c r="AQ685">
        <v>2</v>
      </c>
      <c r="AR685">
        <v>3382.726756</v>
      </c>
      <c r="AS685" t="s">
        <v>66</v>
      </c>
      <c r="AT685" t="s">
        <v>1021</v>
      </c>
    </row>
    <row r="686" spans="1:46">
      <c r="A686">
        <v>907</v>
      </c>
      <c r="B686" t="s">
        <v>46</v>
      </c>
      <c r="C686">
        <v>50</v>
      </c>
      <c r="D686">
        <v>110</v>
      </c>
      <c r="E686" t="s">
        <v>1022</v>
      </c>
      <c r="F686" t="s">
        <v>1014</v>
      </c>
      <c r="G686">
        <v>50110</v>
      </c>
      <c r="H686">
        <v>50110</v>
      </c>
      <c r="I686" t="s">
        <v>1015</v>
      </c>
      <c r="J686">
        <v>5003</v>
      </c>
      <c r="K686" t="s">
        <v>1019</v>
      </c>
      <c r="L686" t="s">
        <v>80</v>
      </c>
      <c r="M686" t="s">
        <v>53</v>
      </c>
      <c r="N686">
        <v>7079</v>
      </c>
      <c r="O686" t="s">
        <v>53</v>
      </c>
      <c r="P686" t="s">
        <v>70</v>
      </c>
      <c r="Q686" t="s">
        <v>71</v>
      </c>
      <c r="R686" t="s">
        <v>105</v>
      </c>
      <c r="S686" t="s">
        <v>57</v>
      </c>
      <c r="T686" t="s">
        <v>73</v>
      </c>
      <c r="U686" t="s">
        <v>119</v>
      </c>
      <c r="V686">
        <v>0.85749399999999998</v>
      </c>
      <c r="W686">
        <v>2022</v>
      </c>
      <c r="X686" t="s">
        <v>147</v>
      </c>
      <c r="Y686" t="s">
        <v>148</v>
      </c>
      <c r="Z686" t="str">
        <f t="shared" si="20"/>
        <v>Mayor que 50 - hasta 60</v>
      </c>
      <c r="AA686">
        <f t="shared" si="21"/>
        <v>0</v>
      </c>
      <c r="AB686">
        <v>50110</v>
      </c>
      <c r="AC686" t="s">
        <v>432</v>
      </c>
      <c r="AD686" t="s">
        <v>405</v>
      </c>
      <c r="AE686">
        <v>0.22353500000000001</v>
      </c>
      <c r="AF686" t="s">
        <v>63</v>
      </c>
      <c r="AG686">
        <v>8.5840619999999994</v>
      </c>
      <c r="AH686" t="s">
        <v>512</v>
      </c>
      <c r="AI686" t="s">
        <v>513</v>
      </c>
      <c r="AJ686">
        <v>2.168145</v>
      </c>
      <c r="AK686" t="s">
        <v>77</v>
      </c>
      <c r="AL686">
        <v>111.876869</v>
      </c>
      <c r="AM686" t="s">
        <v>64</v>
      </c>
      <c r="AN686" s="7">
        <v>396.91573515715811</v>
      </c>
      <c r="AO686" t="s">
        <v>65</v>
      </c>
      <c r="AP686" s="3">
        <v>50</v>
      </c>
      <c r="AQ686">
        <v>3</v>
      </c>
      <c r="AR686">
        <v>697.10251800000003</v>
      </c>
      <c r="AS686" t="s">
        <v>66</v>
      </c>
      <c r="AT686" t="s">
        <v>137</v>
      </c>
    </row>
    <row r="687" spans="1:46">
      <c r="A687">
        <v>908</v>
      </c>
      <c r="B687" t="s">
        <v>46</v>
      </c>
      <c r="C687">
        <v>50</v>
      </c>
      <c r="D687">
        <v>124</v>
      </c>
      <c r="E687" t="s">
        <v>1023</v>
      </c>
      <c r="F687" t="s">
        <v>1014</v>
      </c>
      <c r="G687">
        <v>50124</v>
      </c>
      <c r="H687">
        <v>50124</v>
      </c>
      <c r="I687" t="s">
        <v>1015</v>
      </c>
      <c r="J687">
        <v>5004</v>
      </c>
      <c r="K687" t="s">
        <v>1024</v>
      </c>
      <c r="L687" t="s">
        <v>80</v>
      </c>
      <c r="M687" t="s">
        <v>53</v>
      </c>
      <c r="N687">
        <v>6554</v>
      </c>
      <c r="O687" t="s">
        <v>53</v>
      </c>
      <c r="P687" t="s">
        <v>70</v>
      </c>
      <c r="Q687" t="s">
        <v>71</v>
      </c>
      <c r="R687" t="s">
        <v>72</v>
      </c>
      <c r="S687" t="s">
        <v>57</v>
      </c>
      <c r="T687" t="s">
        <v>58</v>
      </c>
      <c r="U687" t="s">
        <v>119</v>
      </c>
      <c r="V687">
        <v>0.38208999999999999</v>
      </c>
      <c r="W687">
        <v>2022</v>
      </c>
      <c r="X687" t="s">
        <v>176</v>
      </c>
      <c r="Y687" t="s">
        <v>177</v>
      </c>
      <c r="Z687" t="str">
        <f t="shared" si="20"/>
        <v>Mayor que 20 - hasta 30</v>
      </c>
      <c r="AA687">
        <f t="shared" si="21"/>
        <v>0</v>
      </c>
      <c r="AB687">
        <v>50124</v>
      </c>
      <c r="AC687" t="s">
        <v>432</v>
      </c>
      <c r="AD687" t="s">
        <v>405</v>
      </c>
      <c r="AE687">
        <v>1.58928</v>
      </c>
      <c r="AF687" t="s">
        <v>76</v>
      </c>
      <c r="AG687">
        <v>51.590159</v>
      </c>
      <c r="AH687" t="s">
        <v>512</v>
      </c>
      <c r="AI687" t="s">
        <v>513</v>
      </c>
      <c r="AJ687">
        <v>2.7365140000000001</v>
      </c>
      <c r="AK687" t="s">
        <v>77</v>
      </c>
      <c r="AL687">
        <v>128.641335</v>
      </c>
      <c r="AM687" t="s">
        <v>97</v>
      </c>
      <c r="AN687" s="7">
        <v>54857.229860069929</v>
      </c>
      <c r="AO687" t="s">
        <v>65</v>
      </c>
      <c r="AP687" s="3">
        <v>196</v>
      </c>
      <c r="AQ687">
        <v>2</v>
      </c>
      <c r="AR687">
        <v>62946.199517000001</v>
      </c>
      <c r="AS687" t="s">
        <v>66</v>
      </c>
      <c r="AT687" t="s">
        <v>137</v>
      </c>
    </row>
    <row r="688" spans="1:46">
      <c r="A688">
        <v>909</v>
      </c>
      <c r="B688" t="s">
        <v>46</v>
      </c>
      <c r="C688">
        <v>50</v>
      </c>
      <c r="D688">
        <v>150</v>
      </c>
      <c r="E688" t="s">
        <v>1025</v>
      </c>
      <c r="F688" t="s">
        <v>1014</v>
      </c>
      <c r="G688">
        <v>50150</v>
      </c>
      <c r="H688">
        <v>50150</v>
      </c>
      <c r="I688" t="s">
        <v>1015</v>
      </c>
      <c r="J688">
        <v>5003</v>
      </c>
      <c r="K688" t="s">
        <v>1019</v>
      </c>
      <c r="L688" t="s">
        <v>69</v>
      </c>
      <c r="M688" t="s">
        <v>53</v>
      </c>
      <c r="N688">
        <v>15683</v>
      </c>
      <c r="O688" t="s">
        <v>53</v>
      </c>
      <c r="P688" t="s">
        <v>70</v>
      </c>
      <c r="Q688" t="s">
        <v>118</v>
      </c>
      <c r="R688" t="s">
        <v>93</v>
      </c>
      <c r="S688" t="s">
        <v>57</v>
      </c>
      <c r="T688" t="s">
        <v>58</v>
      </c>
      <c r="U688" t="s">
        <v>81</v>
      </c>
      <c r="V688">
        <v>0.36126200000000003</v>
      </c>
      <c r="W688">
        <v>2022</v>
      </c>
      <c r="X688" t="s">
        <v>176</v>
      </c>
      <c r="Y688" t="s">
        <v>177</v>
      </c>
      <c r="Z688" t="str">
        <f t="shared" si="20"/>
        <v>Mayor que 20 - hasta 30</v>
      </c>
      <c r="AA688">
        <f t="shared" si="21"/>
        <v>0</v>
      </c>
      <c r="AB688">
        <v>50150</v>
      </c>
      <c r="AC688" t="s">
        <v>512</v>
      </c>
      <c r="AD688" t="s">
        <v>1020</v>
      </c>
      <c r="AE688">
        <v>0.58457099999999995</v>
      </c>
      <c r="AF688" t="s">
        <v>63</v>
      </c>
      <c r="AG688">
        <v>24.975231000000001</v>
      </c>
      <c r="AH688" t="s">
        <v>512</v>
      </c>
      <c r="AI688" t="s">
        <v>513</v>
      </c>
      <c r="AJ688">
        <v>1.2274449999999999</v>
      </c>
      <c r="AK688" t="s">
        <v>76</v>
      </c>
      <c r="AL688">
        <v>57.145794000000002</v>
      </c>
      <c r="AM688" t="s">
        <v>64</v>
      </c>
      <c r="AN688" s="7">
        <v>10393.389259216419</v>
      </c>
      <c r="AO688" t="s">
        <v>64</v>
      </c>
      <c r="AP688" s="3">
        <v>187</v>
      </c>
      <c r="AQ688">
        <v>2</v>
      </c>
      <c r="AR688">
        <v>14069.503897000001</v>
      </c>
      <c r="AS688" t="s">
        <v>66</v>
      </c>
      <c r="AT688" t="s">
        <v>1026</v>
      </c>
    </row>
    <row r="689" spans="1:46">
      <c r="A689">
        <v>910</v>
      </c>
      <c r="B689" t="s">
        <v>46</v>
      </c>
      <c r="C689">
        <v>50</v>
      </c>
      <c r="D689">
        <v>223</v>
      </c>
      <c r="E689" t="s">
        <v>1027</v>
      </c>
      <c r="F689" t="s">
        <v>1014</v>
      </c>
      <c r="G689">
        <v>50223</v>
      </c>
      <c r="H689">
        <v>50223</v>
      </c>
      <c r="I689" t="s">
        <v>1015</v>
      </c>
      <c r="J689">
        <v>5003</v>
      </c>
      <c r="K689" t="s">
        <v>1019</v>
      </c>
      <c r="L689" t="s">
        <v>80</v>
      </c>
      <c r="M689" t="s">
        <v>53</v>
      </c>
      <c r="N689">
        <v>7687</v>
      </c>
      <c r="O689" t="s">
        <v>53</v>
      </c>
      <c r="P689" t="s">
        <v>70</v>
      </c>
      <c r="Q689" t="s">
        <v>71</v>
      </c>
      <c r="R689" t="s">
        <v>93</v>
      </c>
      <c r="S689" t="s">
        <v>57</v>
      </c>
      <c r="T689" t="s">
        <v>73</v>
      </c>
      <c r="U689" t="s">
        <v>119</v>
      </c>
      <c r="V689">
        <v>0.36305500000000002</v>
      </c>
      <c r="W689">
        <v>2022</v>
      </c>
      <c r="X689" t="s">
        <v>109</v>
      </c>
      <c r="Y689" t="s">
        <v>110</v>
      </c>
      <c r="Z689" t="str">
        <f t="shared" si="20"/>
        <v>Mayor que 30 - hasta 40</v>
      </c>
      <c r="AA689">
        <f t="shared" si="21"/>
        <v>0</v>
      </c>
      <c r="AB689">
        <v>50223</v>
      </c>
      <c r="AC689" t="s">
        <v>512</v>
      </c>
      <c r="AD689" t="s">
        <v>1020</v>
      </c>
      <c r="AE689">
        <v>0.73740399999999995</v>
      </c>
      <c r="AF689" t="s">
        <v>63</v>
      </c>
      <c r="AG689">
        <v>27.523758999999998</v>
      </c>
      <c r="AH689" t="s">
        <v>512</v>
      </c>
      <c r="AI689" t="s">
        <v>513</v>
      </c>
      <c r="AJ689">
        <v>1.3802779999999999</v>
      </c>
      <c r="AK689" t="s">
        <v>76</v>
      </c>
      <c r="AL689">
        <v>59.694322</v>
      </c>
      <c r="AM689" t="s">
        <v>64</v>
      </c>
      <c r="AN689" s="7">
        <v>9393.2311094971756</v>
      </c>
      <c r="AO689" t="s">
        <v>65</v>
      </c>
      <c r="AP689" s="3">
        <v>1041</v>
      </c>
      <c r="AQ689">
        <v>3</v>
      </c>
      <c r="AR689">
        <v>11332.670137999999</v>
      </c>
      <c r="AS689" t="s">
        <v>66</v>
      </c>
      <c r="AT689" t="s">
        <v>1028</v>
      </c>
    </row>
    <row r="690" spans="1:46">
      <c r="A690">
        <v>911</v>
      </c>
      <c r="B690" t="s">
        <v>46</v>
      </c>
      <c r="C690">
        <v>50</v>
      </c>
      <c r="D690">
        <v>226</v>
      </c>
      <c r="E690" t="s">
        <v>1029</v>
      </c>
      <c r="F690" t="s">
        <v>1014</v>
      </c>
      <c r="G690">
        <v>50226</v>
      </c>
      <c r="H690">
        <v>50226</v>
      </c>
      <c r="I690" t="s">
        <v>1015</v>
      </c>
      <c r="J690">
        <v>5003</v>
      </c>
      <c r="K690" t="s">
        <v>1019</v>
      </c>
      <c r="L690" t="s">
        <v>69</v>
      </c>
      <c r="M690" t="s">
        <v>53</v>
      </c>
      <c r="N690">
        <v>24858</v>
      </c>
      <c r="O690" t="s">
        <v>53</v>
      </c>
      <c r="P690" t="s">
        <v>70</v>
      </c>
      <c r="Q690" t="s">
        <v>71</v>
      </c>
      <c r="R690" t="s">
        <v>105</v>
      </c>
      <c r="S690" t="s">
        <v>57</v>
      </c>
      <c r="T690" t="s">
        <v>58</v>
      </c>
      <c r="U690" t="s">
        <v>59</v>
      </c>
      <c r="V690">
        <v>4.5261000000000003E-2</v>
      </c>
      <c r="W690">
        <v>2022</v>
      </c>
      <c r="X690" t="s">
        <v>217</v>
      </c>
      <c r="Y690" t="s">
        <v>228</v>
      </c>
      <c r="Z690" t="str">
        <f t="shared" si="20"/>
        <v>Mayor que 180 - hasta 200</v>
      </c>
      <c r="AA690">
        <f t="shared" si="21"/>
        <v>1</v>
      </c>
      <c r="AB690">
        <v>50226</v>
      </c>
      <c r="AC690" t="s">
        <v>512</v>
      </c>
      <c r="AD690" t="s">
        <v>513</v>
      </c>
      <c r="AE690">
        <v>0.61964399999999997</v>
      </c>
      <c r="AF690" t="s">
        <v>63</v>
      </c>
      <c r="AG690">
        <v>28.422035000000001</v>
      </c>
      <c r="AH690" t="s">
        <v>512</v>
      </c>
      <c r="AI690" t="s">
        <v>513</v>
      </c>
      <c r="AJ690">
        <v>0.55047900000000005</v>
      </c>
      <c r="AK690" t="s">
        <v>63</v>
      </c>
      <c r="AL690">
        <v>26.932085000000001</v>
      </c>
      <c r="AM690" t="s">
        <v>64</v>
      </c>
      <c r="AN690" s="7">
        <v>3620.646343640778</v>
      </c>
      <c r="AO690" t="s">
        <v>65</v>
      </c>
      <c r="AP690" s="3">
        <v>185</v>
      </c>
      <c r="AQ690">
        <v>2</v>
      </c>
      <c r="AR690">
        <v>5663.8214829999997</v>
      </c>
      <c r="AS690" t="s">
        <v>66</v>
      </c>
      <c r="AT690" t="s">
        <v>1030</v>
      </c>
    </row>
    <row r="691" spans="1:46">
      <c r="A691">
        <v>912</v>
      </c>
      <c r="B691" t="s">
        <v>46</v>
      </c>
      <c r="C691">
        <v>50</v>
      </c>
      <c r="D691">
        <v>245</v>
      </c>
      <c r="E691" t="s">
        <v>1031</v>
      </c>
      <c r="F691" t="s">
        <v>1014</v>
      </c>
      <c r="G691">
        <v>50245</v>
      </c>
      <c r="H691">
        <v>50245</v>
      </c>
      <c r="I691" t="s">
        <v>1015</v>
      </c>
      <c r="J691">
        <v>5003</v>
      </c>
      <c r="K691" t="s">
        <v>1019</v>
      </c>
      <c r="L691" t="s">
        <v>80</v>
      </c>
      <c r="M691" t="s">
        <v>53</v>
      </c>
      <c r="N691">
        <v>1870</v>
      </c>
      <c r="O691" t="s">
        <v>53</v>
      </c>
      <c r="P691" t="s">
        <v>70</v>
      </c>
      <c r="Q691" t="s">
        <v>71</v>
      </c>
      <c r="R691" t="s">
        <v>72</v>
      </c>
      <c r="S691" t="s">
        <v>57</v>
      </c>
      <c r="T691" t="s">
        <v>73</v>
      </c>
      <c r="U691" t="s">
        <v>81</v>
      </c>
      <c r="V691">
        <v>0.79860100000000001</v>
      </c>
      <c r="W691">
        <v>2022</v>
      </c>
      <c r="X691" t="s">
        <v>176</v>
      </c>
      <c r="Y691" t="s">
        <v>177</v>
      </c>
      <c r="Z691" t="str">
        <f t="shared" si="20"/>
        <v>Mayor que 20 - hasta 30</v>
      </c>
      <c r="AA691">
        <f t="shared" si="21"/>
        <v>0</v>
      </c>
      <c r="AB691">
        <v>50245</v>
      </c>
      <c r="AC691" t="s">
        <v>512</v>
      </c>
      <c r="AD691" t="s">
        <v>513</v>
      </c>
      <c r="AE691">
        <v>2.2274600000000002</v>
      </c>
      <c r="AF691" t="s">
        <v>77</v>
      </c>
      <c r="AG691">
        <v>59.868333</v>
      </c>
      <c r="AH691" t="s">
        <v>512</v>
      </c>
      <c r="AI691" t="s">
        <v>513</v>
      </c>
      <c r="AJ691">
        <v>2.1582940000000002</v>
      </c>
      <c r="AK691" t="s">
        <v>77</v>
      </c>
      <c r="AL691">
        <v>58.378383999999997</v>
      </c>
      <c r="AM691" t="s">
        <v>65</v>
      </c>
      <c r="AN691" s="7">
        <v>1392.0117678489321</v>
      </c>
      <c r="AO691" t="s">
        <v>65</v>
      </c>
      <c r="AP691" s="3">
        <v>308</v>
      </c>
      <c r="AQ691">
        <v>4</v>
      </c>
      <c r="AR691">
        <v>1170.2641570000001</v>
      </c>
      <c r="AS691" t="s">
        <v>66</v>
      </c>
      <c r="AT691" t="s">
        <v>1032</v>
      </c>
    </row>
    <row r="692" spans="1:46">
      <c r="A692">
        <v>913</v>
      </c>
      <c r="B692" t="s">
        <v>46</v>
      </c>
      <c r="C692">
        <v>50</v>
      </c>
      <c r="D692">
        <v>251</v>
      </c>
      <c r="E692" t="s">
        <v>1033</v>
      </c>
      <c r="F692" t="s">
        <v>1014</v>
      </c>
      <c r="G692">
        <v>50251</v>
      </c>
      <c r="H692">
        <v>50251</v>
      </c>
      <c r="I692" t="s">
        <v>1015</v>
      </c>
      <c r="J692">
        <v>5001</v>
      </c>
      <c r="K692" t="s">
        <v>1034</v>
      </c>
      <c r="L692" t="s">
        <v>69</v>
      </c>
      <c r="M692" t="s">
        <v>53</v>
      </c>
      <c r="N692">
        <v>8539</v>
      </c>
      <c r="O692" t="s">
        <v>53</v>
      </c>
      <c r="P692" t="s">
        <v>70</v>
      </c>
      <c r="Q692" t="s">
        <v>71</v>
      </c>
      <c r="R692" t="s">
        <v>105</v>
      </c>
      <c r="S692" t="s">
        <v>57</v>
      </c>
      <c r="T692" t="s">
        <v>73</v>
      </c>
      <c r="U692" t="s">
        <v>101</v>
      </c>
      <c r="V692">
        <v>0.57793000000000005</v>
      </c>
      <c r="W692">
        <v>2022</v>
      </c>
      <c r="X692" t="s">
        <v>109</v>
      </c>
      <c r="Y692" t="s">
        <v>110</v>
      </c>
      <c r="Z692" t="str">
        <f t="shared" si="20"/>
        <v>Mayor que 30 - hasta 40</v>
      </c>
      <c r="AA692">
        <f t="shared" si="21"/>
        <v>0</v>
      </c>
      <c r="AB692">
        <v>50251</v>
      </c>
      <c r="AC692" t="s">
        <v>512</v>
      </c>
      <c r="AD692" t="s">
        <v>197</v>
      </c>
      <c r="AE692">
        <v>0.37635299999999999</v>
      </c>
      <c r="AF692" t="s">
        <v>63</v>
      </c>
      <c r="AG692">
        <v>14.495331999999999</v>
      </c>
      <c r="AH692" t="s">
        <v>512</v>
      </c>
      <c r="AI692" t="s">
        <v>513</v>
      </c>
      <c r="AJ692">
        <v>1.9946170000000001</v>
      </c>
      <c r="AK692" t="s">
        <v>76</v>
      </c>
      <c r="AL692">
        <v>97.174935000000005</v>
      </c>
      <c r="AM692" t="s">
        <v>64</v>
      </c>
      <c r="AN692" s="7">
        <v>4260.2941084205468</v>
      </c>
      <c r="AO692" t="s">
        <v>65</v>
      </c>
      <c r="AP692" s="3">
        <v>675</v>
      </c>
      <c r="AQ692">
        <v>1</v>
      </c>
      <c r="AR692">
        <v>8167.281919</v>
      </c>
      <c r="AS692" t="s">
        <v>66</v>
      </c>
      <c r="AT692" t="s">
        <v>137</v>
      </c>
    </row>
    <row r="693" spans="1:46">
      <c r="A693">
        <v>914</v>
      </c>
      <c r="B693" t="s">
        <v>46</v>
      </c>
      <c r="C693">
        <v>50</v>
      </c>
      <c r="D693">
        <v>270</v>
      </c>
      <c r="E693" t="s">
        <v>1035</v>
      </c>
      <c r="F693" t="s">
        <v>1014</v>
      </c>
      <c r="G693">
        <v>50270</v>
      </c>
      <c r="H693">
        <v>50270</v>
      </c>
      <c r="I693" t="s">
        <v>1015</v>
      </c>
      <c r="J693">
        <v>5001</v>
      </c>
      <c r="K693" t="s">
        <v>1034</v>
      </c>
      <c r="L693" t="s">
        <v>69</v>
      </c>
      <c r="M693" t="s">
        <v>53</v>
      </c>
      <c r="N693">
        <v>4284</v>
      </c>
      <c r="O693" t="s">
        <v>53</v>
      </c>
      <c r="P693" t="s">
        <v>70</v>
      </c>
      <c r="Q693" t="s">
        <v>71</v>
      </c>
      <c r="R693" t="s">
        <v>93</v>
      </c>
      <c r="S693" t="s">
        <v>57</v>
      </c>
      <c r="T693" t="s">
        <v>73</v>
      </c>
      <c r="U693" t="s">
        <v>119</v>
      </c>
      <c r="V693">
        <v>0.75692999999999999</v>
      </c>
      <c r="W693">
        <v>2022</v>
      </c>
      <c r="X693" t="s">
        <v>217</v>
      </c>
      <c r="Y693" t="s">
        <v>218</v>
      </c>
      <c r="Z693" t="str">
        <f t="shared" si="20"/>
        <v>Mayor que 40 - hasta 50</v>
      </c>
      <c r="AA693">
        <f t="shared" si="21"/>
        <v>0</v>
      </c>
      <c r="AB693">
        <v>50270</v>
      </c>
      <c r="AC693" t="s">
        <v>512</v>
      </c>
      <c r="AD693" t="s">
        <v>1020</v>
      </c>
      <c r="AE693">
        <v>0.96513199999999999</v>
      </c>
      <c r="AF693" t="s">
        <v>63</v>
      </c>
      <c r="AG693">
        <v>35.846299000000002</v>
      </c>
      <c r="AH693" t="s">
        <v>512</v>
      </c>
      <c r="AI693" t="s">
        <v>513</v>
      </c>
      <c r="AJ693">
        <v>1.608007</v>
      </c>
      <c r="AK693" t="s">
        <v>76</v>
      </c>
      <c r="AL693">
        <v>68.016861000000006</v>
      </c>
      <c r="AM693" t="s">
        <v>65</v>
      </c>
      <c r="AN693" s="7">
        <v>2092.7938027735081</v>
      </c>
      <c r="AO693" t="s">
        <v>65</v>
      </c>
      <c r="AP693" s="3">
        <v>341</v>
      </c>
      <c r="AQ693">
        <v>1</v>
      </c>
      <c r="AR693">
        <v>3111.3261069999999</v>
      </c>
      <c r="AS693" t="s">
        <v>66</v>
      </c>
      <c r="AT693" t="s">
        <v>137</v>
      </c>
    </row>
    <row r="694" spans="1:46">
      <c r="A694">
        <v>915</v>
      </c>
      <c r="B694" t="s">
        <v>46</v>
      </c>
      <c r="C694">
        <v>50</v>
      </c>
      <c r="D694">
        <v>287</v>
      </c>
      <c r="E694" t="s">
        <v>1036</v>
      </c>
      <c r="F694" t="s">
        <v>1014</v>
      </c>
      <c r="G694">
        <v>50287</v>
      </c>
      <c r="H694">
        <v>50287</v>
      </c>
      <c r="I694" t="s">
        <v>1015</v>
      </c>
      <c r="J694">
        <v>5001</v>
      </c>
      <c r="K694" t="s">
        <v>1034</v>
      </c>
      <c r="L694" t="s">
        <v>69</v>
      </c>
      <c r="M694" t="s">
        <v>53</v>
      </c>
      <c r="N694">
        <v>13163</v>
      </c>
      <c r="O694" t="s">
        <v>53</v>
      </c>
      <c r="P694" t="s">
        <v>70</v>
      </c>
      <c r="Q694" t="s">
        <v>71</v>
      </c>
      <c r="R694" t="s">
        <v>122</v>
      </c>
      <c r="S694" t="s">
        <v>57</v>
      </c>
      <c r="T694" t="s">
        <v>73</v>
      </c>
      <c r="U694" t="s">
        <v>119</v>
      </c>
      <c r="V694">
        <v>0.36392999999999998</v>
      </c>
      <c r="W694">
        <v>2022</v>
      </c>
      <c r="X694" t="s">
        <v>176</v>
      </c>
      <c r="Y694" t="s">
        <v>177</v>
      </c>
      <c r="Z694" t="str">
        <f t="shared" si="20"/>
        <v>Mayor que 20 - hasta 30</v>
      </c>
      <c r="AA694">
        <f t="shared" si="21"/>
        <v>0</v>
      </c>
      <c r="AB694">
        <v>50287</v>
      </c>
      <c r="AC694" t="s">
        <v>512</v>
      </c>
      <c r="AD694" t="s">
        <v>197</v>
      </c>
      <c r="AE694">
        <v>0.35255300000000001</v>
      </c>
      <c r="AF694" t="s">
        <v>63</v>
      </c>
      <c r="AG694">
        <v>16.962236999999998</v>
      </c>
      <c r="AH694" t="s">
        <v>512</v>
      </c>
      <c r="AI694" t="s">
        <v>513</v>
      </c>
      <c r="AJ694">
        <v>2.0567540000000002</v>
      </c>
      <c r="AK694" t="s">
        <v>77</v>
      </c>
      <c r="AL694">
        <v>104.138896</v>
      </c>
      <c r="AM694" t="s">
        <v>64</v>
      </c>
      <c r="AN694" s="7">
        <v>20286.761559323772</v>
      </c>
      <c r="AO694" t="s">
        <v>65</v>
      </c>
      <c r="AP694" s="3">
        <v>980</v>
      </c>
      <c r="AQ694">
        <v>1</v>
      </c>
      <c r="AR694">
        <v>17406.434611000001</v>
      </c>
      <c r="AS694" t="s">
        <v>66</v>
      </c>
      <c r="AT694" t="s">
        <v>137</v>
      </c>
    </row>
    <row r="695" spans="1:46">
      <c r="A695">
        <v>916</v>
      </c>
      <c r="B695" t="s">
        <v>46</v>
      </c>
      <c r="C695">
        <v>50</v>
      </c>
      <c r="D695">
        <v>313</v>
      </c>
      <c r="E695" t="s">
        <v>197</v>
      </c>
      <c r="F695" t="s">
        <v>1014</v>
      </c>
      <c r="G695">
        <v>50313</v>
      </c>
      <c r="H695">
        <v>50313</v>
      </c>
      <c r="I695" t="s">
        <v>1015</v>
      </c>
      <c r="J695">
        <v>5001</v>
      </c>
      <c r="K695" t="s">
        <v>1034</v>
      </c>
      <c r="L695" t="s">
        <v>91</v>
      </c>
      <c r="M695" t="s">
        <v>53</v>
      </c>
      <c r="N695">
        <v>75007</v>
      </c>
      <c r="O695" t="s">
        <v>53</v>
      </c>
      <c r="P695" t="s">
        <v>92</v>
      </c>
      <c r="Q695" t="s">
        <v>118</v>
      </c>
      <c r="R695" t="s">
        <v>249</v>
      </c>
      <c r="S695" t="s">
        <v>57</v>
      </c>
      <c r="T695" t="s">
        <v>73</v>
      </c>
      <c r="U695" t="s">
        <v>119</v>
      </c>
      <c r="V695">
        <v>0.38281799999999999</v>
      </c>
      <c r="W695">
        <v>2022</v>
      </c>
      <c r="X695" t="s">
        <v>109</v>
      </c>
      <c r="Y695" t="s">
        <v>110</v>
      </c>
      <c r="Z695" t="str">
        <f t="shared" si="20"/>
        <v>Mayor que 30 - hasta 40</v>
      </c>
      <c r="AA695">
        <f t="shared" si="21"/>
        <v>0</v>
      </c>
      <c r="AB695">
        <v>50313</v>
      </c>
      <c r="AC695" t="s">
        <v>512</v>
      </c>
      <c r="AD695" t="s">
        <v>197</v>
      </c>
      <c r="AE695">
        <v>0</v>
      </c>
      <c r="AF695" t="s">
        <v>63</v>
      </c>
      <c r="AG695">
        <v>0</v>
      </c>
      <c r="AH695" t="s">
        <v>512</v>
      </c>
      <c r="AI695" t="s">
        <v>513</v>
      </c>
      <c r="AJ695">
        <v>1.7042010000000001</v>
      </c>
      <c r="AK695" t="s">
        <v>76</v>
      </c>
      <c r="AL695">
        <v>87.176659000000001</v>
      </c>
      <c r="AM695" t="s">
        <v>64</v>
      </c>
      <c r="AN695" s="7">
        <v>12770.546800711571</v>
      </c>
      <c r="AO695" t="s">
        <v>65</v>
      </c>
      <c r="AP695" s="3">
        <v>1814</v>
      </c>
      <c r="AQ695">
        <v>2</v>
      </c>
      <c r="AR695">
        <v>13723.576408999999</v>
      </c>
      <c r="AS695" t="s">
        <v>66</v>
      </c>
      <c r="AT695" t="s">
        <v>137</v>
      </c>
    </row>
    <row r="696" spans="1:46">
      <c r="A696">
        <v>917</v>
      </c>
      <c r="B696" t="s">
        <v>46</v>
      </c>
      <c r="C696">
        <v>50</v>
      </c>
      <c r="D696">
        <v>318</v>
      </c>
      <c r="E696" t="s">
        <v>998</v>
      </c>
      <c r="F696" t="s">
        <v>1014</v>
      </c>
      <c r="G696">
        <v>50318</v>
      </c>
      <c r="H696">
        <v>50318</v>
      </c>
      <c r="I696" t="s">
        <v>1015</v>
      </c>
      <c r="J696">
        <v>5003</v>
      </c>
      <c r="K696" t="s">
        <v>1019</v>
      </c>
      <c r="L696" t="s">
        <v>69</v>
      </c>
      <c r="M696" t="s">
        <v>53</v>
      </c>
      <c r="N696">
        <v>15361</v>
      </c>
      <c r="O696" t="s">
        <v>53</v>
      </c>
      <c r="P696" t="s">
        <v>70</v>
      </c>
      <c r="Q696" t="s">
        <v>71</v>
      </c>
      <c r="R696" t="s">
        <v>72</v>
      </c>
      <c r="S696" t="s">
        <v>57</v>
      </c>
      <c r="T696" t="s">
        <v>58</v>
      </c>
      <c r="U696" t="s">
        <v>59</v>
      </c>
      <c r="V696">
        <v>0.41653600000000002</v>
      </c>
      <c r="W696">
        <v>2022</v>
      </c>
      <c r="X696" t="s">
        <v>109</v>
      </c>
      <c r="Y696" t="s">
        <v>110</v>
      </c>
      <c r="Z696" t="str">
        <f t="shared" si="20"/>
        <v>Mayor que 30 - hasta 40</v>
      </c>
      <c r="AA696">
        <f t="shared" si="21"/>
        <v>0</v>
      </c>
      <c r="AB696">
        <v>50318</v>
      </c>
      <c r="AC696" t="s">
        <v>512</v>
      </c>
      <c r="AD696" t="s">
        <v>1020</v>
      </c>
      <c r="AE696">
        <v>0.27651399999999998</v>
      </c>
      <c r="AF696" t="s">
        <v>63</v>
      </c>
      <c r="AG696">
        <v>13.521319999999999</v>
      </c>
      <c r="AH696" t="s">
        <v>512</v>
      </c>
      <c r="AI696" t="s">
        <v>513</v>
      </c>
      <c r="AJ696">
        <v>0.91938799999999998</v>
      </c>
      <c r="AK696" t="s">
        <v>63</v>
      </c>
      <c r="AL696">
        <v>45.691882999999997</v>
      </c>
      <c r="AM696" t="s">
        <v>64</v>
      </c>
      <c r="AN696" s="7">
        <v>2045.2132476741469</v>
      </c>
      <c r="AO696" t="s">
        <v>65</v>
      </c>
      <c r="AP696" s="3">
        <v>181</v>
      </c>
      <c r="AQ696">
        <v>3</v>
      </c>
      <c r="AR696">
        <v>1758.221284</v>
      </c>
      <c r="AS696" t="s">
        <v>66</v>
      </c>
      <c r="AT696" t="s">
        <v>1037</v>
      </c>
    </row>
    <row r="697" spans="1:46">
      <c r="A697">
        <v>932</v>
      </c>
      <c r="B697" t="s">
        <v>46</v>
      </c>
      <c r="C697">
        <v>50</v>
      </c>
      <c r="D697">
        <v>325</v>
      </c>
      <c r="E697" t="s">
        <v>1038</v>
      </c>
      <c r="F697" t="s">
        <v>1014</v>
      </c>
      <c r="G697">
        <v>50325</v>
      </c>
      <c r="H697">
        <v>50325</v>
      </c>
      <c r="I697" t="s">
        <v>1015</v>
      </c>
      <c r="J697">
        <v>5001</v>
      </c>
      <c r="K697" t="s">
        <v>1034</v>
      </c>
      <c r="L697" t="s">
        <v>80</v>
      </c>
      <c r="M697" t="s">
        <v>53</v>
      </c>
      <c r="N697">
        <v>7474</v>
      </c>
      <c r="O697" t="s">
        <v>53</v>
      </c>
      <c r="P697" t="s">
        <v>70</v>
      </c>
      <c r="Q697" t="s">
        <v>71</v>
      </c>
      <c r="R697" t="s">
        <v>122</v>
      </c>
      <c r="S697" t="s">
        <v>1039</v>
      </c>
      <c r="T697" t="s">
        <v>73</v>
      </c>
      <c r="U697" t="s">
        <v>115</v>
      </c>
      <c r="V697">
        <v>0.83766600000000002</v>
      </c>
      <c r="W697">
        <v>2022</v>
      </c>
      <c r="X697" t="s">
        <v>383</v>
      </c>
      <c r="Y697" t="s">
        <v>384</v>
      </c>
      <c r="Z697" t="str">
        <f t="shared" si="20"/>
        <v>Mayor que 3 - hasta 5</v>
      </c>
      <c r="AA697">
        <f t="shared" si="21"/>
        <v>0</v>
      </c>
      <c r="AB697">
        <v>50325</v>
      </c>
      <c r="AC697" t="s">
        <v>1040</v>
      </c>
      <c r="AD697" t="s">
        <v>1041</v>
      </c>
      <c r="AE697">
        <v>3.760554</v>
      </c>
      <c r="AF697" t="s">
        <v>84</v>
      </c>
      <c r="AG697">
        <v>139.35798700000001</v>
      </c>
      <c r="AH697" t="s">
        <v>1040</v>
      </c>
      <c r="AI697" t="s">
        <v>1041</v>
      </c>
      <c r="AJ697">
        <v>3.742588</v>
      </c>
      <c r="AK697" t="s">
        <v>84</v>
      </c>
      <c r="AL697">
        <v>138.83372299999999</v>
      </c>
      <c r="AM697" t="s">
        <v>97</v>
      </c>
      <c r="AN697" s="7">
        <v>238860.2452735625</v>
      </c>
      <c r="AO697" t="s">
        <v>97</v>
      </c>
      <c r="AP697" s="3">
        <v>305</v>
      </c>
      <c r="AQ697">
        <v>3</v>
      </c>
      <c r="AR697">
        <v>214942.47728399999</v>
      </c>
      <c r="AS697" t="s">
        <v>66</v>
      </c>
      <c r="AT697" t="s">
        <v>1042</v>
      </c>
    </row>
    <row r="698" spans="1:46">
      <c r="A698">
        <v>918</v>
      </c>
      <c r="B698" t="s">
        <v>46</v>
      </c>
      <c r="C698">
        <v>50</v>
      </c>
      <c r="D698">
        <v>330</v>
      </c>
      <c r="E698" t="s">
        <v>1043</v>
      </c>
      <c r="F698" t="s">
        <v>1014</v>
      </c>
      <c r="G698">
        <v>50330</v>
      </c>
      <c r="H698">
        <v>50330</v>
      </c>
      <c r="I698" t="s">
        <v>1015</v>
      </c>
      <c r="J698">
        <v>5001</v>
      </c>
      <c r="K698" t="s">
        <v>1034</v>
      </c>
      <c r="L698" t="s">
        <v>80</v>
      </c>
      <c r="M698" t="s">
        <v>53</v>
      </c>
      <c r="N698">
        <v>12192</v>
      </c>
      <c r="O698" t="s">
        <v>53</v>
      </c>
      <c r="P698" t="s">
        <v>70</v>
      </c>
      <c r="Q698" t="s">
        <v>71</v>
      </c>
      <c r="R698" t="s">
        <v>249</v>
      </c>
      <c r="S698" t="s">
        <v>1039</v>
      </c>
      <c r="T698" t="s">
        <v>73</v>
      </c>
      <c r="U698" t="s">
        <v>115</v>
      </c>
      <c r="V698">
        <v>0.79656099999999996</v>
      </c>
      <c r="W698">
        <v>2022</v>
      </c>
      <c r="X698" t="s">
        <v>176</v>
      </c>
      <c r="Y698" t="s">
        <v>177</v>
      </c>
      <c r="Z698" t="str">
        <f t="shared" si="20"/>
        <v>Mayor que 20 - hasta 30</v>
      </c>
      <c r="AA698">
        <f t="shared" si="21"/>
        <v>0</v>
      </c>
      <c r="AB698">
        <v>50330</v>
      </c>
      <c r="AC698" t="s">
        <v>512</v>
      </c>
      <c r="AD698" t="s">
        <v>197</v>
      </c>
      <c r="AE698">
        <v>1.166229</v>
      </c>
      <c r="AF698" t="s">
        <v>76</v>
      </c>
      <c r="AG698">
        <v>57.477164000000002</v>
      </c>
      <c r="AH698" t="s">
        <v>512</v>
      </c>
      <c r="AI698" t="s">
        <v>513</v>
      </c>
      <c r="AJ698">
        <v>2.7844929999999999</v>
      </c>
      <c r="AK698" t="s">
        <v>77</v>
      </c>
      <c r="AL698">
        <v>140.156768</v>
      </c>
      <c r="AM698" t="s">
        <v>64</v>
      </c>
      <c r="AN698" s="7">
        <v>5428.4298204073202</v>
      </c>
      <c r="AO698" t="s">
        <v>65</v>
      </c>
      <c r="AP698" s="3">
        <v>555</v>
      </c>
      <c r="AQ698">
        <v>3</v>
      </c>
      <c r="AR698">
        <v>4282.1641079999999</v>
      </c>
      <c r="AS698" t="s">
        <v>66</v>
      </c>
      <c r="AT698" t="s">
        <v>137</v>
      </c>
    </row>
    <row r="699" spans="1:46">
      <c r="A699">
        <v>931</v>
      </c>
      <c r="B699" t="s">
        <v>46</v>
      </c>
      <c r="C699">
        <v>50</v>
      </c>
      <c r="D699">
        <v>350</v>
      </c>
      <c r="E699" t="s">
        <v>1044</v>
      </c>
      <c r="F699" t="s">
        <v>1014</v>
      </c>
      <c r="G699">
        <v>50350</v>
      </c>
      <c r="H699">
        <v>50350</v>
      </c>
      <c r="I699" t="s">
        <v>1015</v>
      </c>
      <c r="J699">
        <v>5001</v>
      </c>
      <c r="K699" t="s">
        <v>1034</v>
      </c>
      <c r="L699" t="s">
        <v>80</v>
      </c>
      <c r="M699" t="s">
        <v>53</v>
      </c>
      <c r="N699">
        <v>28920</v>
      </c>
      <c r="O699" t="s">
        <v>53</v>
      </c>
      <c r="P699" t="s">
        <v>70</v>
      </c>
      <c r="Q699" t="s">
        <v>71</v>
      </c>
      <c r="R699" t="s">
        <v>56</v>
      </c>
      <c r="S699" t="s">
        <v>1039</v>
      </c>
      <c r="T699" t="s">
        <v>73</v>
      </c>
      <c r="U699" t="s">
        <v>115</v>
      </c>
      <c r="V699">
        <v>0.52941199999999999</v>
      </c>
      <c r="W699">
        <v>2022</v>
      </c>
      <c r="X699" t="s">
        <v>383</v>
      </c>
      <c r="Y699" t="s">
        <v>384</v>
      </c>
      <c r="Z699" t="str">
        <f t="shared" si="20"/>
        <v>Mayor que 3 - hasta 5</v>
      </c>
      <c r="AA699">
        <f t="shared" si="21"/>
        <v>0</v>
      </c>
      <c r="AB699">
        <v>50350</v>
      </c>
      <c r="AC699" t="s">
        <v>591</v>
      </c>
      <c r="AD699" t="s">
        <v>604</v>
      </c>
      <c r="AE699">
        <v>3.8973140000000002</v>
      </c>
      <c r="AF699" t="s">
        <v>84</v>
      </c>
      <c r="AG699">
        <v>139.837886</v>
      </c>
      <c r="AH699" t="s">
        <v>1040</v>
      </c>
      <c r="AI699" t="s">
        <v>1041</v>
      </c>
      <c r="AJ699">
        <v>6.4934310000000002</v>
      </c>
      <c r="AK699" t="s">
        <v>354</v>
      </c>
      <c r="AL699">
        <v>183.262359</v>
      </c>
      <c r="AM699" t="s">
        <v>64</v>
      </c>
      <c r="AN699" s="7">
        <v>64189.542747914376</v>
      </c>
      <c r="AO699" t="s">
        <v>64</v>
      </c>
      <c r="AP699" s="3">
        <v>905</v>
      </c>
      <c r="AQ699">
        <v>3</v>
      </c>
      <c r="AR699">
        <v>136025.34204700001</v>
      </c>
      <c r="AS699" t="s">
        <v>66</v>
      </c>
      <c r="AT699" t="s">
        <v>137</v>
      </c>
    </row>
    <row r="700" spans="1:46">
      <c r="A700">
        <v>919</v>
      </c>
      <c r="B700" t="s">
        <v>46</v>
      </c>
      <c r="C700">
        <v>50</v>
      </c>
      <c r="D700">
        <v>370</v>
      </c>
      <c r="E700" t="s">
        <v>1045</v>
      </c>
      <c r="F700" t="s">
        <v>1014</v>
      </c>
      <c r="G700">
        <v>50370</v>
      </c>
      <c r="H700">
        <v>50370</v>
      </c>
      <c r="I700" t="s">
        <v>1015</v>
      </c>
      <c r="J700">
        <v>5001</v>
      </c>
      <c r="K700" t="s">
        <v>1034</v>
      </c>
      <c r="L700" t="s">
        <v>80</v>
      </c>
      <c r="M700" t="s">
        <v>53</v>
      </c>
      <c r="N700">
        <v>9989</v>
      </c>
      <c r="O700" t="s">
        <v>53</v>
      </c>
      <c r="P700" t="s">
        <v>70</v>
      </c>
      <c r="Q700" t="s">
        <v>71</v>
      </c>
      <c r="R700" t="s">
        <v>105</v>
      </c>
      <c r="S700" t="s">
        <v>1039</v>
      </c>
      <c r="T700" t="s">
        <v>73</v>
      </c>
      <c r="U700" t="s">
        <v>115</v>
      </c>
      <c r="V700">
        <v>0.67800000000000005</v>
      </c>
      <c r="W700">
        <v>2022</v>
      </c>
      <c r="X700" t="s">
        <v>345</v>
      </c>
      <c r="Y700" t="s">
        <v>346</v>
      </c>
      <c r="Z700" t="str">
        <f t="shared" si="20"/>
        <v>Mayor que 8 - hasta 10</v>
      </c>
      <c r="AA700">
        <f t="shared" si="21"/>
        <v>0</v>
      </c>
      <c r="AB700">
        <v>50370</v>
      </c>
      <c r="AC700" t="s">
        <v>512</v>
      </c>
      <c r="AD700" t="s">
        <v>197</v>
      </c>
      <c r="AE700">
        <v>2.2717480000000001</v>
      </c>
      <c r="AF700" t="s">
        <v>77</v>
      </c>
      <c r="AG700">
        <v>106.111688</v>
      </c>
      <c r="AH700" t="s">
        <v>512</v>
      </c>
      <c r="AI700" t="s">
        <v>513</v>
      </c>
      <c r="AJ700">
        <v>3.8900130000000002</v>
      </c>
      <c r="AK700" t="s">
        <v>84</v>
      </c>
      <c r="AL700">
        <v>188.791291</v>
      </c>
      <c r="AM700" t="s">
        <v>64</v>
      </c>
      <c r="AN700" s="7">
        <v>24.264544866995699</v>
      </c>
      <c r="AO700" t="s">
        <v>64</v>
      </c>
      <c r="AP700" s="3">
        <v>20</v>
      </c>
      <c r="AQ700">
        <v>3</v>
      </c>
      <c r="AR700">
        <v>62405.800028999998</v>
      </c>
      <c r="AS700" t="s">
        <v>66</v>
      </c>
      <c r="AT700" t="s">
        <v>137</v>
      </c>
    </row>
    <row r="701" spans="1:46">
      <c r="A701">
        <v>920</v>
      </c>
      <c r="B701" t="s">
        <v>46</v>
      </c>
      <c r="C701">
        <v>50</v>
      </c>
      <c r="D701">
        <v>400</v>
      </c>
      <c r="E701" t="s">
        <v>1046</v>
      </c>
      <c r="F701" t="s">
        <v>1014</v>
      </c>
      <c r="G701">
        <v>50400</v>
      </c>
      <c r="H701">
        <v>50400</v>
      </c>
      <c r="I701" t="s">
        <v>1015</v>
      </c>
      <c r="J701">
        <v>5001</v>
      </c>
      <c r="K701" t="s">
        <v>1034</v>
      </c>
      <c r="L701" t="s">
        <v>69</v>
      </c>
      <c r="M701" t="s">
        <v>53</v>
      </c>
      <c r="N701">
        <v>12378</v>
      </c>
      <c r="O701" t="s">
        <v>53</v>
      </c>
      <c r="P701" t="s">
        <v>70</v>
      </c>
      <c r="Q701" t="s">
        <v>71</v>
      </c>
      <c r="R701" t="s">
        <v>122</v>
      </c>
      <c r="S701" t="s">
        <v>57</v>
      </c>
      <c r="T701" t="s">
        <v>73</v>
      </c>
      <c r="U701" t="s">
        <v>101</v>
      </c>
      <c r="V701">
        <v>0.529918</v>
      </c>
      <c r="W701">
        <v>2022</v>
      </c>
      <c r="X701" t="s">
        <v>176</v>
      </c>
      <c r="Y701" t="s">
        <v>177</v>
      </c>
      <c r="Z701" t="str">
        <f t="shared" si="20"/>
        <v>Mayor que 20 - hasta 30</v>
      </c>
      <c r="AA701">
        <f t="shared" si="21"/>
        <v>0</v>
      </c>
      <c r="AB701">
        <v>50400</v>
      </c>
      <c r="AC701" t="s">
        <v>512</v>
      </c>
      <c r="AD701" t="s">
        <v>197</v>
      </c>
      <c r="AE701">
        <v>1.2971349999999999</v>
      </c>
      <c r="AF701" t="s">
        <v>76</v>
      </c>
      <c r="AG701">
        <v>49.416147000000002</v>
      </c>
      <c r="AH701" t="s">
        <v>512</v>
      </c>
      <c r="AI701" t="s">
        <v>513</v>
      </c>
      <c r="AJ701">
        <v>2.9153989999999999</v>
      </c>
      <c r="AK701" t="s">
        <v>77</v>
      </c>
      <c r="AL701">
        <v>132.09575000000001</v>
      </c>
      <c r="AM701" t="s">
        <v>65</v>
      </c>
      <c r="AN701" s="7">
        <v>4226.4822296110224</v>
      </c>
      <c r="AO701" t="s">
        <v>65</v>
      </c>
      <c r="AP701" s="3">
        <v>931</v>
      </c>
      <c r="AQ701">
        <v>3</v>
      </c>
      <c r="AR701">
        <v>7417.3985919999996</v>
      </c>
      <c r="AS701" t="s">
        <v>66</v>
      </c>
      <c r="AT701" t="s">
        <v>137</v>
      </c>
    </row>
    <row r="702" spans="1:46">
      <c r="A702">
        <v>921</v>
      </c>
      <c r="B702" t="s">
        <v>46</v>
      </c>
      <c r="C702">
        <v>50</v>
      </c>
      <c r="D702">
        <v>450</v>
      </c>
      <c r="E702" t="s">
        <v>1047</v>
      </c>
      <c r="F702" t="s">
        <v>1014</v>
      </c>
      <c r="G702">
        <v>50450</v>
      </c>
      <c r="H702">
        <v>50450</v>
      </c>
      <c r="I702" t="s">
        <v>1015</v>
      </c>
      <c r="J702">
        <v>5001</v>
      </c>
      <c r="K702" t="s">
        <v>1034</v>
      </c>
      <c r="L702" t="s">
        <v>69</v>
      </c>
      <c r="M702" t="s">
        <v>53</v>
      </c>
      <c r="N702">
        <v>9038</v>
      </c>
      <c r="O702" t="s">
        <v>53</v>
      </c>
      <c r="P702" t="s">
        <v>70</v>
      </c>
      <c r="Q702" t="s">
        <v>71</v>
      </c>
      <c r="R702" t="s">
        <v>122</v>
      </c>
      <c r="S702" t="s">
        <v>1039</v>
      </c>
      <c r="T702" t="s">
        <v>73</v>
      </c>
      <c r="U702" t="s">
        <v>101</v>
      </c>
      <c r="V702">
        <v>0.84628499999999995</v>
      </c>
      <c r="W702">
        <v>2022</v>
      </c>
      <c r="X702" t="s">
        <v>361</v>
      </c>
      <c r="Y702" t="s">
        <v>362</v>
      </c>
      <c r="Z702" t="str">
        <f t="shared" si="20"/>
        <v>Mayor que 5 - hasta 8</v>
      </c>
      <c r="AA702">
        <f t="shared" si="21"/>
        <v>0</v>
      </c>
      <c r="AB702">
        <v>50450</v>
      </c>
      <c r="AC702" t="s">
        <v>1040</v>
      </c>
      <c r="AD702" t="s">
        <v>1041</v>
      </c>
      <c r="AE702">
        <v>0.60940899999999998</v>
      </c>
      <c r="AF702" t="s">
        <v>63</v>
      </c>
      <c r="AG702">
        <v>24.337973000000002</v>
      </c>
      <c r="AH702" t="s">
        <v>1040</v>
      </c>
      <c r="AI702" t="s">
        <v>1041</v>
      </c>
      <c r="AJ702">
        <v>0.59144300000000005</v>
      </c>
      <c r="AK702" t="s">
        <v>63</v>
      </c>
      <c r="AL702">
        <v>23.813707999999998</v>
      </c>
      <c r="AM702" t="s">
        <v>97</v>
      </c>
      <c r="AN702" s="7">
        <v>51295.088633374377</v>
      </c>
      <c r="AO702" t="s">
        <v>64</v>
      </c>
      <c r="AP702" s="3">
        <v>395</v>
      </c>
      <c r="AQ702">
        <v>2</v>
      </c>
      <c r="AR702">
        <v>44773.091693000002</v>
      </c>
      <c r="AS702" t="s">
        <v>66</v>
      </c>
      <c r="AT702" t="s">
        <v>137</v>
      </c>
    </row>
    <row r="703" spans="1:46">
      <c r="A703">
        <v>933</v>
      </c>
      <c r="B703" t="s">
        <v>46</v>
      </c>
      <c r="C703">
        <v>50</v>
      </c>
      <c r="D703">
        <v>568</v>
      </c>
      <c r="E703" t="s">
        <v>1048</v>
      </c>
      <c r="F703" t="s">
        <v>1014</v>
      </c>
      <c r="G703">
        <v>50568</v>
      </c>
      <c r="H703">
        <v>50568</v>
      </c>
      <c r="I703" t="s">
        <v>1015</v>
      </c>
      <c r="J703">
        <v>5004</v>
      </c>
      <c r="K703" t="s">
        <v>1024</v>
      </c>
      <c r="L703" t="s">
        <v>80</v>
      </c>
      <c r="M703" t="s">
        <v>53</v>
      </c>
      <c r="N703">
        <v>45511</v>
      </c>
      <c r="O703" t="s">
        <v>53</v>
      </c>
      <c r="P703" t="s">
        <v>92</v>
      </c>
      <c r="Q703" t="s">
        <v>134</v>
      </c>
      <c r="R703" t="s">
        <v>122</v>
      </c>
      <c r="S703" t="s">
        <v>57</v>
      </c>
      <c r="T703" t="s">
        <v>73</v>
      </c>
      <c r="U703" t="s">
        <v>101</v>
      </c>
      <c r="V703">
        <v>0.48618400000000001</v>
      </c>
      <c r="W703">
        <v>2022</v>
      </c>
      <c r="X703" t="s">
        <v>339</v>
      </c>
      <c r="Y703" t="s">
        <v>340</v>
      </c>
      <c r="Z703" t="str">
        <f t="shared" si="20"/>
        <v>Mayor que 10 - hasta 15</v>
      </c>
      <c r="AA703">
        <f t="shared" si="21"/>
        <v>0</v>
      </c>
      <c r="AB703">
        <v>50568</v>
      </c>
      <c r="AC703" t="s">
        <v>512</v>
      </c>
      <c r="AD703" t="s">
        <v>513</v>
      </c>
      <c r="AE703">
        <v>3.9544820000000001</v>
      </c>
      <c r="AF703" t="s">
        <v>84</v>
      </c>
      <c r="AG703">
        <v>200.03393199999999</v>
      </c>
      <c r="AH703" t="s">
        <v>512</v>
      </c>
      <c r="AI703" t="s">
        <v>513</v>
      </c>
      <c r="AJ703">
        <v>3.9292889999999998</v>
      </c>
      <c r="AK703" t="s">
        <v>84</v>
      </c>
      <c r="AL703">
        <v>200.89961700000001</v>
      </c>
      <c r="AM703" t="s">
        <v>97</v>
      </c>
      <c r="AN703" s="7">
        <v>25101.4886373433</v>
      </c>
      <c r="AO703" t="s">
        <v>65</v>
      </c>
      <c r="AP703" s="3">
        <v>234</v>
      </c>
      <c r="AQ703">
        <v>4</v>
      </c>
      <c r="AR703">
        <v>22802.510536999998</v>
      </c>
      <c r="AS703" t="s">
        <v>66</v>
      </c>
      <c r="AT703" t="s">
        <v>137</v>
      </c>
    </row>
    <row r="704" spans="1:46">
      <c r="A704">
        <v>922</v>
      </c>
      <c r="B704" t="s">
        <v>46</v>
      </c>
      <c r="C704">
        <v>50</v>
      </c>
      <c r="D704">
        <v>573</v>
      </c>
      <c r="E704" t="s">
        <v>1049</v>
      </c>
      <c r="F704" t="s">
        <v>1014</v>
      </c>
      <c r="G704">
        <v>50573</v>
      </c>
      <c r="H704">
        <v>50573</v>
      </c>
      <c r="I704" t="s">
        <v>1015</v>
      </c>
      <c r="J704">
        <v>5004</v>
      </c>
      <c r="K704" t="s">
        <v>1024</v>
      </c>
      <c r="L704" t="s">
        <v>80</v>
      </c>
      <c r="M704" t="s">
        <v>53</v>
      </c>
      <c r="N704">
        <v>33079</v>
      </c>
      <c r="O704" t="s">
        <v>53</v>
      </c>
      <c r="P704" t="s">
        <v>92</v>
      </c>
      <c r="Q704" t="s">
        <v>134</v>
      </c>
      <c r="R704" t="s">
        <v>122</v>
      </c>
      <c r="S704" t="s">
        <v>57</v>
      </c>
      <c r="T704" t="s">
        <v>58</v>
      </c>
      <c r="U704" t="s">
        <v>119</v>
      </c>
      <c r="V704">
        <v>0.40722900000000001</v>
      </c>
      <c r="W704">
        <v>2022</v>
      </c>
      <c r="X704" t="s">
        <v>109</v>
      </c>
      <c r="Y704" t="s">
        <v>110</v>
      </c>
      <c r="Z704" t="str">
        <f t="shared" si="20"/>
        <v>Mayor que 30 - hasta 40</v>
      </c>
      <c r="AA704">
        <f t="shared" si="21"/>
        <v>0</v>
      </c>
      <c r="AB704">
        <v>50573</v>
      </c>
      <c r="AC704" t="s">
        <v>512</v>
      </c>
      <c r="AD704" t="s">
        <v>513</v>
      </c>
      <c r="AE704">
        <v>1.7617020000000001</v>
      </c>
      <c r="AF704" t="s">
        <v>76</v>
      </c>
      <c r="AG704">
        <v>86.973715999999996</v>
      </c>
      <c r="AH704" t="s">
        <v>512</v>
      </c>
      <c r="AI704" t="s">
        <v>513</v>
      </c>
      <c r="AJ704">
        <v>1.73651</v>
      </c>
      <c r="AK704" t="s">
        <v>76</v>
      </c>
      <c r="AL704">
        <v>87.839400999999995</v>
      </c>
      <c r="AM704" t="s">
        <v>97</v>
      </c>
      <c r="AN704" s="7">
        <v>32835.255337614231</v>
      </c>
      <c r="AO704" t="s">
        <v>65</v>
      </c>
      <c r="AP704" s="3">
        <v>1135</v>
      </c>
      <c r="AQ704">
        <v>2</v>
      </c>
      <c r="AR704">
        <v>44977.591917999998</v>
      </c>
      <c r="AS704" t="s">
        <v>66</v>
      </c>
      <c r="AT704" t="s">
        <v>137</v>
      </c>
    </row>
    <row r="705" spans="1:46">
      <c r="A705">
        <v>923</v>
      </c>
      <c r="B705" t="s">
        <v>46</v>
      </c>
      <c r="C705">
        <v>50</v>
      </c>
      <c r="D705">
        <v>577</v>
      </c>
      <c r="E705" t="s">
        <v>1050</v>
      </c>
      <c r="F705" t="s">
        <v>1014</v>
      </c>
      <c r="G705">
        <v>50577</v>
      </c>
      <c r="H705">
        <v>50577</v>
      </c>
      <c r="I705" t="s">
        <v>1015</v>
      </c>
      <c r="J705">
        <v>5001</v>
      </c>
      <c r="K705" t="s">
        <v>1034</v>
      </c>
      <c r="L705" t="s">
        <v>80</v>
      </c>
      <c r="M705" t="s">
        <v>53</v>
      </c>
      <c r="N705">
        <v>11300</v>
      </c>
      <c r="O705" t="s">
        <v>53</v>
      </c>
      <c r="P705" t="s">
        <v>70</v>
      </c>
      <c r="Q705" t="s">
        <v>71</v>
      </c>
      <c r="R705" t="s">
        <v>122</v>
      </c>
      <c r="S705" t="s">
        <v>1039</v>
      </c>
      <c r="T705" t="s">
        <v>73</v>
      </c>
      <c r="U705" t="s">
        <v>101</v>
      </c>
      <c r="V705">
        <v>0.489566</v>
      </c>
      <c r="W705">
        <v>2022</v>
      </c>
      <c r="X705" t="s">
        <v>345</v>
      </c>
      <c r="Y705" t="s">
        <v>346</v>
      </c>
      <c r="Z705" t="str">
        <f t="shared" si="20"/>
        <v>Mayor que 8 - hasta 10</v>
      </c>
      <c r="AA705">
        <f t="shared" si="21"/>
        <v>0</v>
      </c>
      <c r="AB705">
        <v>50577</v>
      </c>
      <c r="AC705" t="s">
        <v>512</v>
      </c>
      <c r="AD705" t="s">
        <v>197</v>
      </c>
      <c r="AE705">
        <v>1.112959</v>
      </c>
      <c r="AF705" t="s">
        <v>76</v>
      </c>
      <c r="AG705">
        <v>58.241124999999997</v>
      </c>
      <c r="AH705" t="s">
        <v>512</v>
      </c>
      <c r="AI705" t="s">
        <v>513</v>
      </c>
      <c r="AJ705">
        <v>2.8171590000000002</v>
      </c>
      <c r="AK705" t="s">
        <v>77</v>
      </c>
      <c r="AL705">
        <v>145.41778500000001</v>
      </c>
      <c r="AM705" t="s">
        <v>64</v>
      </c>
      <c r="AN705" s="7">
        <v>29388.83396024942</v>
      </c>
      <c r="AO705" t="s">
        <v>64</v>
      </c>
      <c r="AP705" s="3">
        <v>515</v>
      </c>
      <c r="AQ705">
        <v>2</v>
      </c>
      <c r="AR705">
        <v>23647.102922999999</v>
      </c>
      <c r="AS705" t="s">
        <v>66</v>
      </c>
      <c r="AT705" t="s">
        <v>137</v>
      </c>
    </row>
    <row r="706" spans="1:46">
      <c r="A706">
        <v>924</v>
      </c>
      <c r="B706" t="s">
        <v>46</v>
      </c>
      <c r="C706">
        <v>50</v>
      </c>
      <c r="D706">
        <v>590</v>
      </c>
      <c r="E706" t="s">
        <v>603</v>
      </c>
      <c r="F706" t="s">
        <v>1014</v>
      </c>
      <c r="G706">
        <v>50590</v>
      </c>
      <c r="H706">
        <v>50590</v>
      </c>
      <c r="I706" t="s">
        <v>1015</v>
      </c>
      <c r="J706">
        <v>5001</v>
      </c>
      <c r="K706" t="s">
        <v>1034</v>
      </c>
      <c r="L706" t="s">
        <v>80</v>
      </c>
      <c r="M706" t="s">
        <v>53</v>
      </c>
      <c r="N706">
        <v>13663</v>
      </c>
      <c r="O706" t="s">
        <v>53</v>
      </c>
      <c r="P706" t="s">
        <v>70</v>
      </c>
      <c r="Q706" t="s">
        <v>71</v>
      </c>
      <c r="R706" t="s">
        <v>56</v>
      </c>
      <c r="S706" t="s">
        <v>1039</v>
      </c>
      <c r="T706" t="s">
        <v>73</v>
      </c>
      <c r="U706" t="s">
        <v>115</v>
      </c>
      <c r="V706">
        <v>0.747224</v>
      </c>
      <c r="W706">
        <v>2022</v>
      </c>
      <c r="X706" t="s">
        <v>361</v>
      </c>
      <c r="Y706" t="s">
        <v>362</v>
      </c>
      <c r="Z706" t="str">
        <f t="shared" si="20"/>
        <v>Mayor que 5 - hasta 8</v>
      </c>
      <c r="AA706">
        <f t="shared" si="21"/>
        <v>0</v>
      </c>
      <c r="AB706">
        <v>50590</v>
      </c>
      <c r="AC706" t="s">
        <v>512</v>
      </c>
      <c r="AD706" t="s">
        <v>197</v>
      </c>
      <c r="AE706">
        <v>2.5761319999999999</v>
      </c>
      <c r="AF706" t="s">
        <v>77</v>
      </c>
      <c r="AG706">
        <v>124.787633</v>
      </c>
      <c r="AH706" t="s">
        <v>1040</v>
      </c>
      <c r="AI706" t="s">
        <v>1041</v>
      </c>
      <c r="AJ706">
        <v>2.660949</v>
      </c>
      <c r="AK706" t="s">
        <v>77</v>
      </c>
      <c r="AL706">
        <v>123.236667</v>
      </c>
      <c r="AM706" t="s">
        <v>97</v>
      </c>
      <c r="AN706" s="7">
        <v>51476.064719957183</v>
      </c>
      <c r="AO706" t="s">
        <v>64</v>
      </c>
      <c r="AP706" s="3">
        <v>467</v>
      </c>
      <c r="AQ706">
        <v>2</v>
      </c>
      <c r="AR706">
        <v>49473.762275000001</v>
      </c>
      <c r="AS706" t="s">
        <v>66</v>
      </c>
      <c r="AT706" t="s">
        <v>137</v>
      </c>
    </row>
    <row r="707" spans="1:46">
      <c r="A707">
        <v>925</v>
      </c>
      <c r="B707" t="s">
        <v>46</v>
      </c>
      <c r="C707">
        <v>50</v>
      </c>
      <c r="D707">
        <v>606</v>
      </c>
      <c r="E707" t="s">
        <v>1051</v>
      </c>
      <c r="F707" t="s">
        <v>1014</v>
      </c>
      <c r="G707">
        <v>50606</v>
      </c>
      <c r="H707">
        <v>50606</v>
      </c>
      <c r="I707" t="s">
        <v>1015</v>
      </c>
      <c r="J707">
        <v>5003</v>
      </c>
      <c r="K707" t="s">
        <v>1019</v>
      </c>
      <c r="L707" t="s">
        <v>69</v>
      </c>
      <c r="M707" t="s">
        <v>53</v>
      </c>
      <c r="N707">
        <v>19890</v>
      </c>
      <c r="O707" t="s">
        <v>53</v>
      </c>
      <c r="P707" t="s">
        <v>70</v>
      </c>
      <c r="Q707" t="s">
        <v>71</v>
      </c>
      <c r="R707" t="s">
        <v>93</v>
      </c>
      <c r="S707" t="s">
        <v>57</v>
      </c>
      <c r="T707" t="s">
        <v>58</v>
      </c>
      <c r="U707" t="s">
        <v>59</v>
      </c>
      <c r="V707">
        <v>0.29450999999999999</v>
      </c>
      <c r="W707">
        <v>2022</v>
      </c>
      <c r="X707" t="s">
        <v>217</v>
      </c>
      <c r="Y707" t="s">
        <v>139</v>
      </c>
      <c r="Z707" t="str">
        <f t="shared" ref="Z707:Z770" si="22">IF(LEFT(Y707,10)="Irradiado_",
   RIGHT(Y707, LEN(Y707)-10),   Y707)</f>
        <v>Mayor que 300 - hasta 400</v>
      </c>
      <c r="AA707">
        <f t="shared" ref="AA707:AA770" si="23">IF(LEFT(Y707,10)="Irradiado_", 1, 0)</f>
        <v>1</v>
      </c>
      <c r="AB707">
        <v>50606</v>
      </c>
      <c r="AC707" t="s">
        <v>512</v>
      </c>
      <c r="AD707" t="s">
        <v>513</v>
      </c>
      <c r="AE707">
        <v>0.44329000000000002</v>
      </c>
      <c r="AF707" t="s">
        <v>63</v>
      </c>
      <c r="AG707">
        <v>19.452186000000001</v>
      </c>
      <c r="AH707" t="s">
        <v>512</v>
      </c>
      <c r="AI707" t="s">
        <v>513</v>
      </c>
      <c r="AJ707">
        <v>0.37412499999999999</v>
      </c>
      <c r="AK707" t="s">
        <v>63</v>
      </c>
      <c r="AL707">
        <v>17.962236999999998</v>
      </c>
      <c r="AM707" t="s">
        <v>64</v>
      </c>
      <c r="AN707" s="7">
        <v>1909.4282649940039</v>
      </c>
      <c r="AO707" t="s">
        <v>65</v>
      </c>
      <c r="AP707" s="3">
        <v>241</v>
      </c>
      <c r="AQ707">
        <v>4</v>
      </c>
      <c r="AR707">
        <v>2817.1679819999999</v>
      </c>
      <c r="AS707" t="s">
        <v>66</v>
      </c>
      <c r="AT707" t="s">
        <v>1052</v>
      </c>
    </row>
    <row r="708" spans="1:46">
      <c r="A708">
        <v>926</v>
      </c>
      <c r="B708" t="s">
        <v>46</v>
      </c>
      <c r="C708">
        <v>50</v>
      </c>
      <c r="D708">
        <v>680</v>
      </c>
      <c r="E708" t="s">
        <v>1053</v>
      </c>
      <c r="F708" t="s">
        <v>1014</v>
      </c>
      <c r="G708">
        <v>50680</v>
      </c>
      <c r="H708">
        <v>50680</v>
      </c>
      <c r="I708" t="s">
        <v>1015</v>
      </c>
      <c r="J708">
        <v>5003</v>
      </c>
      <c r="K708" t="s">
        <v>1019</v>
      </c>
      <c r="L708" t="s">
        <v>69</v>
      </c>
      <c r="M708" t="s">
        <v>53</v>
      </c>
      <c r="N708">
        <v>13433</v>
      </c>
      <c r="O708" t="s">
        <v>53</v>
      </c>
      <c r="P708" t="s">
        <v>70</v>
      </c>
      <c r="Q708" t="s">
        <v>71</v>
      </c>
      <c r="R708" t="s">
        <v>56</v>
      </c>
      <c r="S708" t="s">
        <v>57</v>
      </c>
      <c r="T708" t="s">
        <v>58</v>
      </c>
      <c r="U708" t="s">
        <v>59</v>
      </c>
      <c r="V708">
        <v>0.19614100000000001</v>
      </c>
      <c r="W708">
        <v>2022</v>
      </c>
      <c r="X708" t="s">
        <v>109</v>
      </c>
      <c r="Y708" t="s">
        <v>110</v>
      </c>
      <c r="Z708" t="str">
        <f t="shared" si="22"/>
        <v>Mayor que 30 - hasta 40</v>
      </c>
      <c r="AA708">
        <f t="shared" si="23"/>
        <v>0</v>
      </c>
      <c r="AB708">
        <v>50680</v>
      </c>
      <c r="AC708" t="s">
        <v>512</v>
      </c>
      <c r="AD708" t="s">
        <v>1020</v>
      </c>
      <c r="AE708">
        <v>2.0664150000000001</v>
      </c>
      <c r="AF708" t="s">
        <v>77</v>
      </c>
      <c r="AG708">
        <v>76.131074999999996</v>
      </c>
      <c r="AH708" t="s">
        <v>512</v>
      </c>
      <c r="AI708" t="s">
        <v>513</v>
      </c>
      <c r="AJ708">
        <v>2.2651720000000002</v>
      </c>
      <c r="AK708" t="s">
        <v>77</v>
      </c>
      <c r="AL708">
        <v>89.967827999999997</v>
      </c>
      <c r="AM708" t="s">
        <v>97</v>
      </c>
      <c r="AN708" s="7">
        <v>921.4271529184831</v>
      </c>
      <c r="AO708" t="s">
        <v>65</v>
      </c>
      <c r="AP708" s="3">
        <v>174</v>
      </c>
      <c r="AQ708">
        <v>2</v>
      </c>
      <c r="AR708">
        <v>1034.1224239999999</v>
      </c>
      <c r="AS708" t="s">
        <v>66</v>
      </c>
      <c r="AT708" t="s">
        <v>137</v>
      </c>
    </row>
    <row r="709" spans="1:46">
      <c r="A709">
        <v>927</v>
      </c>
      <c r="B709" t="s">
        <v>46</v>
      </c>
      <c r="C709">
        <v>50</v>
      </c>
      <c r="D709">
        <v>683</v>
      </c>
      <c r="E709" t="s">
        <v>1054</v>
      </c>
      <c r="F709" t="s">
        <v>1014</v>
      </c>
      <c r="G709">
        <v>50683</v>
      </c>
      <c r="H709">
        <v>50683</v>
      </c>
      <c r="I709" t="s">
        <v>1015</v>
      </c>
      <c r="J709">
        <v>5001</v>
      </c>
      <c r="K709" t="s">
        <v>1034</v>
      </c>
      <c r="L709" t="s">
        <v>80</v>
      </c>
      <c r="M709" t="s">
        <v>53</v>
      </c>
      <c r="N709">
        <v>9862</v>
      </c>
      <c r="O709" t="s">
        <v>53</v>
      </c>
      <c r="P709" t="s">
        <v>70</v>
      </c>
      <c r="Q709" t="s">
        <v>71</v>
      </c>
      <c r="R709" t="s">
        <v>122</v>
      </c>
      <c r="S709" t="s">
        <v>57</v>
      </c>
      <c r="T709" t="s">
        <v>73</v>
      </c>
      <c r="U709" t="s">
        <v>115</v>
      </c>
      <c r="V709">
        <v>0.49171300000000001</v>
      </c>
      <c r="W709">
        <v>2022</v>
      </c>
      <c r="X709" t="s">
        <v>176</v>
      </c>
      <c r="Y709" t="s">
        <v>177</v>
      </c>
      <c r="Z709" t="str">
        <f t="shared" si="22"/>
        <v>Mayor que 20 - hasta 30</v>
      </c>
      <c r="AA709">
        <f t="shared" si="23"/>
        <v>0</v>
      </c>
      <c r="AB709">
        <v>50683</v>
      </c>
      <c r="AC709" t="s">
        <v>512</v>
      </c>
      <c r="AD709" t="s">
        <v>197</v>
      </c>
      <c r="AE709">
        <v>0.77396500000000001</v>
      </c>
      <c r="AF709" t="s">
        <v>63</v>
      </c>
      <c r="AG709">
        <v>37.253405000000001</v>
      </c>
      <c r="AH709" t="s">
        <v>512</v>
      </c>
      <c r="AI709" t="s">
        <v>513</v>
      </c>
      <c r="AJ709">
        <v>2.3922289999999999</v>
      </c>
      <c r="AK709" t="s">
        <v>77</v>
      </c>
      <c r="AL709">
        <v>119.933009</v>
      </c>
      <c r="AM709" t="s">
        <v>64</v>
      </c>
      <c r="AN709" s="7">
        <v>1789.0059475300959</v>
      </c>
      <c r="AO709" t="s">
        <v>65</v>
      </c>
      <c r="AP709" s="3">
        <v>202</v>
      </c>
      <c r="AQ709">
        <v>3</v>
      </c>
      <c r="AR709">
        <v>1763.6675439999999</v>
      </c>
      <c r="AS709" t="s">
        <v>66</v>
      </c>
      <c r="AT709" t="s">
        <v>137</v>
      </c>
    </row>
    <row r="710" spans="1:46">
      <c r="A710">
        <v>928</v>
      </c>
      <c r="B710" t="s">
        <v>46</v>
      </c>
      <c r="C710">
        <v>50</v>
      </c>
      <c r="D710">
        <v>686</v>
      </c>
      <c r="E710" t="s">
        <v>1055</v>
      </c>
      <c r="F710" t="s">
        <v>1014</v>
      </c>
      <c r="G710">
        <v>50686</v>
      </c>
      <c r="H710">
        <v>50686</v>
      </c>
      <c r="I710" t="s">
        <v>1015</v>
      </c>
      <c r="J710">
        <v>5003</v>
      </c>
      <c r="K710" t="s">
        <v>1019</v>
      </c>
      <c r="L710" t="s">
        <v>69</v>
      </c>
      <c r="M710" t="s">
        <v>53</v>
      </c>
      <c r="N710">
        <v>1385</v>
      </c>
      <c r="O710" t="s">
        <v>53</v>
      </c>
      <c r="P710" t="s">
        <v>70</v>
      </c>
      <c r="Q710" t="s">
        <v>71</v>
      </c>
      <c r="R710" t="s">
        <v>72</v>
      </c>
      <c r="S710" t="s">
        <v>57</v>
      </c>
      <c r="T710" t="s">
        <v>73</v>
      </c>
      <c r="U710" t="s">
        <v>59</v>
      </c>
      <c r="V710">
        <v>0.72727299999999995</v>
      </c>
      <c r="W710">
        <v>2022</v>
      </c>
      <c r="X710" t="s">
        <v>109</v>
      </c>
      <c r="Y710" t="s">
        <v>110</v>
      </c>
      <c r="Z710" t="str">
        <f t="shared" si="22"/>
        <v>Mayor que 30 - hasta 40</v>
      </c>
      <c r="AA710">
        <f t="shared" si="23"/>
        <v>0</v>
      </c>
      <c r="AB710">
        <v>50686</v>
      </c>
      <c r="AC710" t="s">
        <v>512</v>
      </c>
      <c r="AD710" t="s">
        <v>513</v>
      </c>
      <c r="AE710">
        <v>2.791995</v>
      </c>
      <c r="AF710" t="s">
        <v>77</v>
      </c>
      <c r="AG710">
        <v>76.250670999999997</v>
      </c>
      <c r="AH710" t="s">
        <v>512</v>
      </c>
      <c r="AI710" t="s">
        <v>513</v>
      </c>
      <c r="AJ710">
        <v>2.7228300000000001</v>
      </c>
      <c r="AK710" t="s">
        <v>77</v>
      </c>
      <c r="AL710">
        <v>74.760721000000004</v>
      </c>
      <c r="AM710" t="s">
        <v>65</v>
      </c>
      <c r="AN710" s="7">
        <v>774.72332692970031</v>
      </c>
      <c r="AO710" t="s">
        <v>65</v>
      </c>
      <c r="AP710" s="3">
        <v>239</v>
      </c>
      <c r="AQ710">
        <v>3</v>
      </c>
      <c r="AR710">
        <v>949.51657399999999</v>
      </c>
      <c r="AS710" t="s">
        <v>66</v>
      </c>
      <c r="AT710" t="s">
        <v>137</v>
      </c>
    </row>
    <row r="711" spans="1:46">
      <c r="A711">
        <v>929</v>
      </c>
      <c r="B711" t="s">
        <v>46</v>
      </c>
      <c r="C711">
        <v>50</v>
      </c>
      <c r="D711">
        <v>689</v>
      </c>
      <c r="E711" t="s">
        <v>700</v>
      </c>
      <c r="F711" t="s">
        <v>1014</v>
      </c>
      <c r="G711">
        <v>50689</v>
      </c>
      <c r="H711">
        <v>50689</v>
      </c>
      <c r="I711" t="s">
        <v>1015</v>
      </c>
      <c r="J711">
        <v>5003</v>
      </c>
      <c r="K711" t="s">
        <v>1019</v>
      </c>
      <c r="L711" t="s">
        <v>80</v>
      </c>
      <c r="M711" t="s">
        <v>53</v>
      </c>
      <c r="N711">
        <v>29399</v>
      </c>
      <c r="O711" t="s">
        <v>53</v>
      </c>
      <c r="P711" t="s">
        <v>70</v>
      </c>
      <c r="Q711" t="s">
        <v>71</v>
      </c>
      <c r="R711" t="s">
        <v>122</v>
      </c>
      <c r="S711" t="s">
        <v>57</v>
      </c>
      <c r="T711" t="s">
        <v>73</v>
      </c>
      <c r="U711" t="s">
        <v>119</v>
      </c>
      <c r="V711">
        <v>0.31893199999999999</v>
      </c>
      <c r="W711">
        <v>2022</v>
      </c>
      <c r="X711" t="s">
        <v>176</v>
      </c>
      <c r="Y711" t="s">
        <v>177</v>
      </c>
      <c r="Z711" t="str">
        <f t="shared" si="22"/>
        <v>Mayor que 20 - hasta 30</v>
      </c>
      <c r="AA711">
        <f t="shared" si="23"/>
        <v>0</v>
      </c>
      <c r="AB711">
        <v>50689</v>
      </c>
      <c r="AC711" t="s">
        <v>512</v>
      </c>
      <c r="AD711" t="s">
        <v>197</v>
      </c>
      <c r="AE711">
        <v>0.43842999999999999</v>
      </c>
      <c r="AF711" t="s">
        <v>63</v>
      </c>
      <c r="AG711">
        <v>19.171068000000002</v>
      </c>
      <c r="AH711" t="s">
        <v>512</v>
      </c>
      <c r="AI711" t="s">
        <v>513</v>
      </c>
      <c r="AJ711">
        <v>1.4253769999999999</v>
      </c>
      <c r="AK711" t="s">
        <v>76</v>
      </c>
      <c r="AL711">
        <v>69.088434000000007</v>
      </c>
      <c r="AM711" t="s">
        <v>64</v>
      </c>
      <c r="AN711" s="7">
        <v>13986.81150379302</v>
      </c>
      <c r="AO711" t="s">
        <v>65</v>
      </c>
      <c r="AP711" s="3">
        <v>350</v>
      </c>
      <c r="AQ711">
        <v>2</v>
      </c>
      <c r="AR711">
        <v>22989.130926000002</v>
      </c>
      <c r="AS711" t="s">
        <v>66</v>
      </c>
      <c r="AT711" t="s">
        <v>137</v>
      </c>
    </row>
    <row r="712" spans="1:46">
      <c r="A712">
        <v>930</v>
      </c>
      <c r="B712" t="s">
        <v>46</v>
      </c>
      <c r="C712">
        <v>50</v>
      </c>
      <c r="D712">
        <v>711</v>
      </c>
      <c r="E712" t="s">
        <v>1056</v>
      </c>
      <c r="F712" t="s">
        <v>1014</v>
      </c>
      <c r="G712">
        <v>50711</v>
      </c>
      <c r="H712">
        <v>50711</v>
      </c>
      <c r="I712" t="s">
        <v>1015</v>
      </c>
      <c r="J712">
        <v>5001</v>
      </c>
      <c r="K712" t="s">
        <v>1034</v>
      </c>
      <c r="L712" t="s">
        <v>80</v>
      </c>
      <c r="M712" t="s">
        <v>53</v>
      </c>
      <c r="N712">
        <v>19112</v>
      </c>
      <c r="O712" t="s">
        <v>53</v>
      </c>
      <c r="P712" t="s">
        <v>70</v>
      </c>
      <c r="Q712" t="s">
        <v>71</v>
      </c>
      <c r="R712" t="s">
        <v>249</v>
      </c>
      <c r="S712" t="s">
        <v>1039</v>
      </c>
      <c r="T712" t="s">
        <v>73</v>
      </c>
      <c r="U712" t="s">
        <v>115</v>
      </c>
      <c r="V712">
        <v>0.72577800000000003</v>
      </c>
      <c r="W712">
        <v>2022</v>
      </c>
      <c r="X712" t="s">
        <v>339</v>
      </c>
      <c r="Y712" t="s">
        <v>340</v>
      </c>
      <c r="Z712" t="str">
        <f t="shared" si="22"/>
        <v>Mayor que 10 - hasta 15</v>
      </c>
      <c r="AA712">
        <f t="shared" si="23"/>
        <v>0</v>
      </c>
      <c r="AB712">
        <v>50711</v>
      </c>
      <c r="AC712" t="s">
        <v>512</v>
      </c>
      <c r="AD712" t="s">
        <v>197</v>
      </c>
      <c r="AE712">
        <v>1.713039</v>
      </c>
      <c r="AF712" t="s">
        <v>76</v>
      </c>
      <c r="AG712">
        <v>70.486710000000002</v>
      </c>
      <c r="AH712" t="s">
        <v>512</v>
      </c>
      <c r="AI712" t="s">
        <v>513</v>
      </c>
      <c r="AJ712">
        <v>3.331302</v>
      </c>
      <c r="AK712" t="s">
        <v>84</v>
      </c>
      <c r="AL712">
        <v>153.166313</v>
      </c>
      <c r="AM712" t="s">
        <v>64</v>
      </c>
      <c r="AN712" s="7">
        <v>12918.81410609323</v>
      </c>
      <c r="AO712" t="s">
        <v>64</v>
      </c>
      <c r="AP712" s="3">
        <v>303</v>
      </c>
      <c r="AQ712">
        <v>3</v>
      </c>
      <c r="AR712">
        <v>9127.6336460000002</v>
      </c>
      <c r="AS712" t="s">
        <v>66</v>
      </c>
      <c r="AT712" t="s">
        <v>137</v>
      </c>
    </row>
    <row r="713" spans="1:46">
      <c r="A713">
        <v>126</v>
      </c>
      <c r="B713" t="s">
        <v>46</v>
      </c>
      <c r="C713">
        <v>52</v>
      </c>
      <c r="D713">
        <v>1</v>
      </c>
      <c r="E713" t="s">
        <v>1057</v>
      </c>
      <c r="F713" t="s">
        <v>223</v>
      </c>
      <c r="G713">
        <v>52001</v>
      </c>
      <c r="H713">
        <v>52001</v>
      </c>
      <c r="I713" t="s">
        <v>49</v>
      </c>
      <c r="J713">
        <v>5201</v>
      </c>
      <c r="K713" t="s">
        <v>409</v>
      </c>
      <c r="L713" t="s">
        <v>51</v>
      </c>
      <c r="M713" t="s">
        <v>52</v>
      </c>
      <c r="N713">
        <v>410835</v>
      </c>
      <c r="O713" t="s">
        <v>53</v>
      </c>
      <c r="P713" t="s">
        <v>54</v>
      </c>
      <c r="Q713" t="s">
        <v>138</v>
      </c>
      <c r="R713" t="s">
        <v>105</v>
      </c>
      <c r="S713" t="s">
        <v>57</v>
      </c>
      <c r="T713" t="s">
        <v>58</v>
      </c>
      <c r="U713" t="s">
        <v>59</v>
      </c>
      <c r="V713">
        <v>0.33877000000000002</v>
      </c>
      <c r="W713" t="s">
        <v>53</v>
      </c>
      <c r="X713" t="s">
        <v>53</v>
      </c>
      <c r="Y713" t="s">
        <v>183</v>
      </c>
      <c r="Z713" t="str">
        <f t="shared" si="22"/>
        <v>Mayor que 120 - hasta 140</v>
      </c>
      <c r="AA713">
        <f t="shared" si="23"/>
        <v>1</v>
      </c>
      <c r="AB713">
        <v>52001</v>
      </c>
      <c r="AC713" t="s">
        <v>627</v>
      </c>
      <c r="AD713" t="s">
        <v>628</v>
      </c>
      <c r="AE713">
        <v>0</v>
      </c>
      <c r="AF713" t="s">
        <v>63</v>
      </c>
      <c r="AG713">
        <v>0</v>
      </c>
      <c r="AH713" t="s">
        <v>627</v>
      </c>
      <c r="AI713" t="s">
        <v>628</v>
      </c>
      <c r="AJ713">
        <v>0</v>
      </c>
      <c r="AK713" t="s">
        <v>63</v>
      </c>
      <c r="AL713">
        <v>0</v>
      </c>
      <c r="AM713" s="4" t="s">
        <v>65</v>
      </c>
      <c r="AN713" s="5">
        <v>23371.452526770026</v>
      </c>
      <c r="AO713" s="4" t="s">
        <v>65</v>
      </c>
      <c r="AP713" s="6">
        <v>15489</v>
      </c>
      <c r="AQ713">
        <v>4</v>
      </c>
      <c r="AR713">
        <v>14448.970294999999</v>
      </c>
      <c r="AS713" t="s">
        <v>66</v>
      </c>
      <c r="AT713" t="s">
        <v>53</v>
      </c>
    </row>
    <row r="714" spans="1:46">
      <c r="A714">
        <v>127</v>
      </c>
      <c r="B714" t="s">
        <v>46</v>
      </c>
      <c r="C714">
        <v>52</v>
      </c>
      <c r="D714">
        <v>19</v>
      </c>
      <c r="E714" t="s">
        <v>755</v>
      </c>
      <c r="F714" t="s">
        <v>223</v>
      </c>
      <c r="G714">
        <v>52019</v>
      </c>
      <c r="H714">
        <v>52019</v>
      </c>
      <c r="I714" t="s">
        <v>49</v>
      </c>
      <c r="J714">
        <v>5204</v>
      </c>
      <c r="K714" t="s">
        <v>112</v>
      </c>
      <c r="L714" t="s">
        <v>91</v>
      </c>
      <c r="M714" t="s">
        <v>53</v>
      </c>
      <c r="N714">
        <v>9993</v>
      </c>
      <c r="O714" t="s">
        <v>53</v>
      </c>
      <c r="P714" t="s">
        <v>70</v>
      </c>
      <c r="Q714" t="s">
        <v>71</v>
      </c>
      <c r="R714" t="s">
        <v>122</v>
      </c>
      <c r="S714" t="s">
        <v>57</v>
      </c>
      <c r="T714" t="s">
        <v>58</v>
      </c>
      <c r="U714" t="s">
        <v>59</v>
      </c>
      <c r="V714">
        <v>0.46049200000000001</v>
      </c>
      <c r="W714" t="s">
        <v>53</v>
      </c>
      <c r="X714" t="s">
        <v>53</v>
      </c>
      <c r="Y714" t="s">
        <v>102</v>
      </c>
      <c r="Z714" t="str">
        <f t="shared" si="22"/>
        <v>Mayor que 20 - hasta 30</v>
      </c>
      <c r="AA714">
        <f t="shared" si="23"/>
        <v>1</v>
      </c>
      <c r="AB714">
        <v>52019</v>
      </c>
      <c r="AC714" t="s">
        <v>627</v>
      </c>
      <c r="AD714" t="s">
        <v>628</v>
      </c>
      <c r="AE714">
        <v>1.6716340000000001</v>
      </c>
      <c r="AF714" t="s">
        <v>76</v>
      </c>
      <c r="AG714">
        <v>51.367114000000001</v>
      </c>
      <c r="AH714" t="s">
        <v>627</v>
      </c>
      <c r="AI714" t="s">
        <v>628</v>
      </c>
      <c r="AJ714">
        <v>1.694334</v>
      </c>
      <c r="AK714" t="s">
        <v>76</v>
      </c>
      <c r="AL714">
        <v>51.908535000000001</v>
      </c>
      <c r="AM714" s="4" t="s">
        <v>65</v>
      </c>
      <c r="AN714" s="5">
        <v>3426.568219198396</v>
      </c>
      <c r="AO714" s="4" t="s">
        <v>65</v>
      </c>
      <c r="AP714" s="6">
        <v>2321</v>
      </c>
      <c r="AQ714">
        <v>4</v>
      </c>
      <c r="AR714">
        <v>3557.8158680000001</v>
      </c>
      <c r="AS714" t="s">
        <v>66</v>
      </c>
      <c r="AT714" t="s">
        <v>53</v>
      </c>
    </row>
    <row r="715" spans="1:46">
      <c r="A715">
        <v>128</v>
      </c>
      <c r="B715" t="s">
        <v>46</v>
      </c>
      <c r="C715">
        <v>52</v>
      </c>
      <c r="D715">
        <v>22</v>
      </c>
      <c r="E715" t="s">
        <v>1058</v>
      </c>
      <c r="F715" t="s">
        <v>223</v>
      </c>
      <c r="G715">
        <v>52022</v>
      </c>
      <c r="H715">
        <v>52022</v>
      </c>
      <c r="I715" t="s">
        <v>49</v>
      </c>
      <c r="J715">
        <v>5205</v>
      </c>
      <c r="K715" t="s">
        <v>297</v>
      </c>
      <c r="L715" t="s">
        <v>69</v>
      </c>
      <c r="M715" t="s">
        <v>53</v>
      </c>
      <c r="N715">
        <v>7734</v>
      </c>
      <c r="O715" t="s">
        <v>53</v>
      </c>
      <c r="P715" t="s">
        <v>70</v>
      </c>
      <c r="Q715" t="s">
        <v>71</v>
      </c>
      <c r="R715" t="s">
        <v>72</v>
      </c>
      <c r="S715" t="s">
        <v>57</v>
      </c>
      <c r="T715" t="s">
        <v>58</v>
      </c>
      <c r="U715" t="s">
        <v>81</v>
      </c>
      <c r="V715">
        <v>0.704986</v>
      </c>
      <c r="W715" t="s">
        <v>53</v>
      </c>
      <c r="X715" t="s">
        <v>53</v>
      </c>
      <c r="Y715" t="s">
        <v>82</v>
      </c>
      <c r="Z715" t="str">
        <f t="shared" si="22"/>
        <v>Mayor que 15 - hasta 20</v>
      </c>
      <c r="AA715">
        <f t="shared" si="23"/>
        <v>1</v>
      </c>
      <c r="AB715">
        <v>52022</v>
      </c>
      <c r="AC715" t="s">
        <v>627</v>
      </c>
      <c r="AD715" t="s">
        <v>1059</v>
      </c>
      <c r="AE715">
        <v>0.27067600000000003</v>
      </c>
      <c r="AF715" t="s">
        <v>63</v>
      </c>
      <c r="AG715">
        <v>11.374012</v>
      </c>
      <c r="AH715" t="s">
        <v>627</v>
      </c>
      <c r="AI715" t="s">
        <v>628</v>
      </c>
      <c r="AJ715">
        <v>2.5586090000000001</v>
      </c>
      <c r="AK715" t="s">
        <v>77</v>
      </c>
      <c r="AL715">
        <v>97.840114999999997</v>
      </c>
      <c r="AM715" s="4" t="s">
        <v>65</v>
      </c>
      <c r="AN715" s="5">
        <v>3105.2279161163965</v>
      </c>
      <c r="AO715" s="4" t="s">
        <v>65</v>
      </c>
      <c r="AP715" s="6">
        <v>2122</v>
      </c>
      <c r="AQ715">
        <v>3</v>
      </c>
      <c r="AR715">
        <v>2983.9347039999998</v>
      </c>
      <c r="AS715" t="s">
        <v>66</v>
      </c>
      <c r="AT715" t="s">
        <v>53</v>
      </c>
    </row>
    <row r="716" spans="1:46">
      <c r="A716">
        <v>130</v>
      </c>
      <c r="B716" t="s">
        <v>46</v>
      </c>
      <c r="C716">
        <v>52</v>
      </c>
      <c r="D716">
        <v>36</v>
      </c>
      <c r="E716" t="s">
        <v>1060</v>
      </c>
      <c r="F716" t="s">
        <v>223</v>
      </c>
      <c r="G716">
        <v>52036</v>
      </c>
      <c r="H716">
        <v>52036</v>
      </c>
      <c r="I716" t="s">
        <v>49</v>
      </c>
      <c r="J716">
        <v>5202</v>
      </c>
      <c r="K716" t="s">
        <v>1061</v>
      </c>
      <c r="L716" t="s">
        <v>69</v>
      </c>
      <c r="M716" t="s">
        <v>53</v>
      </c>
      <c r="N716">
        <v>9056</v>
      </c>
      <c r="O716" t="s">
        <v>53</v>
      </c>
      <c r="P716" t="s">
        <v>70</v>
      </c>
      <c r="Q716" t="s">
        <v>71</v>
      </c>
      <c r="R716" t="s">
        <v>93</v>
      </c>
      <c r="S716" t="s">
        <v>57</v>
      </c>
      <c r="T716" t="s">
        <v>58</v>
      </c>
      <c r="U716" t="s">
        <v>119</v>
      </c>
      <c r="V716">
        <v>0.85035300000000003</v>
      </c>
      <c r="W716" t="s">
        <v>53</v>
      </c>
      <c r="X716" t="s">
        <v>53</v>
      </c>
      <c r="Y716" t="s">
        <v>82</v>
      </c>
      <c r="Z716" t="str">
        <f t="shared" si="22"/>
        <v>Mayor que 15 - hasta 20</v>
      </c>
      <c r="AA716">
        <f t="shared" si="23"/>
        <v>1</v>
      </c>
      <c r="AB716">
        <v>52036</v>
      </c>
      <c r="AC716" t="s">
        <v>627</v>
      </c>
      <c r="AD716" t="s">
        <v>628</v>
      </c>
      <c r="AE716">
        <v>1.5104109999999999</v>
      </c>
      <c r="AF716" t="s">
        <v>76</v>
      </c>
      <c r="AG716">
        <v>42.141630999999997</v>
      </c>
      <c r="AH716" t="s">
        <v>627</v>
      </c>
      <c r="AI716" t="s">
        <v>628</v>
      </c>
      <c r="AJ716">
        <v>1.5331109999999999</v>
      </c>
      <c r="AK716" t="s">
        <v>76</v>
      </c>
      <c r="AL716">
        <v>42.683052000000004</v>
      </c>
      <c r="AM716" s="4" t="s">
        <v>65</v>
      </c>
      <c r="AN716" s="5">
        <v>6488.4443208784605</v>
      </c>
      <c r="AO716" s="4" t="s">
        <v>65</v>
      </c>
      <c r="AP716" s="6">
        <v>5178</v>
      </c>
      <c r="AQ716">
        <v>4</v>
      </c>
      <c r="AR716">
        <v>5538.0745669999997</v>
      </c>
      <c r="AS716" t="s">
        <v>66</v>
      </c>
      <c r="AT716" t="s">
        <v>53</v>
      </c>
    </row>
    <row r="717" spans="1:46">
      <c r="A717">
        <v>131</v>
      </c>
      <c r="B717" t="s">
        <v>46</v>
      </c>
      <c r="C717">
        <v>52</v>
      </c>
      <c r="D717">
        <v>51</v>
      </c>
      <c r="E717" t="s">
        <v>1062</v>
      </c>
      <c r="F717" t="s">
        <v>223</v>
      </c>
      <c r="G717">
        <v>52051</v>
      </c>
      <c r="H717">
        <v>52051</v>
      </c>
      <c r="I717" t="s">
        <v>49</v>
      </c>
      <c r="J717">
        <v>5204</v>
      </c>
      <c r="K717" t="s">
        <v>112</v>
      </c>
      <c r="L717" t="s">
        <v>91</v>
      </c>
      <c r="M717" t="s">
        <v>53</v>
      </c>
      <c r="N717">
        <v>9045</v>
      </c>
      <c r="O717" t="s">
        <v>53</v>
      </c>
      <c r="P717" t="s">
        <v>70</v>
      </c>
      <c r="Q717" t="s">
        <v>71</v>
      </c>
      <c r="R717" t="s">
        <v>105</v>
      </c>
      <c r="S717" t="s">
        <v>57</v>
      </c>
      <c r="T717" t="s">
        <v>58</v>
      </c>
      <c r="U717" t="s">
        <v>81</v>
      </c>
      <c r="V717">
        <v>0.72197500000000003</v>
      </c>
      <c r="W717" t="s">
        <v>53</v>
      </c>
      <c r="X717" t="s">
        <v>53</v>
      </c>
      <c r="Y717" t="s">
        <v>102</v>
      </c>
      <c r="Z717" t="str">
        <f t="shared" si="22"/>
        <v>Mayor que 20 - hasta 30</v>
      </c>
      <c r="AA717">
        <f t="shared" si="23"/>
        <v>1</v>
      </c>
      <c r="AB717">
        <v>52051</v>
      </c>
      <c r="AC717" t="s">
        <v>627</v>
      </c>
      <c r="AD717" t="s">
        <v>628</v>
      </c>
      <c r="AE717">
        <v>1.7618419999999999</v>
      </c>
      <c r="AF717" t="s">
        <v>76</v>
      </c>
      <c r="AG717">
        <v>56.432799000000003</v>
      </c>
      <c r="AH717" t="s">
        <v>627</v>
      </c>
      <c r="AI717" t="s">
        <v>628</v>
      </c>
      <c r="AJ717">
        <v>1.7845420000000001</v>
      </c>
      <c r="AK717" t="s">
        <v>76</v>
      </c>
      <c r="AL717">
        <v>56.974221</v>
      </c>
      <c r="AM717" s="4" t="s">
        <v>65</v>
      </c>
      <c r="AN717" s="5">
        <v>29.854837129915815</v>
      </c>
      <c r="AO717" s="4" t="s">
        <v>65</v>
      </c>
      <c r="AP717" s="6">
        <v>10</v>
      </c>
      <c r="AQ717">
        <v>4</v>
      </c>
      <c r="AR717">
        <v>47.738895999999997</v>
      </c>
      <c r="AS717" t="s">
        <v>66</v>
      </c>
      <c r="AT717" t="s">
        <v>53</v>
      </c>
    </row>
    <row r="718" spans="1:46">
      <c r="A718">
        <v>166</v>
      </c>
      <c r="B718" t="s">
        <v>46</v>
      </c>
      <c r="C718">
        <v>52</v>
      </c>
      <c r="D718">
        <v>79</v>
      </c>
      <c r="E718" t="s">
        <v>1063</v>
      </c>
      <c r="F718" t="s">
        <v>223</v>
      </c>
      <c r="G718">
        <v>52079</v>
      </c>
      <c r="H718">
        <v>52079</v>
      </c>
      <c r="I718" t="s">
        <v>49</v>
      </c>
      <c r="J718">
        <v>5203</v>
      </c>
      <c r="K718" t="s">
        <v>1064</v>
      </c>
      <c r="L718" t="s">
        <v>69</v>
      </c>
      <c r="M718" t="s">
        <v>53</v>
      </c>
      <c r="N718">
        <v>58292</v>
      </c>
      <c r="O718" t="s">
        <v>53</v>
      </c>
      <c r="P718" t="s">
        <v>92</v>
      </c>
      <c r="Q718" t="s">
        <v>71</v>
      </c>
      <c r="R718" t="s">
        <v>93</v>
      </c>
      <c r="S718" t="s">
        <v>1065</v>
      </c>
      <c r="T718" t="s">
        <v>73</v>
      </c>
      <c r="U718" t="s">
        <v>115</v>
      </c>
      <c r="V718">
        <v>0.742923</v>
      </c>
      <c r="W718" t="s">
        <v>53</v>
      </c>
      <c r="X718" t="s">
        <v>53</v>
      </c>
      <c r="Y718" t="s">
        <v>277</v>
      </c>
      <c r="Z718" t="str">
        <f t="shared" si="22"/>
        <v>Mayor que 10 - hasta 15</v>
      </c>
      <c r="AA718">
        <f t="shared" si="23"/>
        <v>1</v>
      </c>
      <c r="AB718">
        <v>52079</v>
      </c>
      <c r="AC718" t="s">
        <v>627</v>
      </c>
      <c r="AD718" t="s">
        <v>1066</v>
      </c>
      <c r="AE718">
        <v>4.0775139999999999</v>
      </c>
      <c r="AF718" t="s">
        <v>85</v>
      </c>
      <c r="AG718">
        <v>167.67291499999999</v>
      </c>
      <c r="AH718" t="s">
        <v>627</v>
      </c>
      <c r="AI718" t="s">
        <v>628</v>
      </c>
      <c r="AJ718">
        <v>7.1264989999999999</v>
      </c>
      <c r="AK718" t="s">
        <v>221</v>
      </c>
      <c r="AL718">
        <v>197.07312400000001</v>
      </c>
      <c r="AM718" s="4" t="e">
        <v>#N/A</v>
      </c>
      <c r="AN718" s="5" t="e">
        <v>#N/A</v>
      </c>
      <c r="AO718" s="4" t="e">
        <v>#N/A</v>
      </c>
      <c r="AP718" s="6" t="e">
        <v>#N/A</v>
      </c>
      <c r="AQ718">
        <v>4</v>
      </c>
      <c r="AR718">
        <v>1045.579244</v>
      </c>
      <c r="AS718" t="s">
        <v>66</v>
      </c>
      <c r="AT718" t="s">
        <v>53</v>
      </c>
    </row>
    <row r="719" spans="1:46">
      <c r="A719">
        <v>132</v>
      </c>
      <c r="B719" t="s">
        <v>46</v>
      </c>
      <c r="C719">
        <v>52</v>
      </c>
      <c r="D719">
        <v>83</v>
      </c>
      <c r="E719" t="s">
        <v>419</v>
      </c>
      <c r="F719" t="s">
        <v>223</v>
      </c>
      <c r="G719">
        <v>52083</v>
      </c>
      <c r="H719">
        <v>52083</v>
      </c>
      <c r="I719" t="s">
        <v>49</v>
      </c>
      <c r="J719">
        <v>5204</v>
      </c>
      <c r="K719" t="s">
        <v>112</v>
      </c>
      <c r="L719" t="s">
        <v>91</v>
      </c>
      <c r="M719" t="s">
        <v>53</v>
      </c>
      <c r="N719">
        <v>6621</v>
      </c>
      <c r="O719" t="s">
        <v>53</v>
      </c>
      <c r="P719" t="s">
        <v>70</v>
      </c>
      <c r="Q719" t="s">
        <v>71</v>
      </c>
      <c r="R719" t="s">
        <v>72</v>
      </c>
      <c r="S719" t="s">
        <v>57</v>
      </c>
      <c r="T719" t="s">
        <v>58</v>
      </c>
      <c r="U719" t="s">
        <v>81</v>
      </c>
      <c r="V719">
        <v>0.70933999999999997</v>
      </c>
      <c r="W719" t="s">
        <v>53</v>
      </c>
      <c r="X719" t="s">
        <v>53</v>
      </c>
      <c r="Y719" t="s">
        <v>102</v>
      </c>
      <c r="Z719" t="str">
        <f t="shared" si="22"/>
        <v>Mayor que 20 - hasta 30</v>
      </c>
      <c r="AA719">
        <f t="shared" si="23"/>
        <v>1</v>
      </c>
      <c r="AB719">
        <v>52083</v>
      </c>
      <c r="AC719" t="s">
        <v>627</v>
      </c>
      <c r="AD719" t="s">
        <v>628</v>
      </c>
      <c r="AE719">
        <v>2.8313139999999999</v>
      </c>
      <c r="AF719" t="s">
        <v>77</v>
      </c>
      <c r="AG719">
        <v>73.902142999999995</v>
      </c>
      <c r="AH719" t="s">
        <v>627</v>
      </c>
      <c r="AI719" t="s">
        <v>628</v>
      </c>
      <c r="AJ719">
        <v>2.8540139999999998</v>
      </c>
      <c r="AK719" t="s">
        <v>77</v>
      </c>
      <c r="AL719">
        <v>74.443563999999995</v>
      </c>
      <c r="AM719" s="4" t="s">
        <v>65</v>
      </c>
      <c r="AN719" s="5">
        <v>2694.8491063152269</v>
      </c>
      <c r="AO719" s="4" t="s">
        <v>65</v>
      </c>
      <c r="AP719" s="6">
        <v>907</v>
      </c>
      <c r="AQ719">
        <v>4</v>
      </c>
      <c r="AR719">
        <v>4129.440329</v>
      </c>
      <c r="AS719" t="s">
        <v>66</v>
      </c>
      <c r="AT719" t="s">
        <v>53</v>
      </c>
    </row>
    <row r="720" spans="1:46">
      <c r="A720">
        <v>133</v>
      </c>
      <c r="B720" t="s">
        <v>46</v>
      </c>
      <c r="C720">
        <v>52</v>
      </c>
      <c r="D720">
        <v>110</v>
      </c>
      <c r="E720" t="s">
        <v>1067</v>
      </c>
      <c r="F720" t="s">
        <v>223</v>
      </c>
      <c r="G720">
        <v>52110</v>
      </c>
      <c r="H720">
        <v>52110</v>
      </c>
      <c r="I720" t="s">
        <v>49</v>
      </c>
      <c r="J720">
        <v>5204</v>
      </c>
      <c r="K720" t="s">
        <v>112</v>
      </c>
      <c r="L720" t="s">
        <v>80</v>
      </c>
      <c r="M720" t="s">
        <v>53</v>
      </c>
      <c r="N720">
        <v>24905</v>
      </c>
      <c r="O720" t="s">
        <v>53</v>
      </c>
      <c r="P720" t="s">
        <v>70</v>
      </c>
      <c r="Q720" t="s">
        <v>71</v>
      </c>
      <c r="R720" t="s">
        <v>122</v>
      </c>
      <c r="S720" t="s">
        <v>57</v>
      </c>
      <c r="T720" t="s">
        <v>58</v>
      </c>
      <c r="U720" t="s">
        <v>81</v>
      </c>
      <c r="V720">
        <v>0.63532999999999995</v>
      </c>
      <c r="W720" t="s">
        <v>53</v>
      </c>
      <c r="X720" t="s">
        <v>53</v>
      </c>
      <c r="Y720" t="s">
        <v>82</v>
      </c>
      <c r="Z720" t="str">
        <f t="shared" si="22"/>
        <v>Mayor que 15 - hasta 20</v>
      </c>
      <c r="AA720">
        <f t="shared" si="23"/>
        <v>1</v>
      </c>
      <c r="AB720">
        <v>52110</v>
      </c>
      <c r="AC720" t="s">
        <v>627</v>
      </c>
      <c r="AD720" t="s">
        <v>628</v>
      </c>
      <c r="AE720">
        <v>1.078009</v>
      </c>
      <c r="AF720" t="s">
        <v>76</v>
      </c>
      <c r="AG720">
        <v>32.650461999999997</v>
      </c>
      <c r="AH720" t="s">
        <v>627</v>
      </c>
      <c r="AI720" t="s">
        <v>628</v>
      </c>
      <c r="AJ720">
        <v>1.1007089999999999</v>
      </c>
      <c r="AK720" t="s">
        <v>76</v>
      </c>
      <c r="AL720">
        <v>33.191882999999997</v>
      </c>
      <c r="AM720" s="4" t="s">
        <v>65</v>
      </c>
      <c r="AN720" s="5">
        <v>22025.32342079638</v>
      </c>
      <c r="AO720" s="4" t="s">
        <v>65</v>
      </c>
      <c r="AP720" s="6">
        <v>7124</v>
      </c>
      <c r="AQ720">
        <v>4</v>
      </c>
      <c r="AR720">
        <v>35780.648202999997</v>
      </c>
      <c r="AS720" t="s">
        <v>66</v>
      </c>
      <c r="AT720" t="s">
        <v>53</v>
      </c>
    </row>
    <row r="721" spans="1:46">
      <c r="A721">
        <v>134</v>
      </c>
      <c r="B721" t="s">
        <v>46</v>
      </c>
      <c r="C721">
        <v>52</v>
      </c>
      <c r="D721">
        <v>203</v>
      </c>
      <c r="E721" t="s">
        <v>1068</v>
      </c>
      <c r="F721" t="s">
        <v>223</v>
      </c>
      <c r="G721">
        <v>52203</v>
      </c>
      <c r="H721">
        <v>52203</v>
      </c>
      <c r="I721" t="s">
        <v>49</v>
      </c>
      <c r="J721">
        <v>5204</v>
      </c>
      <c r="K721" t="s">
        <v>112</v>
      </c>
      <c r="L721" t="s">
        <v>91</v>
      </c>
      <c r="M721" t="s">
        <v>53</v>
      </c>
      <c r="N721">
        <v>8829</v>
      </c>
      <c r="O721" t="s">
        <v>53</v>
      </c>
      <c r="P721" t="s">
        <v>70</v>
      </c>
      <c r="Q721" t="s">
        <v>71</v>
      </c>
      <c r="R721" t="s">
        <v>72</v>
      </c>
      <c r="S721" t="s">
        <v>57</v>
      </c>
      <c r="T721" t="s">
        <v>58</v>
      </c>
      <c r="U721" t="s">
        <v>59</v>
      </c>
      <c r="V721">
        <v>0.62941899999999995</v>
      </c>
      <c r="W721" t="s">
        <v>53</v>
      </c>
      <c r="X721" t="s">
        <v>53</v>
      </c>
      <c r="Y721" t="s">
        <v>102</v>
      </c>
      <c r="Z721" t="str">
        <f t="shared" si="22"/>
        <v>Mayor que 20 - hasta 30</v>
      </c>
      <c r="AA721">
        <f t="shared" si="23"/>
        <v>1</v>
      </c>
      <c r="AB721">
        <v>52203</v>
      </c>
      <c r="AC721" t="s">
        <v>627</v>
      </c>
      <c r="AD721" t="s">
        <v>628</v>
      </c>
      <c r="AE721">
        <v>3.2309939999999999</v>
      </c>
      <c r="AF721" t="s">
        <v>84</v>
      </c>
      <c r="AG721">
        <v>92.718795</v>
      </c>
      <c r="AH721" t="s">
        <v>627</v>
      </c>
      <c r="AI721" t="s">
        <v>628</v>
      </c>
      <c r="AJ721">
        <v>3.2536930000000002</v>
      </c>
      <c r="AK721" t="s">
        <v>84</v>
      </c>
      <c r="AL721">
        <v>93.260216</v>
      </c>
      <c r="AM721" s="4" t="s">
        <v>65</v>
      </c>
      <c r="AN721" s="5">
        <v>5991.216865169903</v>
      </c>
      <c r="AO721" s="4" t="s">
        <v>65</v>
      </c>
      <c r="AP721" s="6">
        <v>3070</v>
      </c>
      <c r="AQ721">
        <v>4</v>
      </c>
      <c r="AR721">
        <v>3824.7023119999999</v>
      </c>
      <c r="AS721" t="s">
        <v>66</v>
      </c>
      <c r="AT721" t="s">
        <v>53</v>
      </c>
    </row>
    <row r="722" spans="1:46">
      <c r="A722">
        <v>123</v>
      </c>
      <c r="B722" t="s">
        <v>46</v>
      </c>
      <c r="C722">
        <v>52</v>
      </c>
      <c r="D722">
        <v>207</v>
      </c>
      <c r="E722" t="s">
        <v>1069</v>
      </c>
      <c r="F722" t="s">
        <v>223</v>
      </c>
      <c r="G722">
        <v>52207</v>
      </c>
      <c r="H722">
        <v>52207</v>
      </c>
      <c r="I722" t="s">
        <v>49</v>
      </c>
      <c r="J722">
        <v>5201</v>
      </c>
      <c r="K722" t="s">
        <v>409</v>
      </c>
      <c r="L722" t="s">
        <v>69</v>
      </c>
      <c r="M722" t="s">
        <v>53</v>
      </c>
      <c r="N722">
        <v>14400</v>
      </c>
      <c r="O722" t="s">
        <v>53</v>
      </c>
      <c r="P722" t="s">
        <v>70</v>
      </c>
      <c r="Q722" t="s">
        <v>71</v>
      </c>
      <c r="R722" t="s">
        <v>72</v>
      </c>
      <c r="S722" t="s">
        <v>57</v>
      </c>
      <c r="T722" t="s">
        <v>58</v>
      </c>
      <c r="U722" t="s">
        <v>59</v>
      </c>
      <c r="V722">
        <v>0.54938600000000004</v>
      </c>
      <c r="W722" t="s">
        <v>53</v>
      </c>
      <c r="X722" t="s">
        <v>53</v>
      </c>
      <c r="Y722" t="s">
        <v>102</v>
      </c>
      <c r="Z722" t="str">
        <f t="shared" si="22"/>
        <v>Mayor que 20 - hasta 30</v>
      </c>
      <c r="AA722">
        <f t="shared" si="23"/>
        <v>1</v>
      </c>
      <c r="AB722">
        <v>52207</v>
      </c>
      <c r="AC722" t="s">
        <v>627</v>
      </c>
      <c r="AD722" t="s">
        <v>628</v>
      </c>
      <c r="AE722">
        <v>1.341418</v>
      </c>
      <c r="AF722" t="s">
        <v>76</v>
      </c>
      <c r="AG722">
        <v>48.049956999999999</v>
      </c>
      <c r="AH722" t="s">
        <v>627</v>
      </c>
      <c r="AI722" t="s">
        <v>628</v>
      </c>
      <c r="AJ722">
        <v>1.294092</v>
      </c>
      <c r="AK722" t="s">
        <v>76</v>
      </c>
      <c r="AL722">
        <v>45.221530000000001</v>
      </c>
      <c r="AM722" s="4" t="s">
        <v>65</v>
      </c>
      <c r="AN722" s="5">
        <v>5773.5486543463512</v>
      </c>
      <c r="AO722" s="4" t="s">
        <v>65</v>
      </c>
      <c r="AP722" s="6">
        <v>4107</v>
      </c>
      <c r="AQ722">
        <v>4</v>
      </c>
      <c r="AR722">
        <v>3821.4586420000001</v>
      </c>
      <c r="AS722" t="s">
        <v>66</v>
      </c>
      <c r="AT722" t="s">
        <v>53</v>
      </c>
    </row>
    <row r="723" spans="1:46">
      <c r="A723">
        <v>124</v>
      </c>
      <c r="B723" t="s">
        <v>46</v>
      </c>
      <c r="C723">
        <v>52</v>
      </c>
      <c r="D723">
        <v>210</v>
      </c>
      <c r="E723" t="s">
        <v>1070</v>
      </c>
      <c r="F723" t="s">
        <v>223</v>
      </c>
      <c r="G723">
        <v>52210</v>
      </c>
      <c r="H723">
        <v>52210</v>
      </c>
      <c r="I723" t="s">
        <v>49</v>
      </c>
      <c r="J723">
        <v>5205</v>
      </c>
      <c r="K723" t="s">
        <v>297</v>
      </c>
      <c r="L723" t="s">
        <v>91</v>
      </c>
      <c r="M723" t="s">
        <v>53</v>
      </c>
      <c r="N723">
        <v>7578</v>
      </c>
      <c r="O723" t="s">
        <v>53</v>
      </c>
      <c r="P723" t="s">
        <v>70</v>
      </c>
      <c r="Q723" t="s">
        <v>71</v>
      </c>
      <c r="R723" t="s">
        <v>105</v>
      </c>
      <c r="S723" t="s">
        <v>57</v>
      </c>
      <c r="T723" t="s">
        <v>58</v>
      </c>
      <c r="U723" t="s">
        <v>81</v>
      </c>
      <c r="V723">
        <v>0.77159699999999998</v>
      </c>
      <c r="W723">
        <v>2017</v>
      </c>
      <c r="X723" t="s">
        <v>141</v>
      </c>
      <c r="Y723" t="s">
        <v>142</v>
      </c>
      <c r="Z723" t="str">
        <f t="shared" si="22"/>
        <v>Mayor que 60 - hasta 70</v>
      </c>
      <c r="AA723">
        <f t="shared" si="23"/>
        <v>0</v>
      </c>
      <c r="AB723">
        <v>52210</v>
      </c>
      <c r="AC723" t="s">
        <v>627</v>
      </c>
      <c r="AD723" t="s">
        <v>1059</v>
      </c>
      <c r="AE723">
        <v>0.41989799999999999</v>
      </c>
      <c r="AF723" t="s">
        <v>63</v>
      </c>
      <c r="AG723">
        <v>18.475231000000001</v>
      </c>
      <c r="AH723" t="s">
        <v>627</v>
      </c>
      <c r="AI723" t="s">
        <v>628</v>
      </c>
      <c r="AJ723">
        <v>2.2062200000000001</v>
      </c>
      <c r="AK723" t="s">
        <v>77</v>
      </c>
      <c r="AL723">
        <v>65.600922999999995</v>
      </c>
      <c r="AM723" t="s">
        <v>65</v>
      </c>
      <c r="AN723" s="7">
        <v>992.8284818278629</v>
      </c>
      <c r="AO723" t="s">
        <v>65</v>
      </c>
      <c r="AP723" s="3">
        <v>1170</v>
      </c>
      <c r="AQ723">
        <v>2</v>
      </c>
      <c r="AR723">
        <v>432.57979399999999</v>
      </c>
      <c r="AS723" t="s">
        <v>66</v>
      </c>
      <c r="AT723" t="s">
        <v>53</v>
      </c>
    </row>
    <row r="724" spans="1:46">
      <c r="A724">
        <v>125</v>
      </c>
      <c r="B724" t="s">
        <v>46</v>
      </c>
      <c r="C724">
        <v>52</v>
      </c>
      <c r="D724">
        <v>215</v>
      </c>
      <c r="E724" t="s">
        <v>366</v>
      </c>
      <c r="F724" t="s">
        <v>223</v>
      </c>
      <c r="G724">
        <v>52215</v>
      </c>
      <c r="H724">
        <v>52215</v>
      </c>
      <c r="I724" t="s">
        <v>49</v>
      </c>
      <c r="J724">
        <v>5205</v>
      </c>
      <c r="K724" t="s">
        <v>297</v>
      </c>
      <c r="L724" t="s">
        <v>80</v>
      </c>
      <c r="M724" t="s">
        <v>53</v>
      </c>
      <c r="N724">
        <v>16223</v>
      </c>
      <c r="O724" t="s">
        <v>53</v>
      </c>
      <c r="P724" t="s">
        <v>70</v>
      </c>
      <c r="Q724" t="s">
        <v>71</v>
      </c>
      <c r="R724" t="s">
        <v>72</v>
      </c>
      <c r="S724" t="s">
        <v>57</v>
      </c>
      <c r="T724" t="s">
        <v>58</v>
      </c>
      <c r="U724" t="s">
        <v>119</v>
      </c>
      <c r="V724">
        <v>0.74180900000000005</v>
      </c>
      <c r="W724">
        <v>2017</v>
      </c>
      <c r="X724" t="s">
        <v>106</v>
      </c>
      <c r="Y724" t="s">
        <v>107</v>
      </c>
      <c r="Z724" t="str">
        <f t="shared" si="22"/>
        <v>Mayor que 80 - hasta 100</v>
      </c>
      <c r="AA724">
        <f t="shared" si="23"/>
        <v>0</v>
      </c>
      <c r="AB724">
        <v>52215</v>
      </c>
      <c r="AC724" t="s">
        <v>627</v>
      </c>
      <c r="AD724" t="s">
        <v>1059</v>
      </c>
      <c r="AE724">
        <v>0.72433899999999996</v>
      </c>
      <c r="AF724" t="s">
        <v>63</v>
      </c>
      <c r="AG724">
        <v>26.769342999999999</v>
      </c>
      <c r="AH724" t="s">
        <v>627</v>
      </c>
      <c r="AI724" t="s">
        <v>628</v>
      </c>
      <c r="AJ724">
        <v>2.4204729999999999</v>
      </c>
      <c r="AK724" t="s">
        <v>77</v>
      </c>
      <c r="AL724">
        <v>67.710973999999993</v>
      </c>
      <c r="AM724" t="s">
        <v>65</v>
      </c>
      <c r="AN724" s="7">
        <v>1.1518868111633791</v>
      </c>
      <c r="AO724" t="s">
        <v>65</v>
      </c>
      <c r="AP724" s="3">
        <v>23</v>
      </c>
      <c r="AQ724">
        <v>4</v>
      </c>
      <c r="AR724">
        <v>1.880673</v>
      </c>
      <c r="AS724" t="s">
        <v>66</v>
      </c>
      <c r="AT724" t="s">
        <v>53</v>
      </c>
    </row>
    <row r="725" spans="1:46">
      <c r="A725">
        <v>129</v>
      </c>
      <c r="B725" t="s">
        <v>46</v>
      </c>
      <c r="C725">
        <v>52</v>
      </c>
      <c r="D725">
        <v>224</v>
      </c>
      <c r="E725" t="s">
        <v>1071</v>
      </c>
      <c r="F725" t="s">
        <v>223</v>
      </c>
      <c r="G725">
        <v>52224</v>
      </c>
      <c r="H725">
        <v>52224</v>
      </c>
      <c r="I725" t="s">
        <v>49</v>
      </c>
      <c r="J725">
        <v>5205</v>
      </c>
      <c r="K725" t="s">
        <v>297</v>
      </c>
      <c r="L725" t="s">
        <v>91</v>
      </c>
      <c r="M725" t="s">
        <v>53</v>
      </c>
      <c r="N725">
        <v>9618</v>
      </c>
      <c r="O725" t="s">
        <v>53</v>
      </c>
      <c r="P725" t="s">
        <v>70</v>
      </c>
      <c r="Q725" t="s">
        <v>71</v>
      </c>
      <c r="R725" t="s">
        <v>93</v>
      </c>
      <c r="S725" t="s">
        <v>57</v>
      </c>
      <c r="T725" t="s">
        <v>58</v>
      </c>
      <c r="U725" t="s">
        <v>81</v>
      </c>
      <c r="V725">
        <v>0.71857800000000005</v>
      </c>
      <c r="W725" t="s">
        <v>53</v>
      </c>
      <c r="X725" t="s">
        <v>53</v>
      </c>
      <c r="Y725" t="s">
        <v>102</v>
      </c>
      <c r="Z725" t="str">
        <f t="shared" si="22"/>
        <v>Mayor que 20 - hasta 30</v>
      </c>
      <c r="AA725">
        <f t="shared" si="23"/>
        <v>1</v>
      </c>
      <c r="AB725">
        <v>52224</v>
      </c>
      <c r="AC725" t="s">
        <v>627</v>
      </c>
      <c r="AD725" t="s">
        <v>1059</v>
      </c>
      <c r="AE725">
        <v>0.32079000000000002</v>
      </c>
      <c r="AF725" t="s">
        <v>63</v>
      </c>
      <c r="AG725">
        <v>11.556854</v>
      </c>
      <c r="AH725" t="s">
        <v>627</v>
      </c>
      <c r="AI725" t="s">
        <v>628</v>
      </c>
      <c r="AJ725">
        <v>2.7588819999999998</v>
      </c>
      <c r="AK725" t="s">
        <v>77</v>
      </c>
      <c r="AL725">
        <v>104.532504</v>
      </c>
      <c r="AM725" s="4" t="s">
        <v>65</v>
      </c>
      <c r="AN725" s="5">
        <v>4240.3120328295181</v>
      </c>
      <c r="AO725" s="4" t="s">
        <v>65</v>
      </c>
      <c r="AP725" s="6">
        <v>2389</v>
      </c>
      <c r="AQ725">
        <v>2</v>
      </c>
      <c r="AR725">
        <v>1984.7264359999999</v>
      </c>
      <c r="AS725" t="s">
        <v>66</v>
      </c>
      <c r="AT725" t="s">
        <v>53</v>
      </c>
    </row>
    <row r="726" spans="1:46">
      <c r="A726">
        <v>159</v>
      </c>
      <c r="B726" t="s">
        <v>46</v>
      </c>
      <c r="C726">
        <v>52</v>
      </c>
      <c r="D726">
        <v>227</v>
      </c>
      <c r="E726" t="s">
        <v>1072</v>
      </c>
      <c r="F726" t="s">
        <v>223</v>
      </c>
      <c r="G726">
        <v>52227</v>
      </c>
      <c r="H726">
        <v>52227</v>
      </c>
      <c r="I726" t="s">
        <v>49</v>
      </c>
      <c r="J726">
        <v>5205</v>
      </c>
      <c r="K726" t="s">
        <v>297</v>
      </c>
      <c r="L726" t="s">
        <v>80</v>
      </c>
      <c r="M726" t="s">
        <v>53</v>
      </c>
      <c r="N726">
        <v>38599</v>
      </c>
      <c r="O726" t="s">
        <v>53</v>
      </c>
      <c r="P726" t="s">
        <v>92</v>
      </c>
      <c r="Q726" t="s">
        <v>71</v>
      </c>
      <c r="R726" t="s">
        <v>93</v>
      </c>
      <c r="S726" t="s">
        <v>57</v>
      </c>
      <c r="T726" t="s">
        <v>58</v>
      </c>
      <c r="U726" t="s">
        <v>119</v>
      </c>
      <c r="V726">
        <v>0.82827899999999999</v>
      </c>
      <c r="W726" t="s">
        <v>53</v>
      </c>
      <c r="X726" t="s">
        <v>53</v>
      </c>
      <c r="Y726" t="s">
        <v>102</v>
      </c>
      <c r="Z726" t="str">
        <f t="shared" si="22"/>
        <v>Mayor que 20 - hasta 30</v>
      </c>
      <c r="AA726">
        <f t="shared" si="23"/>
        <v>1</v>
      </c>
      <c r="AB726">
        <v>52227</v>
      </c>
      <c r="AC726" t="s">
        <v>627</v>
      </c>
      <c r="AD726" t="s">
        <v>1059</v>
      </c>
      <c r="AE726">
        <v>0.65198999999999996</v>
      </c>
      <c r="AF726" t="s">
        <v>63</v>
      </c>
      <c r="AG726">
        <v>21.972287000000001</v>
      </c>
      <c r="AH726" t="s">
        <v>627</v>
      </c>
      <c r="AI726" t="s">
        <v>628</v>
      </c>
      <c r="AJ726">
        <v>2.4966080000000002</v>
      </c>
      <c r="AK726" t="s">
        <v>77</v>
      </c>
      <c r="AL726">
        <v>94.917071000000007</v>
      </c>
      <c r="AM726" s="4" t="s">
        <v>65</v>
      </c>
      <c r="AN726" s="5">
        <v>9717.5659373234612</v>
      </c>
      <c r="AO726" s="4" t="s">
        <v>65</v>
      </c>
      <c r="AP726" s="6">
        <v>6225</v>
      </c>
      <c r="AQ726">
        <v>2</v>
      </c>
      <c r="AR726">
        <v>5374.1979780000001</v>
      </c>
      <c r="AS726" t="s">
        <v>66</v>
      </c>
      <c r="AT726" t="s">
        <v>53</v>
      </c>
    </row>
    <row r="727" spans="1:46">
      <c r="A727">
        <v>160</v>
      </c>
      <c r="B727" t="s">
        <v>46</v>
      </c>
      <c r="C727">
        <v>52</v>
      </c>
      <c r="D727">
        <v>233</v>
      </c>
      <c r="E727" t="s">
        <v>1073</v>
      </c>
      <c r="F727" t="s">
        <v>223</v>
      </c>
      <c r="G727">
        <v>52233</v>
      </c>
      <c r="H727">
        <v>52233</v>
      </c>
      <c r="I727" t="s">
        <v>49</v>
      </c>
      <c r="J727">
        <v>5204</v>
      </c>
      <c r="K727" t="s">
        <v>112</v>
      </c>
      <c r="L727" t="s">
        <v>80</v>
      </c>
      <c r="M727" t="s">
        <v>53</v>
      </c>
      <c r="N727">
        <v>6152</v>
      </c>
      <c r="O727" t="s">
        <v>53</v>
      </c>
      <c r="P727" t="s">
        <v>70</v>
      </c>
      <c r="Q727" t="s">
        <v>71</v>
      </c>
      <c r="R727" t="s">
        <v>93</v>
      </c>
      <c r="S727" t="s">
        <v>615</v>
      </c>
      <c r="T727" t="s">
        <v>73</v>
      </c>
      <c r="U727" t="s">
        <v>115</v>
      </c>
      <c r="V727">
        <v>0.818469</v>
      </c>
      <c r="W727" t="s">
        <v>53</v>
      </c>
      <c r="X727" t="s">
        <v>53</v>
      </c>
      <c r="Y727" t="s">
        <v>277</v>
      </c>
      <c r="Z727" t="str">
        <f t="shared" si="22"/>
        <v>Mayor que 10 - hasta 15</v>
      </c>
      <c r="AA727">
        <f t="shared" si="23"/>
        <v>1</v>
      </c>
      <c r="AB727">
        <v>52233</v>
      </c>
      <c r="AC727" t="s">
        <v>627</v>
      </c>
      <c r="AD727" t="s">
        <v>628</v>
      </c>
      <c r="AE727">
        <v>4.3482890000000003</v>
      </c>
      <c r="AF727" t="s">
        <v>85</v>
      </c>
      <c r="AG727">
        <v>97.717071000000004</v>
      </c>
      <c r="AH727" t="s">
        <v>627</v>
      </c>
      <c r="AI727" t="s">
        <v>628</v>
      </c>
      <c r="AJ727">
        <v>4.3709889999999998</v>
      </c>
      <c r="AK727" t="s">
        <v>85</v>
      </c>
      <c r="AL727">
        <v>98.258492000000004</v>
      </c>
      <c r="AM727" s="4" t="e">
        <v>#N/A</v>
      </c>
      <c r="AN727" s="5" t="e">
        <v>#N/A</v>
      </c>
      <c r="AO727" s="4" t="e">
        <v>#N/A</v>
      </c>
      <c r="AP727" s="6" t="e">
        <v>#N/A</v>
      </c>
      <c r="AQ727">
        <v>4</v>
      </c>
      <c r="AR727">
        <v>36.316246</v>
      </c>
      <c r="AS727" t="s">
        <v>66</v>
      </c>
      <c r="AT727" t="s">
        <v>53</v>
      </c>
    </row>
    <row r="728" spans="1:46">
      <c r="A728">
        <v>140</v>
      </c>
      <c r="B728" t="s">
        <v>46</v>
      </c>
      <c r="C728">
        <v>52</v>
      </c>
      <c r="D728">
        <v>240</v>
      </c>
      <c r="E728" t="s">
        <v>1074</v>
      </c>
      <c r="F728" t="s">
        <v>223</v>
      </c>
      <c r="G728">
        <v>52240</v>
      </c>
      <c r="H728">
        <v>52240</v>
      </c>
      <c r="I728" t="s">
        <v>49</v>
      </c>
      <c r="J728">
        <v>5201</v>
      </c>
      <c r="K728" t="s">
        <v>409</v>
      </c>
      <c r="L728" t="s">
        <v>91</v>
      </c>
      <c r="M728" t="s">
        <v>53</v>
      </c>
      <c r="N728">
        <v>15860</v>
      </c>
      <c r="O728" t="s">
        <v>53</v>
      </c>
      <c r="P728" t="s">
        <v>70</v>
      </c>
      <c r="Q728" t="s">
        <v>71</v>
      </c>
      <c r="R728" t="s">
        <v>72</v>
      </c>
      <c r="S728" t="s">
        <v>57</v>
      </c>
      <c r="T728" t="s">
        <v>58</v>
      </c>
      <c r="U728" t="s">
        <v>81</v>
      </c>
      <c r="V728">
        <v>0.132911</v>
      </c>
      <c r="W728" t="s">
        <v>53</v>
      </c>
      <c r="X728" t="s">
        <v>53</v>
      </c>
      <c r="Y728" t="s">
        <v>167</v>
      </c>
      <c r="Z728" t="str">
        <f t="shared" si="22"/>
        <v>Mayor que 50 - hasta 60</v>
      </c>
      <c r="AA728">
        <f t="shared" si="23"/>
        <v>1</v>
      </c>
      <c r="AB728">
        <v>52240</v>
      </c>
      <c r="AC728" t="s">
        <v>627</v>
      </c>
      <c r="AD728" t="s">
        <v>628</v>
      </c>
      <c r="AE728">
        <v>1.0027010000000001</v>
      </c>
      <c r="AF728" t="s">
        <v>76</v>
      </c>
      <c r="AG728">
        <v>23.113707999999999</v>
      </c>
      <c r="AH728" t="s">
        <v>627</v>
      </c>
      <c r="AI728" t="s">
        <v>628</v>
      </c>
      <c r="AJ728">
        <v>1.025401</v>
      </c>
      <c r="AK728" t="s">
        <v>76</v>
      </c>
      <c r="AL728">
        <v>23.65513</v>
      </c>
      <c r="AM728" s="4" t="s">
        <v>65</v>
      </c>
      <c r="AN728" s="5">
        <v>6864.3424916844406</v>
      </c>
      <c r="AO728" s="4" t="s">
        <v>65</v>
      </c>
      <c r="AP728" s="6">
        <v>5237</v>
      </c>
      <c r="AQ728">
        <v>4</v>
      </c>
      <c r="AR728">
        <v>8667.762643</v>
      </c>
      <c r="AS728" t="s">
        <v>66</v>
      </c>
      <c r="AT728" t="s">
        <v>53</v>
      </c>
    </row>
    <row r="729" spans="1:46">
      <c r="A729">
        <v>167</v>
      </c>
      <c r="B729" t="s">
        <v>46</v>
      </c>
      <c r="C729">
        <v>52</v>
      </c>
      <c r="D729">
        <v>250</v>
      </c>
      <c r="E729" t="s">
        <v>1075</v>
      </c>
      <c r="F729" t="s">
        <v>223</v>
      </c>
      <c r="G729">
        <v>52250</v>
      </c>
      <c r="H729">
        <v>52250</v>
      </c>
      <c r="I729" t="s">
        <v>49</v>
      </c>
      <c r="J729">
        <v>5203</v>
      </c>
      <c r="K729" t="s">
        <v>1064</v>
      </c>
      <c r="L729" t="s">
        <v>80</v>
      </c>
      <c r="M729" t="s">
        <v>53</v>
      </c>
      <c r="N729">
        <v>23099</v>
      </c>
      <c r="O729" t="s">
        <v>53</v>
      </c>
      <c r="P729" t="s">
        <v>70</v>
      </c>
      <c r="Q729" t="s">
        <v>71</v>
      </c>
      <c r="R729" t="s">
        <v>122</v>
      </c>
      <c r="S729" t="s">
        <v>1065</v>
      </c>
      <c r="T729" t="s">
        <v>73</v>
      </c>
      <c r="U729" t="s">
        <v>115</v>
      </c>
      <c r="V729">
        <v>0.95947300000000002</v>
      </c>
      <c r="W729" t="s">
        <v>53</v>
      </c>
      <c r="X729" t="s">
        <v>53</v>
      </c>
      <c r="Y729" t="s">
        <v>277</v>
      </c>
      <c r="Z729" t="str">
        <f t="shared" si="22"/>
        <v>Mayor que 10 - hasta 15</v>
      </c>
      <c r="AA729">
        <f t="shared" si="23"/>
        <v>1</v>
      </c>
      <c r="AB729" t="e">
        <v>#N/A</v>
      </c>
      <c r="AC729" t="e">
        <v>#N/A</v>
      </c>
      <c r="AD729" t="e">
        <v>#N/A</v>
      </c>
      <c r="AE729">
        <v>0</v>
      </c>
      <c r="AF729" t="s">
        <v>211</v>
      </c>
      <c r="AG729">
        <v>0</v>
      </c>
      <c r="AH729" t="e">
        <v>#N/A</v>
      </c>
      <c r="AI729" t="e">
        <v>#N/A</v>
      </c>
      <c r="AJ729">
        <v>0</v>
      </c>
      <c r="AK729" t="s">
        <v>211</v>
      </c>
      <c r="AL729">
        <v>0</v>
      </c>
      <c r="AM729" s="4" t="e">
        <v>#N/A</v>
      </c>
      <c r="AN729" s="5" t="e">
        <v>#N/A</v>
      </c>
      <c r="AO729" s="4" t="e">
        <v>#N/A</v>
      </c>
      <c r="AP729" s="6" t="e">
        <v>#N/A</v>
      </c>
      <c r="AQ729">
        <v>3</v>
      </c>
      <c r="AR729">
        <v>249.90396699999999</v>
      </c>
      <c r="AS729" t="s">
        <v>66</v>
      </c>
      <c r="AT729" t="s">
        <v>53</v>
      </c>
    </row>
    <row r="730" spans="1:46">
      <c r="A730">
        <v>141</v>
      </c>
      <c r="B730" t="s">
        <v>46</v>
      </c>
      <c r="C730">
        <v>52</v>
      </c>
      <c r="D730">
        <v>254</v>
      </c>
      <c r="E730" t="s">
        <v>1076</v>
      </c>
      <c r="F730" t="s">
        <v>223</v>
      </c>
      <c r="G730">
        <v>52254</v>
      </c>
      <c r="H730">
        <v>52254</v>
      </c>
      <c r="I730" t="s">
        <v>49</v>
      </c>
      <c r="J730">
        <v>5201</v>
      </c>
      <c r="K730" t="s">
        <v>409</v>
      </c>
      <c r="L730" t="s">
        <v>69</v>
      </c>
      <c r="M730" t="s">
        <v>53</v>
      </c>
      <c r="N730">
        <v>7734</v>
      </c>
      <c r="O730" t="s">
        <v>53</v>
      </c>
      <c r="P730" t="s">
        <v>70</v>
      </c>
      <c r="Q730" t="s">
        <v>71</v>
      </c>
      <c r="R730" t="s">
        <v>93</v>
      </c>
      <c r="S730" t="s">
        <v>57</v>
      </c>
      <c r="T730" t="s">
        <v>73</v>
      </c>
      <c r="U730" t="s">
        <v>59</v>
      </c>
      <c r="V730">
        <v>0.54602300000000004</v>
      </c>
      <c r="W730" t="s">
        <v>53</v>
      </c>
      <c r="X730" t="s">
        <v>53</v>
      </c>
      <c r="Y730" t="s">
        <v>82</v>
      </c>
      <c r="Z730" t="str">
        <f t="shared" si="22"/>
        <v>Mayor que 15 - hasta 20</v>
      </c>
      <c r="AA730">
        <f t="shared" si="23"/>
        <v>1</v>
      </c>
      <c r="AB730">
        <v>52254</v>
      </c>
      <c r="AC730" t="s">
        <v>627</v>
      </c>
      <c r="AD730" t="s">
        <v>628</v>
      </c>
      <c r="AE730">
        <v>1.4810909999999999</v>
      </c>
      <c r="AF730" t="s">
        <v>76</v>
      </c>
      <c r="AG730">
        <v>44.635742999999998</v>
      </c>
      <c r="AH730" t="s">
        <v>627</v>
      </c>
      <c r="AI730" t="s">
        <v>628</v>
      </c>
      <c r="AJ730">
        <v>1.5037910000000001</v>
      </c>
      <c r="AK730" t="s">
        <v>76</v>
      </c>
      <c r="AL730">
        <v>45.177163999999998</v>
      </c>
      <c r="AM730" s="4" t="s">
        <v>64</v>
      </c>
      <c r="AN730" s="5">
        <v>4515.7079029802217</v>
      </c>
      <c r="AO730" s="4" t="s">
        <v>65</v>
      </c>
      <c r="AP730" s="6">
        <v>2884</v>
      </c>
      <c r="AQ730">
        <v>4</v>
      </c>
      <c r="AR730">
        <v>8732.3841819999998</v>
      </c>
      <c r="AS730" t="s">
        <v>66</v>
      </c>
      <c r="AT730" t="s">
        <v>53</v>
      </c>
    </row>
    <row r="731" spans="1:46">
      <c r="A731">
        <v>161</v>
      </c>
      <c r="B731" t="s">
        <v>46</v>
      </c>
      <c r="C731">
        <v>52</v>
      </c>
      <c r="D731">
        <v>256</v>
      </c>
      <c r="E731" t="s">
        <v>1077</v>
      </c>
      <c r="F731" t="s">
        <v>223</v>
      </c>
      <c r="G731">
        <v>52256</v>
      </c>
      <c r="H731">
        <v>52256</v>
      </c>
      <c r="I731" t="s">
        <v>49</v>
      </c>
      <c r="J731">
        <v>5204</v>
      </c>
      <c r="K731" t="s">
        <v>112</v>
      </c>
      <c r="L731" t="s">
        <v>69</v>
      </c>
      <c r="M731" t="s">
        <v>53</v>
      </c>
      <c r="N731">
        <v>12843</v>
      </c>
      <c r="O731" t="s">
        <v>53</v>
      </c>
      <c r="P731" t="s">
        <v>70</v>
      </c>
      <c r="Q731" t="s">
        <v>71</v>
      </c>
      <c r="R731" t="s">
        <v>93</v>
      </c>
      <c r="S731" t="s">
        <v>615</v>
      </c>
      <c r="T731" t="s">
        <v>73</v>
      </c>
      <c r="U731" t="s">
        <v>101</v>
      </c>
      <c r="V731">
        <v>0.70320099999999996</v>
      </c>
      <c r="W731" t="s">
        <v>53</v>
      </c>
      <c r="X731" t="s">
        <v>53</v>
      </c>
      <c r="Y731" t="s">
        <v>82</v>
      </c>
      <c r="Z731" t="str">
        <f t="shared" si="22"/>
        <v>Mayor que 15 - hasta 20</v>
      </c>
      <c r="AA731">
        <f t="shared" si="23"/>
        <v>1</v>
      </c>
      <c r="AB731">
        <v>52256</v>
      </c>
      <c r="AC731" t="s">
        <v>627</v>
      </c>
      <c r="AD731" t="s">
        <v>628</v>
      </c>
      <c r="AE731">
        <v>2.7251249999999998</v>
      </c>
      <c r="AF731" t="s">
        <v>77</v>
      </c>
      <c r="AG731">
        <v>89.564885000000004</v>
      </c>
      <c r="AH731" t="s">
        <v>627</v>
      </c>
      <c r="AI731" t="s">
        <v>628</v>
      </c>
      <c r="AJ731">
        <v>2.7478250000000002</v>
      </c>
      <c r="AK731" t="s">
        <v>77</v>
      </c>
      <c r="AL731">
        <v>90.106306000000004</v>
      </c>
      <c r="AM731" s="4" t="e">
        <v>#N/A</v>
      </c>
      <c r="AN731" s="5" t="e">
        <v>#N/A</v>
      </c>
      <c r="AO731" s="4" t="e">
        <v>#N/A</v>
      </c>
      <c r="AP731" s="6" t="e">
        <v>#N/A</v>
      </c>
      <c r="AQ731">
        <v>4</v>
      </c>
      <c r="AR731">
        <v>12541.434327999999</v>
      </c>
      <c r="AS731" t="s">
        <v>66</v>
      </c>
      <c r="AT731" t="s">
        <v>53</v>
      </c>
    </row>
    <row r="732" spans="1:46">
      <c r="A732">
        <v>142</v>
      </c>
      <c r="B732" t="s">
        <v>46</v>
      </c>
      <c r="C732">
        <v>52</v>
      </c>
      <c r="D732">
        <v>258</v>
      </c>
      <c r="E732" t="s">
        <v>1078</v>
      </c>
      <c r="F732" t="s">
        <v>223</v>
      </c>
      <c r="G732">
        <v>52258</v>
      </c>
      <c r="H732">
        <v>52258</v>
      </c>
      <c r="I732" t="s">
        <v>49</v>
      </c>
      <c r="J732">
        <v>5204</v>
      </c>
      <c r="K732" t="s">
        <v>112</v>
      </c>
      <c r="L732" t="s">
        <v>80</v>
      </c>
      <c r="M732" t="s">
        <v>53</v>
      </c>
      <c r="N732">
        <v>15009</v>
      </c>
      <c r="O732" t="s">
        <v>53</v>
      </c>
      <c r="P732" t="s">
        <v>70</v>
      </c>
      <c r="Q732" t="s">
        <v>71</v>
      </c>
      <c r="R732" t="s">
        <v>105</v>
      </c>
      <c r="S732" t="s">
        <v>57</v>
      </c>
      <c r="T732" t="s">
        <v>58</v>
      </c>
      <c r="U732" t="s">
        <v>119</v>
      </c>
      <c r="V732">
        <v>0.73971399999999998</v>
      </c>
      <c r="W732" t="s">
        <v>53</v>
      </c>
      <c r="X732" t="s">
        <v>53</v>
      </c>
      <c r="Y732" t="s">
        <v>82</v>
      </c>
      <c r="Z732" t="str">
        <f t="shared" si="22"/>
        <v>Mayor que 15 - hasta 20</v>
      </c>
      <c r="AA732">
        <f t="shared" si="23"/>
        <v>1</v>
      </c>
      <c r="AB732">
        <v>52258</v>
      </c>
      <c r="AC732" t="s">
        <v>627</v>
      </c>
      <c r="AD732" t="s">
        <v>628</v>
      </c>
      <c r="AE732">
        <v>1.5978060000000001</v>
      </c>
      <c r="AF732" t="s">
        <v>76</v>
      </c>
      <c r="AG732">
        <v>47.825693000000001</v>
      </c>
      <c r="AH732" t="s">
        <v>627</v>
      </c>
      <c r="AI732" t="s">
        <v>628</v>
      </c>
      <c r="AJ732">
        <v>1.620506</v>
      </c>
      <c r="AK732" t="s">
        <v>76</v>
      </c>
      <c r="AL732">
        <v>48.367114000000001</v>
      </c>
      <c r="AM732" s="4" t="s">
        <v>65</v>
      </c>
      <c r="AN732" s="5">
        <v>6956.4849655538992</v>
      </c>
      <c r="AO732" s="4" t="s">
        <v>65</v>
      </c>
      <c r="AP732" s="6">
        <v>2612</v>
      </c>
      <c r="AQ732">
        <v>4</v>
      </c>
      <c r="AR732">
        <v>11176.936417000001</v>
      </c>
      <c r="AS732" t="s">
        <v>66</v>
      </c>
      <c r="AT732" t="s">
        <v>53</v>
      </c>
    </row>
    <row r="733" spans="1:46">
      <c r="A733">
        <v>149</v>
      </c>
      <c r="B733" t="s">
        <v>46</v>
      </c>
      <c r="C733">
        <v>52</v>
      </c>
      <c r="D733">
        <v>260</v>
      </c>
      <c r="E733" t="s">
        <v>626</v>
      </c>
      <c r="F733" t="s">
        <v>223</v>
      </c>
      <c r="G733">
        <v>52260</v>
      </c>
      <c r="H733">
        <v>52260</v>
      </c>
      <c r="I733" t="s">
        <v>49</v>
      </c>
      <c r="J733">
        <v>5201</v>
      </c>
      <c r="K733" t="s">
        <v>409</v>
      </c>
      <c r="L733" t="s">
        <v>69</v>
      </c>
      <c r="M733" t="s">
        <v>53</v>
      </c>
      <c r="N733">
        <v>14811</v>
      </c>
      <c r="O733" t="s">
        <v>53</v>
      </c>
      <c r="P733" t="s">
        <v>70</v>
      </c>
      <c r="Q733" t="s">
        <v>71</v>
      </c>
      <c r="R733" t="s">
        <v>72</v>
      </c>
      <c r="S733" t="s">
        <v>57</v>
      </c>
      <c r="T733" t="s">
        <v>58</v>
      </c>
      <c r="U733" t="s">
        <v>119</v>
      </c>
      <c r="V733">
        <v>0.76846899999999996</v>
      </c>
      <c r="W733" t="s">
        <v>53</v>
      </c>
      <c r="X733" t="s">
        <v>53</v>
      </c>
      <c r="Y733" t="s">
        <v>102</v>
      </c>
      <c r="Z733" t="str">
        <f t="shared" si="22"/>
        <v>Mayor que 20 - hasta 30</v>
      </c>
      <c r="AA733">
        <f t="shared" si="23"/>
        <v>1</v>
      </c>
      <c r="AB733">
        <v>52260</v>
      </c>
      <c r="AC733" t="s">
        <v>627</v>
      </c>
      <c r="AD733" t="s">
        <v>628</v>
      </c>
      <c r="AE733">
        <v>1.154131</v>
      </c>
      <c r="AF733" t="s">
        <v>76</v>
      </c>
      <c r="AG733">
        <v>35.351680999999999</v>
      </c>
      <c r="AH733" t="s">
        <v>627</v>
      </c>
      <c r="AI733" t="s">
        <v>628</v>
      </c>
      <c r="AJ733">
        <v>1.176831</v>
      </c>
      <c r="AK733" t="s">
        <v>76</v>
      </c>
      <c r="AL733">
        <v>35.893101999999999</v>
      </c>
      <c r="AM733" s="4" t="s">
        <v>65</v>
      </c>
      <c r="AN733" s="5">
        <v>13257.727447945341</v>
      </c>
      <c r="AO733" s="4" t="s">
        <v>65</v>
      </c>
      <c r="AP733" s="6">
        <v>6040</v>
      </c>
      <c r="AQ733">
        <v>4</v>
      </c>
      <c r="AR733">
        <v>20699.413931999999</v>
      </c>
      <c r="AS733" t="s">
        <v>66</v>
      </c>
      <c r="AT733" t="s">
        <v>53</v>
      </c>
    </row>
    <row r="734" spans="1:46">
      <c r="A734">
        <v>150</v>
      </c>
      <c r="B734" t="s">
        <v>46</v>
      </c>
      <c r="C734">
        <v>52</v>
      </c>
      <c r="D734">
        <v>287</v>
      </c>
      <c r="E734" t="s">
        <v>1079</v>
      </c>
      <c r="F734" t="s">
        <v>223</v>
      </c>
      <c r="G734">
        <v>52287</v>
      </c>
      <c r="H734">
        <v>52287</v>
      </c>
      <c r="I734" t="s">
        <v>49</v>
      </c>
      <c r="J734">
        <v>5205</v>
      </c>
      <c r="K734" t="s">
        <v>297</v>
      </c>
      <c r="L734" t="s">
        <v>69</v>
      </c>
      <c r="M734" t="s">
        <v>53</v>
      </c>
      <c r="N734">
        <v>7486</v>
      </c>
      <c r="O734" t="s">
        <v>53</v>
      </c>
      <c r="P734" t="s">
        <v>70</v>
      </c>
      <c r="Q734" t="s">
        <v>71</v>
      </c>
      <c r="R734" t="s">
        <v>105</v>
      </c>
      <c r="S734" t="s">
        <v>57</v>
      </c>
      <c r="T734" t="s">
        <v>58</v>
      </c>
      <c r="U734" t="s">
        <v>81</v>
      </c>
      <c r="V734">
        <v>0.609344</v>
      </c>
      <c r="W734">
        <v>2017</v>
      </c>
      <c r="X734" t="s">
        <v>141</v>
      </c>
      <c r="Y734" t="s">
        <v>142</v>
      </c>
      <c r="Z734" t="str">
        <f t="shared" si="22"/>
        <v>Mayor que 60 - hasta 70</v>
      </c>
      <c r="AA734">
        <f t="shared" si="23"/>
        <v>0</v>
      </c>
      <c r="AB734">
        <v>52287</v>
      </c>
      <c r="AC734" t="s">
        <v>627</v>
      </c>
      <c r="AD734" t="s">
        <v>1059</v>
      </c>
      <c r="AE734">
        <v>1.3124480000000001</v>
      </c>
      <c r="AF734" t="s">
        <v>76</v>
      </c>
      <c r="AG734">
        <v>39.964675</v>
      </c>
      <c r="AH734" t="s">
        <v>627</v>
      </c>
      <c r="AI734" t="s">
        <v>628</v>
      </c>
      <c r="AJ734">
        <v>1.5171749999999999</v>
      </c>
      <c r="AK734" t="s">
        <v>76</v>
      </c>
      <c r="AL734">
        <v>44.955843999999999</v>
      </c>
      <c r="AM734" t="s">
        <v>65</v>
      </c>
      <c r="AN734" s="7">
        <v>378.15205454431572</v>
      </c>
      <c r="AO734" t="s">
        <v>65</v>
      </c>
      <c r="AP734" s="3">
        <v>445</v>
      </c>
      <c r="AQ734">
        <v>2</v>
      </c>
      <c r="AR734">
        <v>531.770263</v>
      </c>
      <c r="AS734" t="s">
        <v>66</v>
      </c>
      <c r="AT734" t="s">
        <v>53</v>
      </c>
    </row>
    <row r="735" spans="1:46">
      <c r="A735">
        <v>151</v>
      </c>
      <c r="B735" t="s">
        <v>46</v>
      </c>
      <c r="C735">
        <v>52</v>
      </c>
      <c r="D735">
        <v>317</v>
      </c>
      <c r="E735" t="s">
        <v>1080</v>
      </c>
      <c r="F735" t="s">
        <v>223</v>
      </c>
      <c r="G735">
        <v>52317</v>
      </c>
      <c r="H735">
        <v>52317</v>
      </c>
      <c r="I735" t="s">
        <v>49</v>
      </c>
      <c r="J735">
        <v>5205</v>
      </c>
      <c r="K735" t="s">
        <v>297</v>
      </c>
      <c r="L735" t="s">
        <v>69</v>
      </c>
      <c r="M735" t="s">
        <v>53</v>
      </c>
      <c r="N735">
        <v>20338</v>
      </c>
      <c r="O735" t="s">
        <v>53</v>
      </c>
      <c r="P735" t="s">
        <v>70</v>
      </c>
      <c r="Q735" t="s">
        <v>71</v>
      </c>
      <c r="R735" t="s">
        <v>72</v>
      </c>
      <c r="S735" t="s">
        <v>57</v>
      </c>
      <c r="T735" t="s">
        <v>58</v>
      </c>
      <c r="U735" t="s">
        <v>59</v>
      </c>
      <c r="V735">
        <v>0.73116499999999995</v>
      </c>
      <c r="W735" t="s">
        <v>53</v>
      </c>
      <c r="X735" t="s">
        <v>53</v>
      </c>
      <c r="Y735" t="s">
        <v>82</v>
      </c>
      <c r="Z735" t="str">
        <f t="shared" si="22"/>
        <v>Mayor que 15 - hasta 20</v>
      </c>
      <c r="AA735">
        <f t="shared" si="23"/>
        <v>1</v>
      </c>
      <c r="AB735">
        <v>52317</v>
      </c>
      <c r="AC735" t="s">
        <v>627</v>
      </c>
      <c r="AD735" t="s">
        <v>1059</v>
      </c>
      <c r="AE735">
        <v>0.58100600000000002</v>
      </c>
      <c r="AF735" t="s">
        <v>63</v>
      </c>
      <c r="AG735">
        <v>23.323758999999999</v>
      </c>
      <c r="AH735" t="s">
        <v>627</v>
      </c>
      <c r="AI735" t="s">
        <v>628</v>
      </c>
      <c r="AJ735">
        <v>2.23753</v>
      </c>
      <c r="AK735" t="s">
        <v>77</v>
      </c>
      <c r="AL735">
        <v>85.607524999999995</v>
      </c>
      <c r="AM735" s="4" t="s">
        <v>65</v>
      </c>
      <c r="AN735" s="5">
        <v>7860.7887709033548</v>
      </c>
      <c r="AO735" s="4" t="s">
        <v>65</v>
      </c>
      <c r="AP735" s="6">
        <v>5704</v>
      </c>
      <c r="AQ735">
        <v>2</v>
      </c>
      <c r="AR735">
        <v>6038.469752</v>
      </c>
      <c r="AS735" t="s">
        <v>66</v>
      </c>
      <c r="AT735" t="s">
        <v>53</v>
      </c>
    </row>
    <row r="736" spans="1:46">
      <c r="A736">
        <v>153</v>
      </c>
      <c r="B736" t="s">
        <v>46</v>
      </c>
      <c r="C736">
        <v>52</v>
      </c>
      <c r="D736">
        <v>320</v>
      </c>
      <c r="E736" t="s">
        <v>1081</v>
      </c>
      <c r="F736" t="s">
        <v>223</v>
      </c>
      <c r="G736">
        <v>52320</v>
      </c>
      <c r="H736">
        <v>52320</v>
      </c>
      <c r="I736" t="s">
        <v>49</v>
      </c>
      <c r="J736">
        <v>5202</v>
      </c>
      <c r="K736" t="s">
        <v>1061</v>
      </c>
      <c r="L736" t="s">
        <v>91</v>
      </c>
      <c r="M736" t="s">
        <v>53</v>
      </c>
      <c r="N736">
        <v>11921</v>
      </c>
      <c r="O736" t="s">
        <v>53</v>
      </c>
      <c r="P736" t="s">
        <v>70</v>
      </c>
      <c r="Q736" t="s">
        <v>71</v>
      </c>
      <c r="R736" t="s">
        <v>93</v>
      </c>
      <c r="S736" t="s">
        <v>57</v>
      </c>
      <c r="T736" t="s">
        <v>58</v>
      </c>
      <c r="U736" t="s">
        <v>81</v>
      </c>
      <c r="V736">
        <v>0.80860100000000001</v>
      </c>
      <c r="W736" t="s">
        <v>53</v>
      </c>
      <c r="X736" t="s">
        <v>53</v>
      </c>
      <c r="Y736" t="s">
        <v>102</v>
      </c>
      <c r="Z736" t="str">
        <f t="shared" si="22"/>
        <v>Mayor que 20 - hasta 30</v>
      </c>
      <c r="AA736">
        <f t="shared" si="23"/>
        <v>1</v>
      </c>
      <c r="AB736">
        <v>52320</v>
      </c>
      <c r="AC736" t="s">
        <v>627</v>
      </c>
      <c r="AD736" t="s">
        <v>1059</v>
      </c>
      <c r="AE736">
        <v>1.442547</v>
      </c>
      <c r="AF736" t="s">
        <v>76</v>
      </c>
      <c r="AG736">
        <v>57.961227000000001</v>
      </c>
      <c r="AH736" t="s">
        <v>627</v>
      </c>
      <c r="AI736" t="s">
        <v>628</v>
      </c>
      <c r="AJ736">
        <v>1.643977</v>
      </c>
      <c r="AK736" t="s">
        <v>76</v>
      </c>
      <c r="AL736">
        <v>56.578384</v>
      </c>
      <c r="AM736" s="4" t="s">
        <v>65</v>
      </c>
      <c r="AN736" s="5">
        <v>10395.712801462267</v>
      </c>
      <c r="AO736" s="4" t="s">
        <v>65</v>
      </c>
      <c r="AP736" s="6">
        <v>6775</v>
      </c>
      <c r="AQ736">
        <v>4</v>
      </c>
      <c r="AR736">
        <v>6104.5269490000001</v>
      </c>
      <c r="AS736" t="s">
        <v>66</v>
      </c>
      <c r="AT736" t="s">
        <v>53</v>
      </c>
    </row>
    <row r="737" spans="1:46">
      <c r="A737">
        <v>155</v>
      </c>
      <c r="B737" t="s">
        <v>46</v>
      </c>
      <c r="C737">
        <v>52</v>
      </c>
      <c r="D737">
        <v>323</v>
      </c>
      <c r="E737" t="s">
        <v>1082</v>
      </c>
      <c r="F737" t="s">
        <v>223</v>
      </c>
      <c r="G737">
        <v>52323</v>
      </c>
      <c r="H737">
        <v>52323</v>
      </c>
      <c r="I737" t="s">
        <v>49</v>
      </c>
      <c r="J737">
        <v>5205</v>
      </c>
      <c r="K737" t="s">
        <v>297</v>
      </c>
      <c r="L737" t="s">
        <v>91</v>
      </c>
      <c r="M737" t="s">
        <v>53</v>
      </c>
      <c r="N737">
        <v>7352</v>
      </c>
      <c r="O737" t="s">
        <v>53</v>
      </c>
      <c r="P737" t="s">
        <v>70</v>
      </c>
      <c r="Q737" t="s">
        <v>71</v>
      </c>
      <c r="R737" t="s">
        <v>249</v>
      </c>
      <c r="S737" t="s">
        <v>57</v>
      </c>
      <c r="T737" t="s">
        <v>58</v>
      </c>
      <c r="U737" t="s">
        <v>81</v>
      </c>
      <c r="V737">
        <v>0.69331900000000002</v>
      </c>
      <c r="W737" t="s">
        <v>53</v>
      </c>
      <c r="X737" t="s">
        <v>53</v>
      </c>
      <c r="Y737" t="s">
        <v>116</v>
      </c>
      <c r="Z737" t="str">
        <f t="shared" si="22"/>
        <v>Mayor que 30 - hasta 40</v>
      </c>
      <c r="AA737">
        <f t="shared" si="23"/>
        <v>1</v>
      </c>
      <c r="AB737">
        <v>52323</v>
      </c>
      <c r="AC737" t="s">
        <v>627</v>
      </c>
      <c r="AD737" t="s">
        <v>1059</v>
      </c>
      <c r="AE737">
        <v>0.549041</v>
      </c>
      <c r="AF737" t="s">
        <v>63</v>
      </c>
      <c r="AG737">
        <v>21.889444000000001</v>
      </c>
      <c r="AH737" t="s">
        <v>627</v>
      </c>
      <c r="AI737" t="s">
        <v>628</v>
      </c>
      <c r="AJ737">
        <v>2.1291229999999999</v>
      </c>
      <c r="AK737" t="s">
        <v>77</v>
      </c>
      <c r="AL737">
        <v>65.649451999999997</v>
      </c>
      <c r="AM737" s="4" t="s">
        <v>65</v>
      </c>
      <c r="AN737" s="5">
        <v>2146.8386963540424</v>
      </c>
      <c r="AO737" s="4" t="s">
        <v>65</v>
      </c>
      <c r="AP737" s="6">
        <v>2090</v>
      </c>
      <c r="AQ737">
        <v>4</v>
      </c>
      <c r="AR737">
        <v>949.26974600000005</v>
      </c>
      <c r="AS737" t="s">
        <v>66</v>
      </c>
      <c r="AT737" t="s">
        <v>53</v>
      </c>
    </row>
    <row r="738" spans="1:46">
      <c r="A738">
        <v>156</v>
      </c>
      <c r="B738" t="s">
        <v>46</v>
      </c>
      <c r="C738">
        <v>52</v>
      </c>
      <c r="D738">
        <v>352</v>
      </c>
      <c r="E738" t="s">
        <v>1083</v>
      </c>
      <c r="F738" t="s">
        <v>223</v>
      </c>
      <c r="G738">
        <v>52352</v>
      </c>
      <c r="H738">
        <v>52352</v>
      </c>
      <c r="I738" t="s">
        <v>49</v>
      </c>
      <c r="J738">
        <v>5205</v>
      </c>
      <c r="K738" t="s">
        <v>297</v>
      </c>
      <c r="L738" t="s">
        <v>91</v>
      </c>
      <c r="M738" t="s">
        <v>53</v>
      </c>
      <c r="N738">
        <v>7954</v>
      </c>
      <c r="O738" t="s">
        <v>53</v>
      </c>
      <c r="P738" t="s">
        <v>70</v>
      </c>
      <c r="Q738" t="s">
        <v>71</v>
      </c>
      <c r="R738" t="s">
        <v>105</v>
      </c>
      <c r="S738" t="s">
        <v>57</v>
      </c>
      <c r="T738" t="s">
        <v>58</v>
      </c>
      <c r="U738" t="s">
        <v>81</v>
      </c>
      <c r="V738">
        <v>0.65640600000000004</v>
      </c>
      <c r="W738">
        <v>2017</v>
      </c>
      <c r="X738" t="s">
        <v>141</v>
      </c>
      <c r="Y738" t="s">
        <v>142</v>
      </c>
      <c r="Z738" t="str">
        <f t="shared" si="22"/>
        <v>Mayor que 60 - hasta 70</v>
      </c>
      <c r="AA738">
        <f t="shared" si="23"/>
        <v>0</v>
      </c>
      <c r="AB738">
        <v>52352</v>
      </c>
      <c r="AC738" t="s">
        <v>627</v>
      </c>
      <c r="AD738" t="s">
        <v>1059</v>
      </c>
      <c r="AE738">
        <v>0.836507</v>
      </c>
      <c r="AF738" t="s">
        <v>63</v>
      </c>
      <c r="AG738">
        <v>28.673506</v>
      </c>
      <c r="AH738" t="s">
        <v>627</v>
      </c>
      <c r="AI738" t="s">
        <v>628</v>
      </c>
      <c r="AJ738">
        <v>1.795874</v>
      </c>
      <c r="AK738" t="s">
        <v>76</v>
      </c>
      <c r="AL738">
        <v>55.119804999999999</v>
      </c>
      <c r="AM738" t="s">
        <v>65</v>
      </c>
      <c r="AN738" s="7">
        <v>2.1311220172044609</v>
      </c>
      <c r="AO738" t="s">
        <v>65</v>
      </c>
      <c r="AP738" s="3">
        <v>9</v>
      </c>
      <c r="AQ738">
        <v>3</v>
      </c>
      <c r="AR738">
        <v>2.1311209999999998</v>
      </c>
      <c r="AS738" t="s">
        <v>66</v>
      </c>
      <c r="AT738" t="s">
        <v>53</v>
      </c>
    </row>
    <row r="739" spans="1:46">
      <c r="A739">
        <v>157</v>
      </c>
      <c r="B739" t="s">
        <v>46</v>
      </c>
      <c r="C739">
        <v>52</v>
      </c>
      <c r="D739">
        <v>354</v>
      </c>
      <c r="E739" t="s">
        <v>1084</v>
      </c>
      <c r="F739" t="s">
        <v>223</v>
      </c>
      <c r="G739">
        <v>52354</v>
      </c>
      <c r="H739">
        <v>52354</v>
      </c>
      <c r="I739" t="s">
        <v>49</v>
      </c>
      <c r="J739">
        <v>5205</v>
      </c>
      <c r="K739" t="s">
        <v>297</v>
      </c>
      <c r="L739" t="s">
        <v>69</v>
      </c>
      <c r="M739" t="s">
        <v>53</v>
      </c>
      <c r="N739">
        <v>7937</v>
      </c>
      <c r="O739" t="s">
        <v>53</v>
      </c>
      <c r="P739" t="s">
        <v>70</v>
      </c>
      <c r="Q739" t="s">
        <v>71</v>
      </c>
      <c r="R739" t="s">
        <v>93</v>
      </c>
      <c r="S739" t="s">
        <v>57</v>
      </c>
      <c r="T739" t="s">
        <v>58</v>
      </c>
      <c r="U739" t="s">
        <v>81</v>
      </c>
      <c r="V739">
        <v>0.66118399999999999</v>
      </c>
      <c r="W739">
        <v>2017</v>
      </c>
      <c r="X739" t="s">
        <v>141</v>
      </c>
      <c r="Y739" t="s">
        <v>142</v>
      </c>
      <c r="Z739" t="str">
        <f t="shared" si="22"/>
        <v>Mayor que 60 - hasta 70</v>
      </c>
      <c r="AA739">
        <f t="shared" si="23"/>
        <v>0</v>
      </c>
      <c r="AB739">
        <v>52354</v>
      </c>
      <c r="AC739" t="s">
        <v>627</v>
      </c>
      <c r="AD739" t="s">
        <v>628</v>
      </c>
      <c r="AE739">
        <v>1.4208369999999999</v>
      </c>
      <c r="AF739" t="s">
        <v>76</v>
      </c>
      <c r="AG739">
        <v>45.328636000000003</v>
      </c>
      <c r="AH739" t="s">
        <v>627</v>
      </c>
      <c r="AI739" t="s">
        <v>628</v>
      </c>
      <c r="AJ739">
        <v>1.3399829999999999</v>
      </c>
      <c r="AK739" t="s">
        <v>76</v>
      </c>
      <c r="AL739">
        <v>44.597265</v>
      </c>
      <c r="AM739" t="s">
        <v>65</v>
      </c>
      <c r="AN739" s="7">
        <v>410.93770680144593</v>
      </c>
      <c r="AO739" t="s">
        <v>65</v>
      </c>
      <c r="AP739" s="3">
        <v>168</v>
      </c>
      <c r="AQ739">
        <v>2</v>
      </c>
      <c r="AR739">
        <v>459.84043100000002</v>
      </c>
      <c r="AS739" t="s">
        <v>66</v>
      </c>
      <c r="AT739" t="s">
        <v>53</v>
      </c>
    </row>
    <row r="740" spans="1:46">
      <c r="A740">
        <v>158</v>
      </c>
      <c r="B740" t="s">
        <v>46</v>
      </c>
      <c r="C740">
        <v>52</v>
      </c>
      <c r="D740">
        <v>356</v>
      </c>
      <c r="E740" t="s">
        <v>1059</v>
      </c>
      <c r="F740" t="s">
        <v>223</v>
      </c>
      <c r="G740">
        <v>52356</v>
      </c>
      <c r="H740">
        <v>52356</v>
      </c>
      <c r="I740" t="s">
        <v>49</v>
      </c>
      <c r="J740">
        <v>5205</v>
      </c>
      <c r="K740" t="s">
        <v>297</v>
      </c>
      <c r="L740" t="s">
        <v>51</v>
      </c>
      <c r="M740" t="s">
        <v>53</v>
      </c>
      <c r="N740">
        <v>120842</v>
      </c>
      <c r="O740" t="s">
        <v>53</v>
      </c>
      <c r="P740" t="s">
        <v>54</v>
      </c>
      <c r="Q740" t="s">
        <v>125</v>
      </c>
      <c r="R740" t="s">
        <v>105</v>
      </c>
      <c r="S740" t="s">
        <v>57</v>
      </c>
      <c r="T740" t="s">
        <v>73</v>
      </c>
      <c r="U740" t="s">
        <v>119</v>
      </c>
      <c r="V740">
        <v>0.70869700000000002</v>
      </c>
      <c r="W740">
        <v>2017</v>
      </c>
      <c r="X740" t="s">
        <v>106</v>
      </c>
      <c r="Y740" t="s">
        <v>107</v>
      </c>
      <c r="Z740" t="str">
        <f t="shared" si="22"/>
        <v>Mayor que 80 - hasta 100</v>
      </c>
      <c r="AA740">
        <f t="shared" si="23"/>
        <v>0</v>
      </c>
      <c r="AB740">
        <v>52356</v>
      </c>
      <c r="AC740" t="s">
        <v>627</v>
      </c>
      <c r="AD740" t="s">
        <v>1059</v>
      </c>
      <c r="AE740">
        <v>0</v>
      </c>
      <c r="AF740" t="s">
        <v>63</v>
      </c>
      <c r="AG740">
        <v>0</v>
      </c>
      <c r="AH740" t="s">
        <v>627</v>
      </c>
      <c r="AI740" t="s">
        <v>628</v>
      </c>
      <c r="AJ740">
        <v>2.6091709999999999</v>
      </c>
      <c r="AK740" t="s">
        <v>77</v>
      </c>
      <c r="AL740">
        <v>83.593311999999997</v>
      </c>
      <c r="AM740" t="s">
        <v>65</v>
      </c>
      <c r="AN740" s="7">
        <v>731.94665690170825</v>
      </c>
      <c r="AO740" t="s">
        <v>65</v>
      </c>
      <c r="AP740" s="3">
        <v>1004</v>
      </c>
      <c r="AQ740">
        <v>2</v>
      </c>
      <c r="AR740">
        <v>384.36945900000001</v>
      </c>
      <c r="AS740" t="s">
        <v>66</v>
      </c>
      <c r="AT740" t="s">
        <v>53</v>
      </c>
    </row>
    <row r="741" spans="1:46">
      <c r="A741">
        <v>147</v>
      </c>
      <c r="B741" t="s">
        <v>46</v>
      </c>
      <c r="C741">
        <v>52</v>
      </c>
      <c r="D741">
        <v>378</v>
      </c>
      <c r="E741" t="s">
        <v>1085</v>
      </c>
      <c r="F741" t="s">
        <v>223</v>
      </c>
      <c r="G741">
        <v>52378</v>
      </c>
      <c r="H741">
        <v>52378</v>
      </c>
      <c r="I741" t="s">
        <v>49</v>
      </c>
      <c r="J741">
        <v>5204</v>
      </c>
      <c r="K741" t="s">
        <v>112</v>
      </c>
      <c r="L741" t="s">
        <v>91</v>
      </c>
      <c r="M741" t="s">
        <v>53</v>
      </c>
      <c r="N741">
        <v>19421</v>
      </c>
      <c r="O741" t="s">
        <v>53</v>
      </c>
      <c r="P741" t="s">
        <v>70</v>
      </c>
      <c r="Q741" t="s">
        <v>71</v>
      </c>
      <c r="R741" t="s">
        <v>72</v>
      </c>
      <c r="S741" t="s">
        <v>57</v>
      </c>
      <c r="T741" t="s">
        <v>58</v>
      </c>
      <c r="U741" t="s">
        <v>59</v>
      </c>
      <c r="V741">
        <v>0.55042199999999997</v>
      </c>
      <c r="W741" t="s">
        <v>53</v>
      </c>
      <c r="X741" t="s">
        <v>53</v>
      </c>
      <c r="Y741" t="s">
        <v>102</v>
      </c>
      <c r="Z741" t="str">
        <f t="shared" si="22"/>
        <v>Mayor que 20 - hasta 30</v>
      </c>
      <c r="AA741">
        <f t="shared" si="23"/>
        <v>1</v>
      </c>
      <c r="AB741">
        <v>52378</v>
      </c>
      <c r="AC741" t="s">
        <v>627</v>
      </c>
      <c r="AD741" t="s">
        <v>628</v>
      </c>
      <c r="AE741">
        <v>2.875248</v>
      </c>
      <c r="AF741" t="s">
        <v>77</v>
      </c>
      <c r="AG741">
        <v>77.257778000000002</v>
      </c>
      <c r="AH741" t="s">
        <v>627</v>
      </c>
      <c r="AI741" t="s">
        <v>628</v>
      </c>
      <c r="AJ741">
        <v>2.897948</v>
      </c>
      <c r="AK741" t="s">
        <v>77</v>
      </c>
      <c r="AL741">
        <v>77.799199000000002</v>
      </c>
      <c r="AM741" s="4" t="s">
        <v>65</v>
      </c>
      <c r="AN741" s="5">
        <v>10187.957955364975</v>
      </c>
      <c r="AO741" s="4" t="s">
        <v>65</v>
      </c>
      <c r="AP741" s="6">
        <v>4035</v>
      </c>
      <c r="AQ741">
        <v>4</v>
      </c>
      <c r="AR741">
        <v>11408.559522</v>
      </c>
      <c r="AS741" t="s">
        <v>66</v>
      </c>
      <c r="AT741" t="s">
        <v>53</v>
      </c>
    </row>
    <row r="742" spans="1:46">
      <c r="A742">
        <v>148</v>
      </c>
      <c r="B742" t="s">
        <v>46</v>
      </c>
      <c r="C742">
        <v>52</v>
      </c>
      <c r="D742">
        <v>381</v>
      </c>
      <c r="E742" t="s">
        <v>1086</v>
      </c>
      <c r="F742" t="s">
        <v>223</v>
      </c>
      <c r="G742">
        <v>52381</v>
      </c>
      <c r="H742">
        <v>52381</v>
      </c>
      <c r="I742" t="s">
        <v>49</v>
      </c>
      <c r="J742">
        <v>5201</v>
      </c>
      <c r="K742" t="s">
        <v>409</v>
      </c>
      <c r="L742" t="s">
        <v>69</v>
      </c>
      <c r="M742" t="s">
        <v>53</v>
      </c>
      <c r="N742">
        <v>10465</v>
      </c>
      <c r="O742" t="s">
        <v>53</v>
      </c>
      <c r="P742" t="s">
        <v>70</v>
      </c>
      <c r="Q742" t="s">
        <v>71</v>
      </c>
      <c r="R742" t="s">
        <v>93</v>
      </c>
      <c r="S742" t="s">
        <v>57</v>
      </c>
      <c r="T742" t="s">
        <v>58</v>
      </c>
      <c r="U742" t="s">
        <v>59</v>
      </c>
      <c r="V742">
        <v>0.72820200000000002</v>
      </c>
      <c r="W742" t="s">
        <v>53</v>
      </c>
      <c r="X742" t="s">
        <v>53</v>
      </c>
      <c r="Y742" t="s">
        <v>116</v>
      </c>
      <c r="Z742" t="str">
        <f t="shared" si="22"/>
        <v>Mayor que 30 - hasta 40</v>
      </c>
      <c r="AA742">
        <f t="shared" si="23"/>
        <v>1</v>
      </c>
      <c r="AB742">
        <v>52381</v>
      </c>
      <c r="AC742" t="s">
        <v>627</v>
      </c>
      <c r="AD742" t="s">
        <v>628</v>
      </c>
      <c r="AE742">
        <v>0.64843099999999998</v>
      </c>
      <c r="AF742" t="s">
        <v>63</v>
      </c>
      <c r="AG742">
        <v>23.035029000000002</v>
      </c>
      <c r="AH742" t="s">
        <v>627</v>
      </c>
      <c r="AI742" t="s">
        <v>628</v>
      </c>
      <c r="AJ742">
        <v>0.67113100000000003</v>
      </c>
      <c r="AK742" t="s">
        <v>63</v>
      </c>
      <c r="AL742">
        <v>23.576450000000001</v>
      </c>
      <c r="AM742" s="4" t="s">
        <v>65</v>
      </c>
      <c r="AN742" s="5">
        <v>11282.929480745051</v>
      </c>
      <c r="AO742" s="4" t="s">
        <v>65</v>
      </c>
      <c r="AP742" s="6">
        <v>6325</v>
      </c>
      <c r="AQ742">
        <v>4</v>
      </c>
      <c r="AR742">
        <v>7813.1233579999998</v>
      </c>
      <c r="AS742" t="s">
        <v>66</v>
      </c>
      <c r="AT742" t="s">
        <v>53</v>
      </c>
    </row>
    <row r="743" spans="1:46">
      <c r="A743">
        <v>162</v>
      </c>
      <c r="B743" t="s">
        <v>46</v>
      </c>
      <c r="C743">
        <v>52</v>
      </c>
      <c r="D743">
        <v>385</v>
      </c>
      <c r="E743" t="s">
        <v>1087</v>
      </c>
      <c r="F743" t="s">
        <v>223</v>
      </c>
      <c r="G743">
        <v>52385</v>
      </c>
      <c r="H743">
        <v>52385</v>
      </c>
      <c r="I743" t="s">
        <v>49</v>
      </c>
      <c r="J743">
        <v>5202</v>
      </c>
      <c r="K743" t="s">
        <v>1061</v>
      </c>
      <c r="L743" t="s">
        <v>69</v>
      </c>
      <c r="M743" t="s">
        <v>53</v>
      </c>
      <c r="N743">
        <v>6636</v>
      </c>
      <c r="O743" t="s">
        <v>53</v>
      </c>
      <c r="P743" t="s">
        <v>70</v>
      </c>
      <c r="Q743" t="s">
        <v>71</v>
      </c>
      <c r="R743" t="s">
        <v>93</v>
      </c>
      <c r="S743" t="s">
        <v>57</v>
      </c>
      <c r="T743" t="s">
        <v>73</v>
      </c>
      <c r="U743" t="s">
        <v>101</v>
      </c>
      <c r="V743">
        <v>0.82980500000000001</v>
      </c>
      <c r="W743" t="s">
        <v>53</v>
      </c>
      <c r="X743" t="s">
        <v>53</v>
      </c>
      <c r="Y743" t="s">
        <v>277</v>
      </c>
      <c r="Z743" t="str">
        <f t="shared" si="22"/>
        <v>Mayor que 10 - hasta 15</v>
      </c>
      <c r="AA743">
        <f t="shared" si="23"/>
        <v>1</v>
      </c>
      <c r="AB743">
        <v>52385</v>
      </c>
      <c r="AC743" t="s">
        <v>627</v>
      </c>
      <c r="AD743" t="s">
        <v>628</v>
      </c>
      <c r="AE743">
        <v>2.677149</v>
      </c>
      <c r="AF743" t="s">
        <v>77</v>
      </c>
      <c r="AG743">
        <v>71.484986000000006</v>
      </c>
      <c r="AH743" t="s">
        <v>627</v>
      </c>
      <c r="AI743" t="s">
        <v>628</v>
      </c>
      <c r="AJ743">
        <v>2.6998489999999999</v>
      </c>
      <c r="AK743" t="s">
        <v>77</v>
      </c>
      <c r="AL743">
        <v>72.026407000000006</v>
      </c>
      <c r="AM743" s="4" t="e">
        <v>#N/A</v>
      </c>
      <c r="AN743" s="5" t="e">
        <v>#N/A</v>
      </c>
      <c r="AO743" s="4" t="e">
        <v>#N/A</v>
      </c>
      <c r="AP743" s="6" t="e">
        <v>#N/A</v>
      </c>
      <c r="AQ743">
        <v>4</v>
      </c>
      <c r="AR743">
        <v>3216.4087989999998</v>
      </c>
      <c r="AS743" t="s">
        <v>66</v>
      </c>
      <c r="AT743" t="s">
        <v>53</v>
      </c>
    </row>
    <row r="744" spans="1:46">
      <c r="A744">
        <v>168</v>
      </c>
      <c r="B744" t="s">
        <v>46</v>
      </c>
      <c r="C744">
        <v>52</v>
      </c>
      <c r="D744">
        <v>390</v>
      </c>
      <c r="E744" t="s">
        <v>1088</v>
      </c>
      <c r="F744" t="s">
        <v>223</v>
      </c>
      <c r="G744">
        <v>52390</v>
      </c>
      <c r="H744">
        <v>52390</v>
      </c>
      <c r="I744" t="s">
        <v>49</v>
      </c>
      <c r="J744">
        <v>5203</v>
      </c>
      <c r="K744" t="s">
        <v>1064</v>
      </c>
      <c r="L744" t="s">
        <v>69</v>
      </c>
      <c r="M744" t="s">
        <v>53</v>
      </c>
      <c r="N744">
        <v>7661</v>
      </c>
      <c r="O744" t="s">
        <v>53</v>
      </c>
      <c r="P744" t="s">
        <v>70</v>
      </c>
      <c r="Q744" t="s">
        <v>71</v>
      </c>
      <c r="R744" t="s">
        <v>93</v>
      </c>
      <c r="S744" t="s">
        <v>1065</v>
      </c>
      <c r="T744" t="s">
        <v>73</v>
      </c>
      <c r="U744" t="s">
        <v>101</v>
      </c>
      <c r="V744">
        <v>0</v>
      </c>
      <c r="W744" t="s">
        <v>53</v>
      </c>
      <c r="X744" t="s">
        <v>53</v>
      </c>
      <c r="Y744" t="s">
        <v>277</v>
      </c>
      <c r="Z744" t="str">
        <f t="shared" si="22"/>
        <v>Mayor que 10 - hasta 15</v>
      </c>
      <c r="AA744">
        <f t="shared" si="23"/>
        <v>1</v>
      </c>
      <c r="AB744" t="e">
        <v>#N/A</v>
      </c>
      <c r="AC744" t="e">
        <v>#N/A</v>
      </c>
      <c r="AD744" t="e">
        <v>#N/A</v>
      </c>
      <c r="AE744">
        <v>0</v>
      </c>
      <c r="AF744" t="s">
        <v>211</v>
      </c>
      <c r="AG744">
        <v>0</v>
      </c>
      <c r="AH744" t="e">
        <v>#N/A</v>
      </c>
      <c r="AI744" t="e">
        <v>#N/A</v>
      </c>
      <c r="AJ744">
        <v>0</v>
      </c>
      <c r="AK744" t="s">
        <v>211</v>
      </c>
      <c r="AL744">
        <v>0</v>
      </c>
      <c r="AM744" s="4" t="e">
        <v>#N/A</v>
      </c>
      <c r="AN744" s="5" t="e">
        <v>#N/A</v>
      </c>
      <c r="AO744" s="4" t="e">
        <v>#N/A</v>
      </c>
      <c r="AP744" s="6" t="e">
        <v>#N/A</v>
      </c>
      <c r="AQ744">
        <v>3</v>
      </c>
      <c r="AR744">
        <v>188.420771</v>
      </c>
      <c r="AS744" t="s">
        <v>66</v>
      </c>
      <c r="AT744" t="s">
        <v>53</v>
      </c>
    </row>
    <row r="745" spans="1:46">
      <c r="A745">
        <v>152</v>
      </c>
      <c r="B745" t="s">
        <v>46</v>
      </c>
      <c r="C745">
        <v>52</v>
      </c>
      <c r="D745">
        <v>399</v>
      </c>
      <c r="E745" t="s">
        <v>213</v>
      </c>
      <c r="F745" t="s">
        <v>223</v>
      </c>
      <c r="G745">
        <v>52399</v>
      </c>
      <c r="H745">
        <v>52399</v>
      </c>
      <c r="I745" t="s">
        <v>49</v>
      </c>
      <c r="J745">
        <v>5204</v>
      </c>
      <c r="K745" t="s">
        <v>112</v>
      </c>
      <c r="L745" t="s">
        <v>91</v>
      </c>
      <c r="M745" t="s">
        <v>53</v>
      </c>
      <c r="N745">
        <v>33262</v>
      </c>
      <c r="O745" t="s">
        <v>53</v>
      </c>
      <c r="P745" t="s">
        <v>92</v>
      </c>
      <c r="Q745" t="s">
        <v>71</v>
      </c>
      <c r="R745" t="s">
        <v>93</v>
      </c>
      <c r="S745" t="s">
        <v>57</v>
      </c>
      <c r="T745" t="s">
        <v>58</v>
      </c>
      <c r="U745" t="s">
        <v>59</v>
      </c>
      <c r="V745">
        <v>0.65668499999999996</v>
      </c>
      <c r="W745" t="s">
        <v>53</v>
      </c>
      <c r="X745" t="s">
        <v>53</v>
      </c>
      <c r="Y745" t="s">
        <v>102</v>
      </c>
      <c r="Z745" t="str">
        <f t="shared" si="22"/>
        <v>Mayor que 20 - hasta 30</v>
      </c>
      <c r="AA745">
        <f t="shared" si="23"/>
        <v>1</v>
      </c>
      <c r="AB745">
        <v>52399</v>
      </c>
      <c r="AC745" t="s">
        <v>627</v>
      </c>
      <c r="AD745" t="s">
        <v>628</v>
      </c>
      <c r="AE745">
        <v>2.2969590000000002</v>
      </c>
      <c r="AF745" t="s">
        <v>77</v>
      </c>
      <c r="AG745">
        <v>70.918081000000001</v>
      </c>
      <c r="AH745" t="s">
        <v>627</v>
      </c>
      <c r="AI745" t="s">
        <v>628</v>
      </c>
      <c r="AJ745">
        <v>2.3196590000000001</v>
      </c>
      <c r="AK745" t="s">
        <v>77</v>
      </c>
      <c r="AL745">
        <v>71.459502000000001</v>
      </c>
      <c r="AM745" s="4" t="s">
        <v>65</v>
      </c>
      <c r="AN745" s="5">
        <v>9035.1246389834851</v>
      </c>
      <c r="AO745" s="4" t="s">
        <v>65</v>
      </c>
      <c r="AP745" s="6">
        <v>4770</v>
      </c>
      <c r="AQ745">
        <v>4</v>
      </c>
      <c r="AR745">
        <v>9967.3028900000008</v>
      </c>
      <c r="AS745" t="s">
        <v>66</v>
      </c>
      <c r="AT745" t="s">
        <v>53</v>
      </c>
    </row>
    <row r="746" spans="1:46">
      <c r="A746">
        <v>154</v>
      </c>
      <c r="B746" t="s">
        <v>46</v>
      </c>
      <c r="C746">
        <v>52</v>
      </c>
      <c r="D746">
        <v>405</v>
      </c>
      <c r="E746" t="s">
        <v>1089</v>
      </c>
      <c r="F746" t="s">
        <v>223</v>
      </c>
      <c r="G746">
        <v>52405</v>
      </c>
      <c r="H746">
        <v>52405</v>
      </c>
      <c r="I746" t="s">
        <v>49</v>
      </c>
      <c r="J746">
        <v>5204</v>
      </c>
      <c r="K746" t="s">
        <v>112</v>
      </c>
      <c r="L746" t="s">
        <v>69</v>
      </c>
      <c r="M746" t="s">
        <v>53</v>
      </c>
      <c r="N746">
        <v>10144</v>
      </c>
      <c r="O746" t="s">
        <v>53</v>
      </c>
      <c r="P746" t="s">
        <v>70</v>
      </c>
      <c r="Q746" t="s">
        <v>71</v>
      </c>
      <c r="R746" t="s">
        <v>105</v>
      </c>
      <c r="S746" t="s">
        <v>615</v>
      </c>
      <c r="T746" t="s">
        <v>73</v>
      </c>
      <c r="U746" t="s">
        <v>101</v>
      </c>
      <c r="V746">
        <v>0.86811400000000005</v>
      </c>
      <c r="W746" t="s">
        <v>53</v>
      </c>
      <c r="X746" t="s">
        <v>53</v>
      </c>
      <c r="Y746" t="s">
        <v>277</v>
      </c>
      <c r="Z746" t="str">
        <f t="shared" si="22"/>
        <v>Mayor que 10 - hasta 15</v>
      </c>
      <c r="AA746">
        <f t="shared" si="23"/>
        <v>1</v>
      </c>
      <c r="AB746">
        <v>52405</v>
      </c>
      <c r="AC746" t="s">
        <v>627</v>
      </c>
      <c r="AD746" t="s">
        <v>628</v>
      </c>
      <c r="AE746">
        <v>3.7199390000000001</v>
      </c>
      <c r="AF746" t="s">
        <v>84</v>
      </c>
      <c r="AG746">
        <v>120.835447</v>
      </c>
      <c r="AH746" t="s">
        <v>627</v>
      </c>
      <c r="AI746" t="s">
        <v>628</v>
      </c>
      <c r="AJ746">
        <v>3.742639</v>
      </c>
      <c r="AK746" t="s">
        <v>84</v>
      </c>
      <c r="AL746">
        <v>121.376869</v>
      </c>
      <c r="AM746" s="4" t="e">
        <v>#N/A</v>
      </c>
      <c r="AN746" s="5" t="e">
        <v>#N/A</v>
      </c>
      <c r="AO746" s="4" t="e">
        <v>#N/A</v>
      </c>
      <c r="AP746" s="6" t="e">
        <v>#N/A</v>
      </c>
      <c r="AQ746">
        <v>4</v>
      </c>
      <c r="AR746">
        <v>16706.946349999998</v>
      </c>
      <c r="AS746" t="s">
        <v>66</v>
      </c>
      <c r="AT746" t="s">
        <v>53</v>
      </c>
    </row>
    <row r="747" spans="1:46">
      <c r="A747">
        <v>144</v>
      </c>
      <c r="B747" t="s">
        <v>46</v>
      </c>
      <c r="C747">
        <v>52</v>
      </c>
      <c r="D747">
        <v>411</v>
      </c>
      <c r="E747" t="s">
        <v>1090</v>
      </c>
      <c r="F747" t="s">
        <v>223</v>
      </c>
      <c r="G747">
        <v>52411</v>
      </c>
      <c r="H747">
        <v>52411</v>
      </c>
      <c r="I747" t="s">
        <v>49</v>
      </c>
      <c r="J747">
        <v>5202</v>
      </c>
      <c r="K747" t="s">
        <v>1061</v>
      </c>
      <c r="L747" t="s">
        <v>69</v>
      </c>
      <c r="M747" t="s">
        <v>53</v>
      </c>
      <c r="N747">
        <v>10510</v>
      </c>
      <c r="O747" t="s">
        <v>53</v>
      </c>
      <c r="P747" t="s">
        <v>70</v>
      </c>
      <c r="Q747" t="s">
        <v>71</v>
      </c>
      <c r="R747" t="s">
        <v>105</v>
      </c>
      <c r="S747" t="s">
        <v>57</v>
      </c>
      <c r="T747" t="s">
        <v>73</v>
      </c>
      <c r="U747" t="s">
        <v>101</v>
      </c>
      <c r="V747">
        <v>0.71087699999999998</v>
      </c>
      <c r="W747" t="s">
        <v>53</v>
      </c>
      <c r="X747" t="s">
        <v>53</v>
      </c>
      <c r="Y747" t="s">
        <v>102</v>
      </c>
      <c r="Z747" t="str">
        <f t="shared" si="22"/>
        <v>Mayor que 20 - hasta 30</v>
      </c>
      <c r="AA747">
        <f t="shared" si="23"/>
        <v>1</v>
      </c>
      <c r="AB747">
        <v>52411</v>
      </c>
      <c r="AC747" t="s">
        <v>627</v>
      </c>
      <c r="AD747" t="s">
        <v>628</v>
      </c>
      <c r="AE747">
        <v>1.991436</v>
      </c>
      <c r="AF747" t="s">
        <v>76</v>
      </c>
      <c r="AG747">
        <v>60.545288999999997</v>
      </c>
      <c r="AH747" t="s">
        <v>627</v>
      </c>
      <c r="AI747" t="s">
        <v>628</v>
      </c>
      <c r="AJ747">
        <v>2.0141360000000001</v>
      </c>
      <c r="AK747" t="s">
        <v>77</v>
      </c>
      <c r="AL747">
        <v>61.086709999999997</v>
      </c>
      <c r="AM747" s="4" t="s">
        <v>65</v>
      </c>
      <c r="AN747" s="5">
        <v>10034.894217792915</v>
      </c>
      <c r="AO747" s="4" t="s">
        <v>65</v>
      </c>
      <c r="AP747" s="6">
        <v>4884</v>
      </c>
      <c r="AQ747">
        <v>4</v>
      </c>
      <c r="AR747">
        <v>10903.901026</v>
      </c>
      <c r="AS747" t="s">
        <v>66</v>
      </c>
      <c r="AT747" t="s">
        <v>53</v>
      </c>
    </row>
    <row r="748" spans="1:46">
      <c r="A748">
        <v>163</v>
      </c>
      <c r="B748" t="s">
        <v>46</v>
      </c>
      <c r="C748">
        <v>52</v>
      </c>
      <c r="D748">
        <v>418</v>
      </c>
      <c r="E748" t="s">
        <v>1091</v>
      </c>
      <c r="F748" t="s">
        <v>223</v>
      </c>
      <c r="G748">
        <v>52418</v>
      </c>
      <c r="H748">
        <v>52418</v>
      </c>
      <c r="I748" t="s">
        <v>49</v>
      </c>
      <c r="J748">
        <v>5202</v>
      </c>
      <c r="K748" t="s">
        <v>1061</v>
      </c>
      <c r="L748" t="s">
        <v>69</v>
      </c>
      <c r="M748" t="s">
        <v>53</v>
      </c>
      <c r="N748">
        <v>9766</v>
      </c>
      <c r="O748" t="s">
        <v>53</v>
      </c>
      <c r="P748" t="s">
        <v>70</v>
      </c>
      <c r="Q748" t="s">
        <v>71</v>
      </c>
      <c r="R748" t="s">
        <v>122</v>
      </c>
      <c r="S748" t="s">
        <v>615</v>
      </c>
      <c r="T748" t="s">
        <v>73</v>
      </c>
      <c r="U748" t="s">
        <v>101</v>
      </c>
      <c r="V748">
        <v>0.776617</v>
      </c>
      <c r="W748" t="s">
        <v>53</v>
      </c>
      <c r="X748" t="s">
        <v>53</v>
      </c>
      <c r="Y748" t="s">
        <v>277</v>
      </c>
      <c r="Z748" t="str">
        <f t="shared" si="22"/>
        <v>Mayor que 10 - hasta 15</v>
      </c>
      <c r="AA748">
        <f t="shared" si="23"/>
        <v>1</v>
      </c>
      <c r="AB748">
        <v>52418</v>
      </c>
      <c r="AC748" t="s">
        <v>627</v>
      </c>
      <c r="AD748" t="s">
        <v>628</v>
      </c>
      <c r="AE748">
        <v>2.1663739999999998</v>
      </c>
      <c r="AF748" t="s">
        <v>77</v>
      </c>
      <c r="AG748">
        <v>62.335237999999997</v>
      </c>
      <c r="AH748" t="s">
        <v>627</v>
      </c>
      <c r="AI748" t="s">
        <v>628</v>
      </c>
      <c r="AJ748">
        <v>2.1890740000000002</v>
      </c>
      <c r="AK748" t="s">
        <v>77</v>
      </c>
      <c r="AL748">
        <v>62.876658999999997</v>
      </c>
      <c r="AM748" s="4" t="e">
        <v>#N/A</v>
      </c>
      <c r="AN748" s="5" t="e">
        <v>#N/A</v>
      </c>
      <c r="AO748" s="4" t="e">
        <v>#N/A</v>
      </c>
      <c r="AP748" s="6" t="e">
        <v>#N/A</v>
      </c>
      <c r="AQ748">
        <v>4</v>
      </c>
      <c r="AR748">
        <v>17268.287772</v>
      </c>
      <c r="AS748" t="s">
        <v>66</v>
      </c>
      <c r="AT748" t="s">
        <v>53</v>
      </c>
    </row>
    <row r="749" spans="1:46">
      <c r="A749">
        <v>169</v>
      </c>
      <c r="B749" t="s">
        <v>46</v>
      </c>
      <c r="C749">
        <v>52</v>
      </c>
      <c r="D749">
        <v>427</v>
      </c>
      <c r="E749" t="s">
        <v>1092</v>
      </c>
      <c r="F749" t="s">
        <v>223</v>
      </c>
      <c r="G749">
        <v>52427</v>
      </c>
      <c r="H749">
        <v>52427</v>
      </c>
      <c r="I749" t="s">
        <v>49</v>
      </c>
      <c r="J749">
        <v>5203</v>
      </c>
      <c r="K749" t="s">
        <v>1064</v>
      </c>
      <c r="L749" t="s">
        <v>80</v>
      </c>
      <c r="M749" t="s">
        <v>53</v>
      </c>
      <c r="N749">
        <v>25981</v>
      </c>
      <c r="O749" t="s">
        <v>53</v>
      </c>
      <c r="P749" t="s">
        <v>70</v>
      </c>
      <c r="Q749" t="s">
        <v>71</v>
      </c>
      <c r="R749" t="s">
        <v>93</v>
      </c>
      <c r="S749" t="s">
        <v>1065</v>
      </c>
      <c r="T749" t="s">
        <v>73</v>
      </c>
      <c r="U749" t="s">
        <v>115</v>
      </c>
      <c r="V749">
        <v>0.93251499999999998</v>
      </c>
      <c r="W749" t="s">
        <v>53</v>
      </c>
      <c r="X749" t="s">
        <v>53</v>
      </c>
      <c r="Y749" t="s">
        <v>277</v>
      </c>
      <c r="Z749" t="str">
        <f t="shared" si="22"/>
        <v>Mayor que 10 - hasta 15</v>
      </c>
      <c r="AA749">
        <f t="shared" si="23"/>
        <v>1</v>
      </c>
      <c r="AB749">
        <v>52427</v>
      </c>
      <c r="AC749" t="s">
        <v>627</v>
      </c>
      <c r="AD749" t="s">
        <v>1066</v>
      </c>
      <c r="AE749">
        <v>4.4700680000000004</v>
      </c>
      <c r="AF749" t="s">
        <v>85</v>
      </c>
      <c r="AG749">
        <v>181.443983</v>
      </c>
      <c r="AH749" t="s">
        <v>627</v>
      </c>
      <c r="AI749" t="s">
        <v>628</v>
      </c>
      <c r="AJ749">
        <v>7.5190520000000003</v>
      </c>
      <c r="AK749" t="s">
        <v>221</v>
      </c>
      <c r="AL749">
        <v>210.84419199999999</v>
      </c>
      <c r="AM749" s="4" t="e">
        <v>#N/A</v>
      </c>
      <c r="AN749" s="5" t="e">
        <v>#N/A</v>
      </c>
      <c r="AO749" s="4" t="e">
        <v>#N/A</v>
      </c>
      <c r="AP749" s="6" t="e">
        <v>#N/A</v>
      </c>
      <c r="AQ749">
        <v>4</v>
      </c>
      <c r="AR749">
        <v>21.025559000000001</v>
      </c>
      <c r="AS749" t="s">
        <v>66</v>
      </c>
      <c r="AT749" t="s">
        <v>53</v>
      </c>
    </row>
    <row r="750" spans="1:46">
      <c r="A750">
        <v>146</v>
      </c>
      <c r="B750" t="s">
        <v>46</v>
      </c>
      <c r="C750">
        <v>52</v>
      </c>
      <c r="D750">
        <v>435</v>
      </c>
      <c r="E750" t="s">
        <v>1093</v>
      </c>
      <c r="F750" t="s">
        <v>223</v>
      </c>
      <c r="G750">
        <v>52435</v>
      </c>
      <c r="H750">
        <v>52435</v>
      </c>
      <c r="I750" t="s">
        <v>49</v>
      </c>
      <c r="J750">
        <v>5202</v>
      </c>
      <c r="K750" t="s">
        <v>1061</v>
      </c>
      <c r="L750" t="s">
        <v>80</v>
      </c>
      <c r="M750" t="s">
        <v>53</v>
      </c>
      <c r="N750">
        <v>9396</v>
      </c>
      <c r="O750" t="s">
        <v>53</v>
      </c>
      <c r="P750" t="s">
        <v>70</v>
      </c>
      <c r="Q750" t="s">
        <v>71</v>
      </c>
      <c r="R750" t="s">
        <v>93</v>
      </c>
      <c r="S750" t="s">
        <v>57</v>
      </c>
      <c r="T750" t="s">
        <v>73</v>
      </c>
      <c r="U750" t="s">
        <v>101</v>
      </c>
      <c r="V750">
        <v>0.78078999999999998</v>
      </c>
      <c r="W750" t="s">
        <v>53</v>
      </c>
      <c r="X750" t="s">
        <v>53</v>
      </c>
      <c r="Y750" t="s">
        <v>116</v>
      </c>
      <c r="Z750" t="str">
        <f t="shared" si="22"/>
        <v>Mayor que 30 - hasta 40</v>
      </c>
      <c r="AA750">
        <f t="shared" si="23"/>
        <v>1</v>
      </c>
      <c r="AB750">
        <v>52435</v>
      </c>
      <c r="AC750" t="s">
        <v>627</v>
      </c>
      <c r="AD750" t="s">
        <v>1059</v>
      </c>
      <c r="AE750">
        <v>2.1524510000000001</v>
      </c>
      <c r="AF750" t="s">
        <v>77</v>
      </c>
      <c r="AG750">
        <v>58.232799</v>
      </c>
      <c r="AH750" t="s">
        <v>627</v>
      </c>
      <c r="AI750" t="s">
        <v>628</v>
      </c>
      <c r="AJ750">
        <v>3.3685510000000001</v>
      </c>
      <c r="AK750" t="s">
        <v>84</v>
      </c>
      <c r="AL750">
        <v>100.437172</v>
      </c>
      <c r="AM750" s="4" t="e">
        <v>#N/A</v>
      </c>
      <c r="AN750" s="5" t="e">
        <v>#N/A</v>
      </c>
      <c r="AO750" s="4" t="e">
        <v>#N/A</v>
      </c>
      <c r="AP750" s="6" t="e">
        <v>#N/A</v>
      </c>
      <c r="AQ750">
        <v>3</v>
      </c>
      <c r="AR750">
        <v>591.40789099999995</v>
      </c>
      <c r="AS750" t="s">
        <v>66</v>
      </c>
      <c r="AT750" t="s">
        <v>53</v>
      </c>
    </row>
    <row r="751" spans="1:46">
      <c r="A751">
        <v>170</v>
      </c>
      <c r="B751" t="s">
        <v>46</v>
      </c>
      <c r="C751">
        <v>52</v>
      </c>
      <c r="D751">
        <v>473</v>
      </c>
      <c r="E751" t="s">
        <v>831</v>
      </c>
      <c r="F751" t="s">
        <v>223</v>
      </c>
      <c r="G751">
        <v>52473</v>
      </c>
      <c r="H751">
        <v>52473</v>
      </c>
      <c r="I751" t="s">
        <v>49</v>
      </c>
      <c r="J751">
        <v>5203</v>
      </c>
      <c r="K751" t="s">
        <v>1064</v>
      </c>
      <c r="L751" t="s">
        <v>69</v>
      </c>
      <c r="M751" t="s">
        <v>53</v>
      </c>
      <c r="N751">
        <v>12547</v>
      </c>
      <c r="O751" t="s">
        <v>53</v>
      </c>
      <c r="P751" t="s">
        <v>70</v>
      </c>
      <c r="Q751" t="s">
        <v>71</v>
      </c>
      <c r="R751" t="s">
        <v>93</v>
      </c>
      <c r="S751" t="s">
        <v>1065</v>
      </c>
      <c r="T751" t="s">
        <v>73</v>
      </c>
      <c r="U751" t="s">
        <v>101</v>
      </c>
      <c r="V751">
        <v>0.93591500000000005</v>
      </c>
      <c r="W751" t="s">
        <v>53</v>
      </c>
      <c r="X751" t="s">
        <v>53</v>
      </c>
      <c r="Y751" t="s">
        <v>277</v>
      </c>
      <c r="Z751" t="str">
        <f t="shared" si="22"/>
        <v>Mayor que 10 - hasta 15</v>
      </c>
      <c r="AA751">
        <f t="shared" si="23"/>
        <v>1</v>
      </c>
      <c r="AB751" t="e">
        <v>#N/A</v>
      </c>
      <c r="AC751" t="e">
        <v>#N/A</v>
      </c>
      <c r="AD751" t="e">
        <v>#N/A</v>
      </c>
      <c r="AE751">
        <v>0</v>
      </c>
      <c r="AF751" t="s">
        <v>211</v>
      </c>
      <c r="AG751">
        <v>0</v>
      </c>
      <c r="AH751" t="e">
        <v>#N/A</v>
      </c>
      <c r="AI751" t="e">
        <v>#N/A</v>
      </c>
      <c r="AJ751">
        <v>0</v>
      </c>
      <c r="AK751" t="s">
        <v>211</v>
      </c>
      <c r="AL751">
        <v>0</v>
      </c>
      <c r="AM751" s="4" t="e">
        <v>#N/A</v>
      </c>
      <c r="AN751" s="5" t="e">
        <v>#N/A</v>
      </c>
      <c r="AO751" s="4" t="e">
        <v>#N/A</v>
      </c>
      <c r="AP751" s="6" t="e">
        <v>#N/A</v>
      </c>
      <c r="AQ751">
        <v>4</v>
      </c>
      <c r="AR751">
        <v>1.8649999999999999E-3</v>
      </c>
      <c r="AS751" t="s">
        <v>66</v>
      </c>
      <c r="AT751" t="s">
        <v>53</v>
      </c>
    </row>
    <row r="752" spans="1:46">
      <c r="A752">
        <v>135</v>
      </c>
      <c r="B752" t="s">
        <v>46</v>
      </c>
      <c r="C752">
        <v>52</v>
      </c>
      <c r="D752">
        <v>480</v>
      </c>
      <c r="E752" t="s">
        <v>1094</v>
      </c>
      <c r="F752" t="s">
        <v>223</v>
      </c>
      <c r="G752">
        <v>52480</v>
      </c>
      <c r="H752">
        <v>52480</v>
      </c>
      <c r="I752" t="s">
        <v>49</v>
      </c>
      <c r="J752">
        <v>5201</v>
      </c>
      <c r="K752" t="s">
        <v>409</v>
      </c>
      <c r="L752" t="s">
        <v>51</v>
      </c>
      <c r="M752" t="s">
        <v>53</v>
      </c>
      <c r="N752">
        <v>4541</v>
      </c>
      <c r="O752" t="s">
        <v>53</v>
      </c>
      <c r="P752" t="s">
        <v>70</v>
      </c>
      <c r="Q752" t="s">
        <v>71</v>
      </c>
      <c r="R752" t="s">
        <v>93</v>
      </c>
      <c r="S752" t="s">
        <v>57</v>
      </c>
      <c r="T752" t="s">
        <v>58</v>
      </c>
      <c r="U752" t="s">
        <v>119</v>
      </c>
      <c r="V752">
        <v>0.26458300000000001</v>
      </c>
      <c r="W752" t="s">
        <v>53</v>
      </c>
      <c r="X752" t="s">
        <v>53</v>
      </c>
      <c r="Y752" t="s">
        <v>87</v>
      </c>
      <c r="Z752" t="str">
        <f t="shared" si="22"/>
        <v>Mayor que 40 - hasta 50</v>
      </c>
      <c r="AA752">
        <f t="shared" si="23"/>
        <v>1</v>
      </c>
      <c r="AB752">
        <v>52480</v>
      </c>
      <c r="AC752" t="s">
        <v>627</v>
      </c>
      <c r="AD752" t="s">
        <v>628</v>
      </c>
      <c r="AE752">
        <v>0.50760899999999998</v>
      </c>
      <c r="AF752" t="s">
        <v>63</v>
      </c>
      <c r="AG752">
        <v>15.582338</v>
      </c>
      <c r="AH752" t="s">
        <v>627</v>
      </c>
      <c r="AI752" t="s">
        <v>628</v>
      </c>
      <c r="AJ752">
        <v>0.53030900000000003</v>
      </c>
      <c r="AK752" t="s">
        <v>63</v>
      </c>
      <c r="AL752">
        <v>16.123759</v>
      </c>
      <c r="AM752" s="4" t="s">
        <v>65</v>
      </c>
      <c r="AN752" s="5">
        <v>1971.1046195558242</v>
      </c>
      <c r="AO752" s="4" t="s">
        <v>65</v>
      </c>
      <c r="AP752" s="6">
        <v>847</v>
      </c>
      <c r="AQ752">
        <v>4</v>
      </c>
      <c r="AR752">
        <v>681.51333399999999</v>
      </c>
      <c r="AS752" t="s">
        <v>66</v>
      </c>
      <c r="AT752" t="s">
        <v>53</v>
      </c>
    </row>
    <row r="753" spans="1:46">
      <c r="A753">
        <v>171</v>
      </c>
      <c r="B753" t="s">
        <v>46</v>
      </c>
      <c r="C753">
        <v>52</v>
      </c>
      <c r="D753">
        <v>490</v>
      </c>
      <c r="E753" t="s">
        <v>1095</v>
      </c>
      <c r="F753" t="s">
        <v>223</v>
      </c>
      <c r="G753">
        <v>52490</v>
      </c>
      <c r="H753">
        <v>52490</v>
      </c>
      <c r="I753" t="s">
        <v>49</v>
      </c>
      <c r="J753">
        <v>5203</v>
      </c>
      <c r="K753" t="s">
        <v>1064</v>
      </c>
      <c r="L753" t="s">
        <v>69</v>
      </c>
      <c r="M753" t="s">
        <v>53</v>
      </c>
      <c r="N753">
        <v>26280</v>
      </c>
      <c r="O753" t="s">
        <v>53</v>
      </c>
      <c r="P753" t="s">
        <v>70</v>
      </c>
      <c r="Q753" t="s">
        <v>71</v>
      </c>
      <c r="R753" t="s">
        <v>122</v>
      </c>
      <c r="S753" t="s">
        <v>1065</v>
      </c>
      <c r="T753" t="s">
        <v>73</v>
      </c>
      <c r="U753" t="s">
        <v>115</v>
      </c>
      <c r="V753">
        <v>0.66571400000000003</v>
      </c>
      <c r="W753" t="s">
        <v>53</v>
      </c>
      <c r="X753" t="s">
        <v>53</v>
      </c>
      <c r="Y753" t="s">
        <v>277</v>
      </c>
      <c r="Z753" t="str">
        <f t="shared" si="22"/>
        <v>Mayor que 10 - hasta 15</v>
      </c>
      <c r="AA753">
        <f t="shared" si="23"/>
        <v>1</v>
      </c>
      <c r="AB753" t="e">
        <v>#N/A</v>
      </c>
      <c r="AC753" t="e">
        <v>#N/A</v>
      </c>
      <c r="AD753" t="e">
        <v>#N/A</v>
      </c>
      <c r="AE753">
        <v>0</v>
      </c>
      <c r="AF753" t="s">
        <v>211</v>
      </c>
      <c r="AG753">
        <v>0</v>
      </c>
      <c r="AH753" t="e">
        <v>#N/A</v>
      </c>
      <c r="AI753" t="e">
        <v>#N/A</v>
      </c>
      <c r="AJ753">
        <v>0</v>
      </c>
      <c r="AK753" t="s">
        <v>211</v>
      </c>
      <c r="AL753">
        <v>0</v>
      </c>
      <c r="AM753" s="4" t="e">
        <v>#N/A</v>
      </c>
      <c r="AN753" s="5" t="e">
        <v>#N/A</v>
      </c>
      <c r="AO753" s="4" t="e">
        <v>#N/A</v>
      </c>
      <c r="AP753" s="6" t="e">
        <v>#N/A</v>
      </c>
      <c r="AQ753">
        <v>3</v>
      </c>
      <c r="AR753">
        <v>955.75251800000001</v>
      </c>
      <c r="AS753" t="s">
        <v>66</v>
      </c>
      <c r="AT753" t="s">
        <v>53</v>
      </c>
    </row>
    <row r="754" spans="1:46">
      <c r="A754">
        <v>136</v>
      </c>
      <c r="B754" t="s">
        <v>46</v>
      </c>
      <c r="C754">
        <v>52</v>
      </c>
      <c r="D754">
        <v>506</v>
      </c>
      <c r="E754" t="s">
        <v>1096</v>
      </c>
      <c r="F754" t="s">
        <v>223</v>
      </c>
      <c r="G754">
        <v>52506</v>
      </c>
      <c r="H754">
        <v>52506</v>
      </c>
      <c r="I754" t="s">
        <v>49</v>
      </c>
      <c r="J754">
        <v>5202</v>
      </c>
      <c r="K754" t="s">
        <v>1061</v>
      </c>
      <c r="L754" t="s">
        <v>91</v>
      </c>
      <c r="M754" t="s">
        <v>53</v>
      </c>
      <c r="N754">
        <v>7393</v>
      </c>
      <c r="O754" t="s">
        <v>53</v>
      </c>
      <c r="P754" t="s">
        <v>70</v>
      </c>
      <c r="Q754" t="s">
        <v>71</v>
      </c>
      <c r="R754" t="s">
        <v>105</v>
      </c>
      <c r="S754" t="s">
        <v>57</v>
      </c>
      <c r="T754" t="s">
        <v>58</v>
      </c>
      <c r="U754" t="s">
        <v>81</v>
      </c>
      <c r="V754">
        <v>0.76121099999999997</v>
      </c>
      <c r="W754">
        <v>2017</v>
      </c>
      <c r="X754" t="s">
        <v>141</v>
      </c>
      <c r="Y754" t="s">
        <v>142</v>
      </c>
      <c r="Z754" t="str">
        <f t="shared" si="22"/>
        <v>Mayor que 60 - hasta 70</v>
      </c>
      <c r="AA754">
        <f t="shared" si="23"/>
        <v>0</v>
      </c>
      <c r="AB754">
        <v>52506</v>
      </c>
      <c r="AC754" t="s">
        <v>627</v>
      </c>
      <c r="AD754" t="s">
        <v>1059</v>
      </c>
      <c r="AE754">
        <v>1.3555269999999999</v>
      </c>
      <c r="AF754" t="s">
        <v>76</v>
      </c>
      <c r="AG754">
        <v>55.174221000000003</v>
      </c>
      <c r="AH754" t="s">
        <v>627</v>
      </c>
      <c r="AI754" t="s">
        <v>628</v>
      </c>
      <c r="AJ754">
        <v>1.9095340000000001</v>
      </c>
      <c r="AK754" t="s">
        <v>76</v>
      </c>
      <c r="AL754">
        <v>62.506810999999999</v>
      </c>
      <c r="AM754" t="s">
        <v>65</v>
      </c>
      <c r="AN754" s="7">
        <v>1308.532224736191</v>
      </c>
      <c r="AO754" t="s">
        <v>65</v>
      </c>
      <c r="AP754" s="3">
        <v>998</v>
      </c>
      <c r="AQ754">
        <v>4</v>
      </c>
      <c r="AR754">
        <v>583.73837600000002</v>
      </c>
      <c r="AS754" t="s">
        <v>66</v>
      </c>
      <c r="AT754" t="s">
        <v>53</v>
      </c>
    </row>
    <row r="755" spans="1:46">
      <c r="A755">
        <v>172</v>
      </c>
      <c r="B755" t="s">
        <v>46</v>
      </c>
      <c r="C755">
        <v>52</v>
      </c>
      <c r="D755">
        <v>520</v>
      </c>
      <c r="E755" t="s">
        <v>1097</v>
      </c>
      <c r="F755" t="s">
        <v>223</v>
      </c>
      <c r="G755">
        <v>52520</v>
      </c>
      <c r="H755">
        <v>52520</v>
      </c>
      <c r="I755" t="s">
        <v>49</v>
      </c>
      <c r="J755">
        <v>5203</v>
      </c>
      <c r="K755" t="s">
        <v>1064</v>
      </c>
      <c r="L755" t="s">
        <v>69</v>
      </c>
      <c r="M755" t="s">
        <v>53</v>
      </c>
      <c r="N755">
        <v>14861</v>
      </c>
      <c r="O755" t="s">
        <v>53</v>
      </c>
      <c r="P755" t="s">
        <v>70</v>
      </c>
      <c r="Q755" t="s">
        <v>71</v>
      </c>
      <c r="R755" t="s">
        <v>122</v>
      </c>
      <c r="S755" t="s">
        <v>1065</v>
      </c>
      <c r="T755" t="s">
        <v>73</v>
      </c>
      <c r="U755" t="s">
        <v>101</v>
      </c>
      <c r="V755">
        <v>0.98620699999999994</v>
      </c>
      <c r="W755" t="s">
        <v>53</v>
      </c>
      <c r="X755" t="s">
        <v>53</v>
      </c>
      <c r="Y755" t="s">
        <v>277</v>
      </c>
      <c r="Z755" t="str">
        <f t="shared" si="22"/>
        <v>Mayor que 10 - hasta 15</v>
      </c>
      <c r="AA755">
        <f t="shared" si="23"/>
        <v>1</v>
      </c>
      <c r="AB755" t="e">
        <v>#N/A</v>
      </c>
      <c r="AC755" t="e">
        <v>#N/A</v>
      </c>
      <c r="AD755" t="e">
        <v>#N/A</v>
      </c>
      <c r="AE755">
        <v>0</v>
      </c>
      <c r="AF755" t="s">
        <v>211</v>
      </c>
      <c r="AG755">
        <v>0</v>
      </c>
      <c r="AH755" t="e">
        <v>#N/A</v>
      </c>
      <c r="AI755" t="e">
        <v>#N/A</v>
      </c>
      <c r="AJ755">
        <v>0</v>
      </c>
      <c r="AK755" t="s">
        <v>211</v>
      </c>
      <c r="AL755">
        <v>0</v>
      </c>
      <c r="AM755" s="4" t="e">
        <v>#N/A</v>
      </c>
      <c r="AN755" s="5" t="e">
        <v>#N/A</v>
      </c>
      <c r="AO755" s="4" t="e">
        <v>#N/A</v>
      </c>
      <c r="AP755" s="6" t="e">
        <v>#N/A</v>
      </c>
      <c r="AQ755">
        <v>3</v>
      </c>
      <c r="AR755">
        <v>12.986231</v>
      </c>
      <c r="AS755" t="s">
        <v>66</v>
      </c>
      <c r="AT755" t="s">
        <v>53</v>
      </c>
    </row>
    <row r="756" spans="1:46">
      <c r="A756">
        <v>164</v>
      </c>
      <c r="B756" t="s">
        <v>46</v>
      </c>
      <c r="C756">
        <v>52</v>
      </c>
      <c r="D756">
        <v>540</v>
      </c>
      <c r="E756" t="s">
        <v>1098</v>
      </c>
      <c r="F756" t="s">
        <v>223</v>
      </c>
      <c r="G756">
        <v>52540</v>
      </c>
      <c r="H756">
        <v>52540</v>
      </c>
      <c r="I756" t="s">
        <v>49</v>
      </c>
      <c r="J756">
        <v>5204</v>
      </c>
      <c r="K756" t="s">
        <v>112</v>
      </c>
      <c r="L756" t="s">
        <v>80</v>
      </c>
      <c r="M756" t="s">
        <v>53</v>
      </c>
      <c r="N756">
        <v>10314</v>
      </c>
      <c r="O756" t="s">
        <v>53</v>
      </c>
      <c r="P756" t="s">
        <v>70</v>
      </c>
      <c r="Q756" t="s">
        <v>71</v>
      </c>
      <c r="R756" t="s">
        <v>56</v>
      </c>
      <c r="S756" t="s">
        <v>615</v>
      </c>
      <c r="T756" t="s">
        <v>73</v>
      </c>
      <c r="U756" t="s">
        <v>115</v>
      </c>
      <c r="V756">
        <v>0.68581700000000001</v>
      </c>
      <c r="W756" t="s">
        <v>53</v>
      </c>
      <c r="X756" t="s">
        <v>53</v>
      </c>
      <c r="Y756" t="s">
        <v>82</v>
      </c>
      <c r="Z756" t="str">
        <f t="shared" si="22"/>
        <v>Mayor que 15 - hasta 20</v>
      </c>
      <c r="AA756">
        <f t="shared" si="23"/>
        <v>1</v>
      </c>
      <c r="AB756">
        <v>52540</v>
      </c>
      <c r="AC756" t="s">
        <v>627</v>
      </c>
      <c r="AD756" t="s">
        <v>628</v>
      </c>
      <c r="AE756">
        <v>2.9093460000000002</v>
      </c>
      <c r="AF756" t="s">
        <v>77</v>
      </c>
      <c r="AG756">
        <v>72.384985999999998</v>
      </c>
      <c r="AH756" t="s">
        <v>627</v>
      </c>
      <c r="AI756" t="s">
        <v>628</v>
      </c>
      <c r="AJ756">
        <v>2.9320460000000002</v>
      </c>
      <c r="AK756" t="s">
        <v>77</v>
      </c>
      <c r="AL756">
        <v>72.926406999999998</v>
      </c>
      <c r="AM756" s="4" t="e">
        <v>#N/A</v>
      </c>
      <c r="AN756" s="5" t="e">
        <v>#N/A</v>
      </c>
      <c r="AO756" s="4" t="e">
        <v>#N/A</v>
      </c>
      <c r="AP756" s="6" t="e">
        <v>#N/A</v>
      </c>
      <c r="AQ756">
        <v>4</v>
      </c>
      <c r="AR756">
        <v>7596.5330599999998</v>
      </c>
      <c r="AS756" t="s">
        <v>66</v>
      </c>
      <c r="AT756" t="s">
        <v>53</v>
      </c>
    </row>
    <row r="757" spans="1:46">
      <c r="A757">
        <v>115</v>
      </c>
      <c r="B757" t="s">
        <v>46</v>
      </c>
      <c r="C757">
        <v>52</v>
      </c>
      <c r="D757">
        <v>560</v>
      </c>
      <c r="E757" t="s">
        <v>1099</v>
      </c>
      <c r="F757" t="s">
        <v>223</v>
      </c>
      <c r="G757">
        <v>52560</v>
      </c>
      <c r="H757">
        <v>52560</v>
      </c>
      <c r="I757" t="s">
        <v>49</v>
      </c>
      <c r="J757">
        <v>5205</v>
      </c>
      <c r="K757" t="s">
        <v>297</v>
      </c>
      <c r="L757" t="s">
        <v>80</v>
      </c>
      <c r="M757" t="s">
        <v>53</v>
      </c>
      <c r="N757">
        <v>10719</v>
      </c>
      <c r="O757" t="s">
        <v>53</v>
      </c>
      <c r="P757" t="s">
        <v>70</v>
      </c>
      <c r="Q757" t="s">
        <v>71</v>
      </c>
      <c r="R757" t="s">
        <v>72</v>
      </c>
      <c r="S757" t="s">
        <v>57</v>
      </c>
      <c r="T757" t="s">
        <v>58</v>
      </c>
      <c r="U757" t="s">
        <v>59</v>
      </c>
      <c r="V757">
        <v>0.77418699999999996</v>
      </c>
      <c r="W757">
        <v>2017</v>
      </c>
      <c r="X757" t="s">
        <v>147</v>
      </c>
      <c r="Y757" t="s">
        <v>148</v>
      </c>
      <c r="Z757" t="str">
        <f t="shared" si="22"/>
        <v>Mayor que 50 - hasta 60</v>
      </c>
      <c r="AA757">
        <f t="shared" si="23"/>
        <v>0</v>
      </c>
      <c r="AB757">
        <v>52560</v>
      </c>
      <c r="AC757" t="s">
        <v>627</v>
      </c>
      <c r="AD757" t="s">
        <v>1059</v>
      </c>
      <c r="AE757">
        <v>0.32375999999999999</v>
      </c>
      <c r="AF757" t="s">
        <v>63</v>
      </c>
      <c r="AG757">
        <v>12.129645999999999</v>
      </c>
      <c r="AH757" t="s">
        <v>627</v>
      </c>
      <c r="AI757" t="s">
        <v>628</v>
      </c>
      <c r="AJ757">
        <v>2.687932</v>
      </c>
      <c r="AK757" t="s">
        <v>77</v>
      </c>
      <c r="AL757">
        <v>87.884479999999996</v>
      </c>
      <c r="AM757" t="s">
        <v>65</v>
      </c>
      <c r="AN757" s="7">
        <v>21.97211130006659</v>
      </c>
      <c r="AO757" t="s">
        <v>65</v>
      </c>
      <c r="AP757" s="3">
        <v>165</v>
      </c>
      <c r="AQ757">
        <v>4</v>
      </c>
      <c r="AR757">
        <v>17.335311000000001</v>
      </c>
      <c r="AS757" t="s">
        <v>66</v>
      </c>
      <c r="AT757" t="s">
        <v>53</v>
      </c>
    </row>
    <row r="758" spans="1:46">
      <c r="A758">
        <v>117</v>
      </c>
      <c r="B758" t="s">
        <v>46</v>
      </c>
      <c r="C758">
        <v>52</v>
      </c>
      <c r="D758">
        <v>565</v>
      </c>
      <c r="E758" t="s">
        <v>1100</v>
      </c>
      <c r="F758" t="s">
        <v>223</v>
      </c>
      <c r="G758">
        <v>52565</v>
      </c>
      <c r="H758">
        <v>52565</v>
      </c>
      <c r="I758" t="s">
        <v>49</v>
      </c>
      <c r="J758">
        <v>5202</v>
      </c>
      <c r="K758" t="s">
        <v>1061</v>
      </c>
      <c r="L758" t="s">
        <v>91</v>
      </c>
      <c r="M758" t="s">
        <v>53</v>
      </c>
      <c r="N758">
        <v>5796</v>
      </c>
      <c r="O758" t="s">
        <v>53</v>
      </c>
      <c r="P758" t="s">
        <v>70</v>
      </c>
      <c r="Q758" t="s">
        <v>71</v>
      </c>
      <c r="R758" t="s">
        <v>105</v>
      </c>
      <c r="S758" t="s">
        <v>57</v>
      </c>
      <c r="T758" t="s">
        <v>58</v>
      </c>
      <c r="U758" t="s">
        <v>59</v>
      </c>
      <c r="V758">
        <v>0.73182199999999997</v>
      </c>
      <c r="W758" t="s">
        <v>53</v>
      </c>
      <c r="X758" t="s">
        <v>53</v>
      </c>
      <c r="Y758" t="s">
        <v>102</v>
      </c>
      <c r="Z758" t="str">
        <f t="shared" si="22"/>
        <v>Mayor que 20 - hasta 30</v>
      </c>
      <c r="AA758">
        <f t="shared" si="23"/>
        <v>1</v>
      </c>
      <c r="AB758">
        <v>52565</v>
      </c>
      <c r="AC758" t="s">
        <v>627</v>
      </c>
      <c r="AD758" t="s">
        <v>1059</v>
      </c>
      <c r="AE758">
        <v>2.0296099999999999</v>
      </c>
      <c r="AF758" t="s">
        <v>77</v>
      </c>
      <c r="AG758">
        <v>67.996759999999995</v>
      </c>
      <c r="AH758" t="s">
        <v>627</v>
      </c>
      <c r="AI758" t="s">
        <v>628</v>
      </c>
      <c r="AJ758">
        <v>2.3421690000000002</v>
      </c>
      <c r="AK758" t="s">
        <v>77</v>
      </c>
      <c r="AL758">
        <v>75.260721000000004</v>
      </c>
      <c r="AM758" s="4" t="s">
        <v>65</v>
      </c>
      <c r="AN758" s="5">
        <v>3890.6685991540721</v>
      </c>
      <c r="AO758" s="4" t="s">
        <v>65</v>
      </c>
      <c r="AP758" s="6">
        <v>1884</v>
      </c>
      <c r="AQ758">
        <v>4</v>
      </c>
      <c r="AR758">
        <v>3338.336976</v>
      </c>
      <c r="AS758" t="s">
        <v>66</v>
      </c>
      <c r="AT758" t="s">
        <v>53</v>
      </c>
    </row>
    <row r="759" spans="1:46">
      <c r="A759">
        <v>119</v>
      </c>
      <c r="B759" t="s">
        <v>46</v>
      </c>
      <c r="C759">
        <v>52</v>
      </c>
      <c r="D759">
        <v>573</v>
      </c>
      <c r="E759" t="s">
        <v>1101</v>
      </c>
      <c r="F759" t="s">
        <v>223</v>
      </c>
      <c r="G759">
        <v>52573</v>
      </c>
      <c r="H759">
        <v>52573</v>
      </c>
      <c r="I759" t="s">
        <v>49</v>
      </c>
      <c r="J759">
        <v>5205</v>
      </c>
      <c r="K759" t="s">
        <v>297</v>
      </c>
      <c r="L759" t="s">
        <v>69</v>
      </c>
      <c r="M759" t="s">
        <v>53</v>
      </c>
      <c r="N759">
        <v>8854</v>
      </c>
      <c r="O759" t="s">
        <v>53</v>
      </c>
      <c r="P759" t="s">
        <v>70</v>
      </c>
      <c r="Q759" t="s">
        <v>71</v>
      </c>
      <c r="R759" t="s">
        <v>72</v>
      </c>
      <c r="S759" t="s">
        <v>57</v>
      </c>
      <c r="T759" t="s">
        <v>73</v>
      </c>
      <c r="U759" t="s">
        <v>59</v>
      </c>
      <c r="V759">
        <v>0.75305699999999998</v>
      </c>
      <c r="W759">
        <v>2017</v>
      </c>
      <c r="X759" t="s">
        <v>147</v>
      </c>
      <c r="Y759" t="s">
        <v>148</v>
      </c>
      <c r="Z759" t="str">
        <f t="shared" si="22"/>
        <v>Mayor que 50 - hasta 60</v>
      </c>
      <c r="AA759">
        <f t="shared" si="23"/>
        <v>0</v>
      </c>
      <c r="AB759">
        <v>52573</v>
      </c>
      <c r="AC759" t="s">
        <v>627</v>
      </c>
      <c r="AD759" t="s">
        <v>1059</v>
      </c>
      <c r="AE759">
        <v>0.474026</v>
      </c>
      <c r="AF759" t="s">
        <v>63</v>
      </c>
      <c r="AG759">
        <v>21.323758999999999</v>
      </c>
      <c r="AH759" t="s">
        <v>627</v>
      </c>
      <c r="AI759" t="s">
        <v>628</v>
      </c>
      <c r="AJ759">
        <v>2.1701609999999998</v>
      </c>
      <c r="AK759" t="s">
        <v>77</v>
      </c>
      <c r="AL759">
        <v>62.265389999999996</v>
      </c>
      <c r="AM759" t="s">
        <v>65</v>
      </c>
      <c r="AN759" s="7">
        <v>1566.5301522391619</v>
      </c>
      <c r="AO759" t="s">
        <v>65</v>
      </c>
      <c r="AP759" s="3">
        <v>1677</v>
      </c>
      <c r="AQ759">
        <v>1</v>
      </c>
      <c r="AR759">
        <v>809.79029500000001</v>
      </c>
      <c r="AS759" t="s">
        <v>66</v>
      </c>
      <c r="AT759" t="s">
        <v>53</v>
      </c>
    </row>
    <row r="760" spans="1:46">
      <c r="A760">
        <v>121</v>
      </c>
      <c r="B760" t="s">
        <v>46</v>
      </c>
      <c r="C760">
        <v>52</v>
      </c>
      <c r="D760">
        <v>585</v>
      </c>
      <c r="E760" t="s">
        <v>1102</v>
      </c>
      <c r="F760" t="s">
        <v>223</v>
      </c>
      <c r="G760">
        <v>52585</v>
      </c>
      <c r="H760">
        <v>52585</v>
      </c>
      <c r="I760" t="s">
        <v>49</v>
      </c>
      <c r="J760">
        <v>5205</v>
      </c>
      <c r="K760" t="s">
        <v>297</v>
      </c>
      <c r="L760" t="s">
        <v>91</v>
      </c>
      <c r="M760" t="s">
        <v>53</v>
      </c>
      <c r="N760">
        <v>18164</v>
      </c>
      <c r="O760" t="s">
        <v>53</v>
      </c>
      <c r="P760" t="s">
        <v>70</v>
      </c>
      <c r="Q760" t="s">
        <v>71</v>
      </c>
      <c r="R760" t="s">
        <v>56</v>
      </c>
      <c r="S760" t="s">
        <v>57</v>
      </c>
      <c r="T760" t="s">
        <v>58</v>
      </c>
      <c r="U760" t="s">
        <v>81</v>
      </c>
      <c r="V760">
        <v>0.60735399999999995</v>
      </c>
      <c r="W760" t="s">
        <v>53</v>
      </c>
      <c r="X760" t="s">
        <v>53</v>
      </c>
      <c r="Y760" t="s">
        <v>102</v>
      </c>
      <c r="Z760" t="str">
        <f t="shared" si="22"/>
        <v>Mayor que 20 - hasta 30</v>
      </c>
      <c r="AA760">
        <f t="shared" si="23"/>
        <v>1</v>
      </c>
      <c r="AB760">
        <v>52585</v>
      </c>
      <c r="AC760" t="s">
        <v>627</v>
      </c>
      <c r="AD760" t="s">
        <v>1059</v>
      </c>
      <c r="AE760">
        <v>0.21324000000000001</v>
      </c>
      <c r="AF760" t="s">
        <v>63</v>
      </c>
      <c r="AG760">
        <v>6.4526909999999997</v>
      </c>
      <c r="AH760" t="s">
        <v>627</v>
      </c>
      <c r="AI760" t="s">
        <v>628</v>
      </c>
      <c r="AJ760">
        <v>2.5454140000000001</v>
      </c>
      <c r="AK760" t="s">
        <v>77</v>
      </c>
      <c r="AL760">
        <v>79.841840000000005</v>
      </c>
      <c r="AM760" s="4" t="s">
        <v>65</v>
      </c>
      <c r="AN760" s="5">
        <v>40.689733029627419</v>
      </c>
      <c r="AO760" s="4" t="s">
        <v>65</v>
      </c>
      <c r="AP760" s="6">
        <v>22</v>
      </c>
      <c r="AQ760">
        <v>3</v>
      </c>
      <c r="AR760">
        <v>28.487793</v>
      </c>
      <c r="AS760" t="s">
        <v>66</v>
      </c>
      <c r="AT760" t="s">
        <v>53</v>
      </c>
    </row>
    <row r="761" spans="1:46">
      <c r="A761">
        <v>165</v>
      </c>
      <c r="B761" t="s">
        <v>46</v>
      </c>
      <c r="C761">
        <v>52</v>
      </c>
      <c r="D761">
        <v>612</v>
      </c>
      <c r="E761" t="s">
        <v>418</v>
      </c>
      <c r="F761" t="s">
        <v>223</v>
      </c>
      <c r="G761">
        <v>52612</v>
      </c>
      <c r="H761">
        <v>52612</v>
      </c>
      <c r="I761" t="s">
        <v>49</v>
      </c>
      <c r="J761">
        <v>5202</v>
      </c>
      <c r="K761" t="s">
        <v>1061</v>
      </c>
      <c r="L761" t="s">
        <v>80</v>
      </c>
      <c r="M761" t="s">
        <v>53</v>
      </c>
      <c r="N761">
        <v>20581</v>
      </c>
      <c r="O761" t="s">
        <v>53</v>
      </c>
      <c r="P761" t="s">
        <v>70</v>
      </c>
      <c r="Q761" t="s">
        <v>71</v>
      </c>
      <c r="R761" t="s">
        <v>93</v>
      </c>
      <c r="S761" t="s">
        <v>1065</v>
      </c>
      <c r="T761" t="s">
        <v>73</v>
      </c>
      <c r="U761" t="s">
        <v>115</v>
      </c>
      <c r="V761">
        <v>0.74395500000000003</v>
      </c>
      <c r="W761" t="s">
        <v>53</v>
      </c>
      <c r="X761" t="s">
        <v>53</v>
      </c>
      <c r="Y761" t="s">
        <v>277</v>
      </c>
      <c r="Z761" t="str">
        <f t="shared" si="22"/>
        <v>Mayor que 10 - hasta 15</v>
      </c>
      <c r="AA761">
        <f t="shared" si="23"/>
        <v>1</v>
      </c>
      <c r="AB761">
        <v>52612</v>
      </c>
      <c r="AC761" t="s">
        <v>627</v>
      </c>
      <c r="AD761" t="s">
        <v>1059</v>
      </c>
      <c r="AE761">
        <v>2.9648659999999998</v>
      </c>
      <c r="AF761" t="s">
        <v>77</v>
      </c>
      <c r="AG761">
        <v>79.602142999999998</v>
      </c>
      <c r="AH761" t="s">
        <v>627</v>
      </c>
      <c r="AI761" t="s">
        <v>628</v>
      </c>
      <c r="AJ761">
        <v>4.1809649999999996</v>
      </c>
      <c r="AK761" t="s">
        <v>85</v>
      </c>
      <c r="AL761">
        <v>121.806515</v>
      </c>
      <c r="AM761" s="4" t="e">
        <v>#N/A</v>
      </c>
      <c r="AN761" s="5" t="e">
        <v>#N/A</v>
      </c>
      <c r="AO761" s="4" t="e">
        <v>#N/A</v>
      </c>
      <c r="AP761" s="6" t="e">
        <v>#N/A</v>
      </c>
      <c r="AQ761">
        <v>4</v>
      </c>
      <c r="AR761">
        <v>292.82964600000003</v>
      </c>
      <c r="AS761" t="s">
        <v>66</v>
      </c>
      <c r="AT761" t="s">
        <v>53</v>
      </c>
    </row>
    <row r="762" spans="1:46">
      <c r="A762">
        <v>173</v>
      </c>
      <c r="B762" t="s">
        <v>46</v>
      </c>
      <c r="C762">
        <v>52</v>
      </c>
      <c r="D762">
        <v>621</v>
      </c>
      <c r="E762" t="s">
        <v>1103</v>
      </c>
      <c r="F762" t="s">
        <v>223</v>
      </c>
      <c r="G762">
        <v>52621</v>
      </c>
      <c r="H762">
        <v>52621</v>
      </c>
      <c r="I762" t="s">
        <v>49</v>
      </c>
      <c r="J762">
        <v>5203</v>
      </c>
      <c r="K762" t="s">
        <v>1064</v>
      </c>
      <c r="L762" t="s">
        <v>80</v>
      </c>
      <c r="M762" t="s">
        <v>53</v>
      </c>
      <c r="N762">
        <v>13249</v>
      </c>
      <c r="O762" t="s">
        <v>53</v>
      </c>
      <c r="P762" t="s">
        <v>70</v>
      </c>
      <c r="Q762" t="s">
        <v>71</v>
      </c>
      <c r="R762" t="s">
        <v>56</v>
      </c>
      <c r="S762" t="s">
        <v>1065</v>
      </c>
      <c r="T762" t="s">
        <v>73</v>
      </c>
      <c r="U762" t="s">
        <v>115</v>
      </c>
      <c r="V762">
        <v>0.88393500000000003</v>
      </c>
      <c r="W762" t="s">
        <v>53</v>
      </c>
      <c r="X762" t="s">
        <v>53</v>
      </c>
      <c r="Y762" t="s">
        <v>277</v>
      </c>
      <c r="Z762" t="str">
        <f t="shared" si="22"/>
        <v>Mayor que 10 - hasta 15</v>
      </c>
      <c r="AA762">
        <f t="shared" si="23"/>
        <v>1</v>
      </c>
      <c r="AB762">
        <v>52621</v>
      </c>
      <c r="AC762" t="s">
        <v>627</v>
      </c>
      <c r="AD762" t="s">
        <v>1066</v>
      </c>
      <c r="AE762">
        <v>6.9898809999999996</v>
      </c>
      <c r="AF762" t="s">
        <v>211</v>
      </c>
      <c r="AG762">
        <v>185.235151</v>
      </c>
      <c r="AH762" t="s">
        <v>627</v>
      </c>
      <c r="AI762" t="s">
        <v>628</v>
      </c>
      <c r="AJ762">
        <v>10.038864999999999</v>
      </c>
      <c r="AK762" t="s">
        <v>221</v>
      </c>
      <c r="AL762">
        <v>214.63536099999999</v>
      </c>
      <c r="AM762" s="4" t="e">
        <v>#N/A</v>
      </c>
      <c r="AN762" s="5" t="e">
        <v>#N/A</v>
      </c>
      <c r="AO762" s="4" t="e">
        <v>#N/A</v>
      </c>
      <c r="AP762" s="6" t="e">
        <v>#N/A</v>
      </c>
      <c r="AQ762">
        <v>4</v>
      </c>
      <c r="AR762">
        <v>281.20702799999998</v>
      </c>
      <c r="AS762" t="s">
        <v>66</v>
      </c>
      <c r="AT762" t="s">
        <v>53</v>
      </c>
    </row>
    <row r="763" spans="1:46">
      <c r="A763">
        <v>122</v>
      </c>
      <c r="B763" t="s">
        <v>46</v>
      </c>
      <c r="C763">
        <v>52</v>
      </c>
      <c r="D763">
        <v>678</v>
      </c>
      <c r="E763" t="s">
        <v>1104</v>
      </c>
      <c r="F763" t="s">
        <v>223</v>
      </c>
      <c r="G763">
        <v>52678</v>
      </c>
      <c r="H763">
        <v>52678</v>
      </c>
      <c r="I763" t="s">
        <v>49</v>
      </c>
      <c r="J763">
        <v>5202</v>
      </c>
      <c r="K763" t="s">
        <v>1061</v>
      </c>
      <c r="L763" t="s">
        <v>91</v>
      </c>
      <c r="M763" t="s">
        <v>53</v>
      </c>
      <c r="N763">
        <v>29936</v>
      </c>
      <c r="O763" t="s">
        <v>53</v>
      </c>
      <c r="P763" t="s">
        <v>70</v>
      </c>
      <c r="Q763" t="s">
        <v>71</v>
      </c>
      <c r="R763" t="s">
        <v>105</v>
      </c>
      <c r="S763" t="s">
        <v>57</v>
      </c>
      <c r="T763" t="s">
        <v>73</v>
      </c>
      <c r="U763" t="s">
        <v>115</v>
      </c>
      <c r="V763">
        <v>0.80727199999999999</v>
      </c>
      <c r="W763" t="s">
        <v>53</v>
      </c>
      <c r="X763" t="s">
        <v>53</v>
      </c>
      <c r="Y763" t="s">
        <v>277</v>
      </c>
      <c r="Z763" t="str">
        <f t="shared" si="22"/>
        <v>Mayor que 10 - hasta 15</v>
      </c>
      <c r="AA763">
        <f t="shared" si="23"/>
        <v>1</v>
      </c>
      <c r="AB763">
        <v>52678</v>
      </c>
      <c r="AC763" t="s">
        <v>627</v>
      </c>
      <c r="AD763" t="s">
        <v>628</v>
      </c>
      <c r="AE763">
        <v>2.1550919999999998</v>
      </c>
      <c r="AF763" t="s">
        <v>77</v>
      </c>
      <c r="AG763">
        <v>56.716861000000002</v>
      </c>
      <c r="AH763" t="s">
        <v>627</v>
      </c>
      <c r="AI763" t="s">
        <v>628</v>
      </c>
      <c r="AJ763">
        <v>2.1777920000000002</v>
      </c>
      <c r="AK763" t="s">
        <v>77</v>
      </c>
      <c r="AL763">
        <v>57.258282999999999</v>
      </c>
      <c r="AM763" s="4" t="e">
        <v>#N/A</v>
      </c>
      <c r="AN763" s="5" t="e">
        <v>#N/A</v>
      </c>
      <c r="AO763" s="4" t="e">
        <v>#N/A</v>
      </c>
      <c r="AP763" s="6" t="e">
        <v>#N/A</v>
      </c>
      <c r="AQ763">
        <v>4</v>
      </c>
      <c r="AR763">
        <v>14732.846937</v>
      </c>
      <c r="AS763" t="s">
        <v>66</v>
      </c>
      <c r="AT763" t="s">
        <v>53</v>
      </c>
    </row>
    <row r="764" spans="1:46">
      <c r="A764">
        <v>112</v>
      </c>
      <c r="B764" t="s">
        <v>46</v>
      </c>
      <c r="C764">
        <v>52</v>
      </c>
      <c r="D764">
        <v>683</v>
      </c>
      <c r="E764" t="s">
        <v>1105</v>
      </c>
      <c r="F764" t="s">
        <v>223</v>
      </c>
      <c r="G764">
        <v>52683</v>
      </c>
      <c r="H764">
        <v>52683</v>
      </c>
      <c r="I764" t="s">
        <v>49</v>
      </c>
      <c r="J764">
        <v>5201</v>
      </c>
      <c r="K764" t="s">
        <v>409</v>
      </c>
      <c r="L764" t="s">
        <v>91</v>
      </c>
      <c r="M764" t="s">
        <v>53</v>
      </c>
      <c r="N764">
        <v>21244</v>
      </c>
      <c r="O764" t="s">
        <v>53</v>
      </c>
      <c r="P764" t="s">
        <v>70</v>
      </c>
      <c r="Q764" t="s">
        <v>71</v>
      </c>
      <c r="R764" t="s">
        <v>72</v>
      </c>
      <c r="S764" t="s">
        <v>57</v>
      </c>
      <c r="T764" t="s">
        <v>58</v>
      </c>
      <c r="U764" t="s">
        <v>59</v>
      </c>
      <c r="V764">
        <v>0.64340799999999998</v>
      </c>
      <c r="W764" t="s">
        <v>53</v>
      </c>
      <c r="X764" t="s">
        <v>53</v>
      </c>
      <c r="Y764" t="s">
        <v>87</v>
      </c>
      <c r="Z764" t="str">
        <f t="shared" si="22"/>
        <v>Mayor que 40 - hasta 50</v>
      </c>
      <c r="AA764">
        <f t="shared" si="23"/>
        <v>1</v>
      </c>
      <c r="AB764">
        <v>52683</v>
      </c>
      <c r="AC764" t="s">
        <v>627</v>
      </c>
      <c r="AD764" t="s">
        <v>628</v>
      </c>
      <c r="AE764">
        <v>1.0044040000000001</v>
      </c>
      <c r="AF764" t="s">
        <v>76</v>
      </c>
      <c r="AG764">
        <v>35.023254000000001</v>
      </c>
      <c r="AH764" t="s">
        <v>627</v>
      </c>
      <c r="AI764" t="s">
        <v>628</v>
      </c>
      <c r="AJ764">
        <v>1.027104</v>
      </c>
      <c r="AK764" t="s">
        <v>76</v>
      </c>
      <c r="AL764">
        <v>35.564675000000001</v>
      </c>
      <c r="AM764" s="4" t="s">
        <v>65</v>
      </c>
      <c r="AN764" s="5">
        <v>8466.1860494892844</v>
      </c>
      <c r="AO764" s="4" t="s">
        <v>65</v>
      </c>
      <c r="AP764" s="6">
        <v>6238</v>
      </c>
      <c r="AQ764">
        <v>4</v>
      </c>
      <c r="AR764">
        <v>4739.215921</v>
      </c>
      <c r="AS764" t="s">
        <v>66</v>
      </c>
      <c r="AT764" t="s">
        <v>53</v>
      </c>
    </row>
    <row r="765" spans="1:46">
      <c r="A765">
        <v>113</v>
      </c>
      <c r="B765" t="s">
        <v>46</v>
      </c>
      <c r="C765">
        <v>52</v>
      </c>
      <c r="D765">
        <v>685</v>
      </c>
      <c r="E765" t="s">
        <v>850</v>
      </c>
      <c r="F765" t="s">
        <v>223</v>
      </c>
      <c r="G765">
        <v>52685</v>
      </c>
      <c r="H765">
        <v>52685</v>
      </c>
      <c r="I765" t="s">
        <v>49</v>
      </c>
      <c r="J765">
        <v>5204</v>
      </c>
      <c r="K765" t="s">
        <v>112</v>
      </c>
      <c r="L765" t="s">
        <v>91</v>
      </c>
      <c r="M765" t="s">
        <v>53</v>
      </c>
      <c r="N765">
        <v>9584</v>
      </c>
      <c r="O765" t="s">
        <v>53</v>
      </c>
      <c r="P765" t="s">
        <v>70</v>
      </c>
      <c r="Q765" t="s">
        <v>71</v>
      </c>
      <c r="R765" t="s">
        <v>105</v>
      </c>
      <c r="S765" t="s">
        <v>57</v>
      </c>
      <c r="T765" t="s">
        <v>58</v>
      </c>
      <c r="U765" t="s">
        <v>81</v>
      </c>
      <c r="V765">
        <v>0.85103099999999998</v>
      </c>
      <c r="W765" t="s">
        <v>53</v>
      </c>
      <c r="X765" t="s">
        <v>53</v>
      </c>
      <c r="Y765" t="s">
        <v>102</v>
      </c>
      <c r="Z765" t="str">
        <f t="shared" si="22"/>
        <v>Mayor que 20 - hasta 30</v>
      </c>
      <c r="AA765">
        <f t="shared" si="23"/>
        <v>1</v>
      </c>
      <c r="AB765">
        <v>52685</v>
      </c>
      <c r="AC765" t="s">
        <v>627</v>
      </c>
      <c r="AD765" t="s">
        <v>628</v>
      </c>
      <c r="AE765">
        <v>2.0540449999999999</v>
      </c>
      <c r="AF765" t="s">
        <v>77</v>
      </c>
      <c r="AG765">
        <v>57.568333000000003</v>
      </c>
      <c r="AH765" t="s">
        <v>627</v>
      </c>
      <c r="AI765" t="s">
        <v>628</v>
      </c>
      <c r="AJ765">
        <v>2.0767449999999998</v>
      </c>
      <c r="AK765" t="s">
        <v>77</v>
      </c>
      <c r="AL765">
        <v>58.109755</v>
      </c>
      <c r="AM765" s="4" t="s">
        <v>65</v>
      </c>
      <c r="AN765" s="5">
        <v>4402.3218198090826</v>
      </c>
      <c r="AO765" s="4" t="s">
        <v>65</v>
      </c>
      <c r="AP765" s="6">
        <v>2059</v>
      </c>
      <c r="AQ765">
        <v>4</v>
      </c>
      <c r="AR765">
        <v>5550.3790529999997</v>
      </c>
      <c r="AS765" t="s">
        <v>66</v>
      </c>
      <c r="AT765" t="s">
        <v>53</v>
      </c>
    </row>
    <row r="766" spans="1:46">
      <c r="A766">
        <v>114</v>
      </c>
      <c r="B766" t="s">
        <v>46</v>
      </c>
      <c r="C766">
        <v>52</v>
      </c>
      <c r="D766">
        <v>687</v>
      </c>
      <c r="E766" t="s">
        <v>1106</v>
      </c>
      <c r="F766" t="s">
        <v>223</v>
      </c>
      <c r="G766">
        <v>52687</v>
      </c>
      <c r="H766">
        <v>52687</v>
      </c>
      <c r="I766" t="s">
        <v>49</v>
      </c>
      <c r="J766">
        <v>5204</v>
      </c>
      <c r="K766" t="s">
        <v>112</v>
      </c>
      <c r="L766" t="s">
        <v>69</v>
      </c>
      <c r="M766" t="s">
        <v>53</v>
      </c>
      <c r="N766">
        <v>19280</v>
      </c>
      <c r="O766" t="s">
        <v>53</v>
      </c>
      <c r="P766" t="s">
        <v>70</v>
      </c>
      <c r="Q766" t="s">
        <v>71</v>
      </c>
      <c r="R766" t="s">
        <v>93</v>
      </c>
      <c r="S766" t="s">
        <v>57</v>
      </c>
      <c r="T766" t="s">
        <v>58</v>
      </c>
      <c r="U766" t="s">
        <v>59</v>
      </c>
      <c r="V766">
        <v>0.77866000000000002</v>
      </c>
      <c r="W766" t="s">
        <v>53</v>
      </c>
      <c r="X766" t="s">
        <v>53</v>
      </c>
      <c r="Y766" t="s">
        <v>82</v>
      </c>
      <c r="Z766" t="str">
        <f t="shared" si="22"/>
        <v>Mayor que 15 - hasta 20</v>
      </c>
      <c r="AA766">
        <f t="shared" si="23"/>
        <v>1</v>
      </c>
      <c r="AB766">
        <v>52687</v>
      </c>
      <c r="AC766" t="s">
        <v>627</v>
      </c>
      <c r="AD766" t="s">
        <v>628</v>
      </c>
      <c r="AE766">
        <v>1.676199</v>
      </c>
      <c r="AF766" t="s">
        <v>76</v>
      </c>
      <c r="AG766">
        <v>48.685996000000003</v>
      </c>
      <c r="AH766" t="s">
        <v>627</v>
      </c>
      <c r="AI766" t="s">
        <v>628</v>
      </c>
      <c r="AJ766">
        <v>1.6988989999999999</v>
      </c>
      <c r="AK766" t="s">
        <v>76</v>
      </c>
      <c r="AL766">
        <v>49.227417000000003</v>
      </c>
      <c r="AM766" s="4" t="s">
        <v>65</v>
      </c>
      <c r="AN766" s="5">
        <v>16980.484070351824</v>
      </c>
      <c r="AO766" s="4" t="s">
        <v>65</v>
      </c>
      <c r="AP766" s="6">
        <v>6021</v>
      </c>
      <c r="AQ766">
        <v>4</v>
      </c>
      <c r="AR766">
        <v>17916.573913</v>
      </c>
      <c r="AS766" t="s">
        <v>66</v>
      </c>
      <c r="AT766" t="s">
        <v>53</v>
      </c>
    </row>
    <row r="767" spans="1:46">
      <c r="A767">
        <v>116</v>
      </c>
      <c r="B767" t="s">
        <v>46</v>
      </c>
      <c r="C767">
        <v>52</v>
      </c>
      <c r="D767">
        <v>693</v>
      </c>
      <c r="E767" t="s">
        <v>396</v>
      </c>
      <c r="F767" t="s">
        <v>223</v>
      </c>
      <c r="G767">
        <v>52693</v>
      </c>
      <c r="H767">
        <v>52693</v>
      </c>
      <c r="I767" t="s">
        <v>49</v>
      </c>
      <c r="J767">
        <v>5204</v>
      </c>
      <c r="K767" t="s">
        <v>112</v>
      </c>
      <c r="L767" t="s">
        <v>91</v>
      </c>
      <c r="M767" t="s">
        <v>53</v>
      </c>
      <c r="N767">
        <v>15838</v>
      </c>
      <c r="O767" t="s">
        <v>53</v>
      </c>
      <c r="P767" t="s">
        <v>70</v>
      </c>
      <c r="Q767" t="s">
        <v>71</v>
      </c>
      <c r="R767" t="s">
        <v>93</v>
      </c>
      <c r="S767" t="s">
        <v>57</v>
      </c>
      <c r="T767" t="s">
        <v>58</v>
      </c>
      <c r="U767" t="s">
        <v>59</v>
      </c>
      <c r="V767">
        <v>0.78140799999999999</v>
      </c>
      <c r="W767" t="s">
        <v>53</v>
      </c>
      <c r="X767" t="s">
        <v>53</v>
      </c>
      <c r="Y767" t="s">
        <v>102</v>
      </c>
      <c r="Z767" t="str">
        <f t="shared" si="22"/>
        <v>Mayor que 20 - hasta 30</v>
      </c>
      <c r="AA767">
        <f t="shared" si="23"/>
        <v>1</v>
      </c>
      <c r="AB767">
        <v>52693</v>
      </c>
      <c r="AC767" t="s">
        <v>627</v>
      </c>
      <c r="AD767" t="s">
        <v>628</v>
      </c>
      <c r="AE767">
        <v>3.14201</v>
      </c>
      <c r="AF767" t="s">
        <v>84</v>
      </c>
      <c r="AG767">
        <v>98.425901999999994</v>
      </c>
      <c r="AH767" t="s">
        <v>627</v>
      </c>
      <c r="AI767" t="s">
        <v>628</v>
      </c>
      <c r="AJ767">
        <v>3.1647090000000002</v>
      </c>
      <c r="AK767" t="s">
        <v>84</v>
      </c>
      <c r="AL767">
        <v>98.967322999999993</v>
      </c>
      <c r="AM767" s="4" t="s">
        <v>65</v>
      </c>
      <c r="AN767" s="5">
        <v>8228.7688137294117</v>
      </c>
      <c r="AO767" s="4" t="s">
        <v>65</v>
      </c>
      <c r="AP767" s="6">
        <v>3828</v>
      </c>
      <c r="AQ767">
        <v>4</v>
      </c>
      <c r="AR767">
        <v>7106.3557119999996</v>
      </c>
      <c r="AS767" t="s">
        <v>66</v>
      </c>
      <c r="AT767" t="s">
        <v>53</v>
      </c>
    </row>
    <row r="768" spans="1:46">
      <c r="A768">
        <v>118</v>
      </c>
      <c r="B768" t="s">
        <v>46</v>
      </c>
      <c r="C768">
        <v>52</v>
      </c>
      <c r="D768">
        <v>694</v>
      </c>
      <c r="E768" t="s">
        <v>1107</v>
      </c>
      <c r="F768" t="s">
        <v>223</v>
      </c>
      <c r="G768">
        <v>52694</v>
      </c>
      <c r="H768">
        <v>52694</v>
      </c>
      <c r="I768" t="s">
        <v>49</v>
      </c>
      <c r="J768">
        <v>5204</v>
      </c>
      <c r="K768" t="s">
        <v>112</v>
      </c>
      <c r="L768" t="s">
        <v>91</v>
      </c>
      <c r="M768" t="s">
        <v>53</v>
      </c>
      <c r="N768">
        <v>7100</v>
      </c>
      <c r="O768" t="s">
        <v>53</v>
      </c>
      <c r="P768" t="s">
        <v>70</v>
      </c>
      <c r="Q768" t="s">
        <v>71</v>
      </c>
      <c r="R768" t="s">
        <v>93</v>
      </c>
      <c r="S768" t="s">
        <v>57</v>
      </c>
      <c r="T768" t="s">
        <v>58</v>
      </c>
      <c r="U768" t="s">
        <v>81</v>
      </c>
      <c r="V768">
        <v>0.82764899999999997</v>
      </c>
      <c r="W768" t="s">
        <v>53</v>
      </c>
      <c r="X768" t="s">
        <v>53</v>
      </c>
      <c r="Y768" t="s">
        <v>82</v>
      </c>
      <c r="Z768" t="str">
        <f t="shared" si="22"/>
        <v>Mayor que 15 - hasta 20</v>
      </c>
      <c r="AA768">
        <f t="shared" si="23"/>
        <v>1</v>
      </c>
      <c r="AB768">
        <v>52694</v>
      </c>
      <c r="AC768" t="s">
        <v>627</v>
      </c>
      <c r="AD768" t="s">
        <v>628</v>
      </c>
      <c r="AE768">
        <v>2.0934759999999999</v>
      </c>
      <c r="AF768" t="s">
        <v>77</v>
      </c>
      <c r="AG768">
        <v>64.223967999999999</v>
      </c>
      <c r="AH768" t="s">
        <v>627</v>
      </c>
      <c r="AI768" t="s">
        <v>628</v>
      </c>
      <c r="AJ768">
        <v>2.1161759999999998</v>
      </c>
      <c r="AK768" t="s">
        <v>77</v>
      </c>
      <c r="AL768">
        <v>64.765389999999996</v>
      </c>
      <c r="AM768" s="4" t="s">
        <v>65</v>
      </c>
      <c r="AN768" s="5">
        <v>4548.4705285819236</v>
      </c>
      <c r="AO768" s="4" t="s">
        <v>65</v>
      </c>
      <c r="AP768" s="6">
        <v>1759</v>
      </c>
      <c r="AQ768">
        <v>4</v>
      </c>
      <c r="AR768">
        <v>3598.8936199999998</v>
      </c>
      <c r="AS768" t="s">
        <v>66</v>
      </c>
      <c r="AT768" t="s">
        <v>53</v>
      </c>
    </row>
    <row r="769" spans="1:46">
      <c r="A769">
        <v>174</v>
      </c>
      <c r="B769" t="s">
        <v>46</v>
      </c>
      <c r="C769">
        <v>52</v>
      </c>
      <c r="D769">
        <v>696</v>
      </c>
      <c r="E769" t="s">
        <v>256</v>
      </c>
      <c r="F769" t="s">
        <v>223</v>
      </c>
      <c r="G769">
        <v>52696</v>
      </c>
      <c r="H769">
        <v>52696</v>
      </c>
      <c r="I769" t="s">
        <v>49</v>
      </c>
      <c r="J769">
        <v>5203</v>
      </c>
      <c r="K769" t="s">
        <v>1064</v>
      </c>
      <c r="L769" t="s">
        <v>80</v>
      </c>
      <c r="M769" t="s">
        <v>53</v>
      </c>
      <c r="N769">
        <v>14060</v>
      </c>
      <c r="O769" t="s">
        <v>53</v>
      </c>
      <c r="P769" t="s">
        <v>70</v>
      </c>
      <c r="Q769" t="s">
        <v>71</v>
      </c>
      <c r="R769" t="s">
        <v>105</v>
      </c>
      <c r="S769" t="s">
        <v>1065</v>
      </c>
      <c r="T769" t="s">
        <v>73</v>
      </c>
      <c r="U769" t="s">
        <v>115</v>
      </c>
      <c r="V769">
        <v>0.98630099999999998</v>
      </c>
      <c r="W769" t="s">
        <v>53</v>
      </c>
      <c r="X769" t="s">
        <v>53</v>
      </c>
      <c r="Y769" t="s">
        <v>277</v>
      </c>
      <c r="Z769" t="str">
        <f t="shared" si="22"/>
        <v>Mayor que 10 - hasta 15</v>
      </c>
      <c r="AA769">
        <f t="shared" si="23"/>
        <v>1</v>
      </c>
      <c r="AB769" t="e">
        <v>#N/A</v>
      </c>
      <c r="AC769" t="e">
        <v>#N/A</v>
      </c>
      <c r="AD769" t="e">
        <v>#N/A</v>
      </c>
      <c r="AE769">
        <v>0</v>
      </c>
      <c r="AF769" t="s">
        <v>211</v>
      </c>
      <c r="AG769">
        <v>0</v>
      </c>
      <c r="AH769" t="e">
        <v>#N/A</v>
      </c>
      <c r="AI769" t="e">
        <v>#N/A</v>
      </c>
      <c r="AJ769">
        <v>0</v>
      </c>
      <c r="AK769" t="s">
        <v>211</v>
      </c>
      <c r="AL769">
        <v>0</v>
      </c>
      <c r="AM769" s="4" t="e">
        <v>#N/A</v>
      </c>
      <c r="AN769" s="5" t="e">
        <v>#N/A</v>
      </c>
      <c r="AO769" s="4" t="e">
        <v>#N/A</v>
      </c>
      <c r="AP769" s="6" t="e">
        <v>#N/A</v>
      </c>
      <c r="AQ769">
        <v>3</v>
      </c>
      <c r="AR769">
        <v>2161.5373260000001</v>
      </c>
      <c r="AS769" t="s">
        <v>66</v>
      </c>
      <c r="AT769" t="s">
        <v>53</v>
      </c>
    </row>
    <row r="770" spans="1:46">
      <c r="A770">
        <v>120</v>
      </c>
      <c r="B770" t="s">
        <v>46</v>
      </c>
      <c r="C770">
        <v>52</v>
      </c>
      <c r="D770">
        <v>699</v>
      </c>
      <c r="E770" t="s">
        <v>1108</v>
      </c>
      <c r="F770" t="s">
        <v>223</v>
      </c>
      <c r="G770">
        <v>52699</v>
      </c>
      <c r="H770">
        <v>52699</v>
      </c>
      <c r="I770" t="s">
        <v>49</v>
      </c>
      <c r="J770">
        <v>5202</v>
      </c>
      <c r="K770" t="s">
        <v>1061</v>
      </c>
      <c r="L770" t="s">
        <v>69</v>
      </c>
      <c r="M770" t="s">
        <v>53</v>
      </c>
      <c r="N770">
        <v>11297</v>
      </c>
      <c r="O770" t="s">
        <v>53</v>
      </c>
      <c r="P770" t="s">
        <v>70</v>
      </c>
      <c r="Q770" t="s">
        <v>71</v>
      </c>
      <c r="R770" t="s">
        <v>122</v>
      </c>
      <c r="S770" t="s">
        <v>57</v>
      </c>
      <c r="T770" t="s">
        <v>58</v>
      </c>
      <c r="U770" t="s">
        <v>101</v>
      </c>
      <c r="V770">
        <v>0.88566999999999996</v>
      </c>
      <c r="W770" t="s">
        <v>53</v>
      </c>
      <c r="X770" t="s">
        <v>53</v>
      </c>
      <c r="Y770" t="s">
        <v>102</v>
      </c>
      <c r="Z770" t="str">
        <f t="shared" si="22"/>
        <v>Mayor que 20 - hasta 30</v>
      </c>
      <c r="AA770">
        <f t="shared" si="23"/>
        <v>1</v>
      </c>
      <c r="AB770">
        <v>52699</v>
      </c>
      <c r="AC770" t="s">
        <v>627</v>
      </c>
      <c r="AD770" t="s">
        <v>1059</v>
      </c>
      <c r="AE770">
        <v>2.1618840000000001</v>
      </c>
      <c r="AF770" t="s">
        <v>77</v>
      </c>
      <c r="AG770">
        <v>65.972496000000007</v>
      </c>
      <c r="AH770" t="s">
        <v>627</v>
      </c>
      <c r="AI770" t="s">
        <v>628</v>
      </c>
      <c r="AJ770">
        <v>2.8708670000000001</v>
      </c>
      <c r="AK770" t="s">
        <v>77</v>
      </c>
      <c r="AL770">
        <v>83.951890000000006</v>
      </c>
      <c r="AM770" s="4" t="e">
        <v>#N/A</v>
      </c>
      <c r="AN770" s="5" t="e">
        <v>#N/A</v>
      </c>
      <c r="AO770" s="4" t="e">
        <v>#N/A</v>
      </c>
      <c r="AP770" s="6" t="e">
        <v>#N/A</v>
      </c>
      <c r="AQ770">
        <v>4</v>
      </c>
      <c r="AR770">
        <v>7266.6899990000002</v>
      </c>
      <c r="AS770" t="s">
        <v>66</v>
      </c>
      <c r="AT770" t="s">
        <v>53</v>
      </c>
    </row>
    <row r="771" spans="1:46">
      <c r="A771">
        <v>137</v>
      </c>
      <c r="B771" t="s">
        <v>46</v>
      </c>
      <c r="C771">
        <v>52</v>
      </c>
      <c r="D771">
        <v>720</v>
      </c>
      <c r="E771" t="s">
        <v>1109</v>
      </c>
      <c r="F771" t="s">
        <v>223</v>
      </c>
      <c r="G771">
        <v>52720</v>
      </c>
      <c r="H771">
        <v>52720</v>
      </c>
      <c r="I771" t="s">
        <v>49</v>
      </c>
      <c r="J771">
        <v>5202</v>
      </c>
      <c r="K771" t="s">
        <v>1061</v>
      </c>
      <c r="L771" t="s">
        <v>80</v>
      </c>
      <c r="M771" t="s">
        <v>53</v>
      </c>
      <c r="N771">
        <v>7633</v>
      </c>
      <c r="O771" t="s">
        <v>53</v>
      </c>
      <c r="P771" t="s">
        <v>70</v>
      </c>
      <c r="Q771" t="s">
        <v>71</v>
      </c>
      <c r="R771" t="s">
        <v>105</v>
      </c>
      <c r="S771" t="s">
        <v>57</v>
      </c>
      <c r="T771" t="s">
        <v>58</v>
      </c>
      <c r="U771" t="s">
        <v>81</v>
      </c>
      <c r="V771">
        <v>0.72204100000000004</v>
      </c>
      <c r="W771">
        <v>2017</v>
      </c>
      <c r="X771" t="s">
        <v>106</v>
      </c>
      <c r="Y771" t="s">
        <v>107</v>
      </c>
      <c r="Z771" t="str">
        <f t="shared" ref="Z771:Z834" si="24">IF(LEFT(Y771,10)="Irradiado_",
   RIGHT(Y771, LEN(Y771)-10),   Y771)</f>
        <v>Mayor que 80 - hasta 100</v>
      </c>
      <c r="AA771">
        <f t="shared" ref="AA771:AA834" si="25">IF(LEFT(Y771,10)="Irradiado_", 1, 0)</f>
        <v>0</v>
      </c>
      <c r="AB771">
        <v>52720</v>
      </c>
      <c r="AC771" t="s">
        <v>627</v>
      </c>
      <c r="AD771" t="s">
        <v>1059</v>
      </c>
      <c r="AE771">
        <v>1.1007070000000001</v>
      </c>
      <c r="AF771" t="s">
        <v>76</v>
      </c>
      <c r="AG771">
        <v>45.275945</v>
      </c>
      <c r="AH771" t="s">
        <v>627</v>
      </c>
      <c r="AI771" t="s">
        <v>628</v>
      </c>
      <c r="AJ771">
        <v>1.86849</v>
      </c>
      <c r="AK771" t="s">
        <v>76</v>
      </c>
      <c r="AL771">
        <v>66.366608999999997</v>
      </c>
      <c r="AM771" t="s">
        <v>64</v>
      </c>
      <c r="AN771" s="7">
        <v>2250.5930334721429</v>
      </c>
      <c r="AO771" t="s">
        <v>65</v>
      </c>
      <c r="AP771" s="3">
        <v>569</v>
      </c>
      <c r="AQ771">
        <v>2</v>
      </c>
      <c r="AR771">
        <v>4184.9196350000002</v>
      </c>
      <c r="AS771" t="s">
        <v>66</v>
      </c>
      <c r="AT771" t="s">
        <v>53</v>
      </c>
    </row>
    <row r="772" spans="1:46">
      <c r="A772">
        <v>138</v>
      </c>
      <c r="B772" t="s">
        <v>46</v>
      </c>
      <c r="C772">
        <v>52</v>
      </c>
      <c r="D772">
        <v>786</v>
      </c>
      <c r="E772" t="s">
        <v>1110</v>
      </c>
      <c r="F772" t="s">
        <v>223</v>
      </c>
      <c r="G772">
        <v>52786</v>
      </c>
      <c r="H772">
        <v>52786</v>
      </c>
      <c r="I772" t="s">
        <v>49</v>
      </c>
      <c r="J772">
        <v>5204</v>
      </c>
      <c r="K772" t="s">
        <v>112</v>
      </c>
      <c r="L772" t="s">
        <v>69</v>
      </c>
      <c r="M772" t="s">
        <v>53</v>
      </c>
      <c r="N772">
        <v>18511</v>
      </c>
      <c r="O772" t="s">
        <v>53</v>
      </c>
      <c r="P772" t="s">
        <v>70</v>
      </c>
      <c r="Q772" t="s">
        <v>71</v>
      </c>
      <c r="R772" t="s">
        <v>93</v>
      </c>
      <c r="S772" t="s">
        <v>57</v>
      </c>
      <c r="T772" t="s">
        <v>58</v>
      </c>
      <c r="U772" t="s">
        <v>59</v>
      </c>
      <c r="V772">
        <v>0.79711100000000001</v>
      </c>
      <c r="W772" t="s">
        <v>53</v>
      </c>
      <c r="X772" t="s">
        <v>53</v>
      </c>
      <c r="Y772" t="s">
        <v>102</v>
      </c>
      <c r="Z772" t="str">
        <f t="shared" si="24"/>
        <v>Mayor que 20 - hasta 30</v>
      </c>
      <c r="AA772">
        <f t="shared" si="25"/>
        <v>1</v>
      </c>
      <c r="AB772">
        <v>52786</v>
      </c>
      <c r="AC772" t="s">
        <v>627</v>
      </c>
      <c r="AD772" t="s">
        <v>628</v>
      </c>
      <c r="AE772">
        <v>2.1800299999999999</v>
      </c>
      <c r="AF772" t="s">
        <v>77</v>
      </c>
      <c r="AG772">
        <v>69.865390000000005</v>
      </c>
      <c r="AH772" t="s">
        <v>627</v>
      </c>
      <c r="AI772" t="s">
        <v>628</v>
      </c>
      <c r="AJ772">
        <v>2.2027299999999999</v>
      </c>
      <c r="AK772" t="s">
        <v>77</v>
      </c>
      <c r="AL772">
        <v>70.406811000000005</v>
      </c>
      <c r="AM772" s="4" t="s">
        <v>65</v>
      </c>
      <c r="AN772" s="5">
        <v>13514.904749499115</v>
      </c>
      <c r="AO772" s="4" t="s">
        <v>65</v>
      </c>
      <c r="AP772" s="6">
        <v>7331</v>
      </c>
      <c r="AQ772">
        <v>4</v>
      </c>
      <c r="AR772">
        <v>17515.541933</v>
      </c>
      <c r="AS772" t="s">
        <v>66</v>
      </c>
      <c r="AT772" t="s">
        <v>53</v>
      </c>
    </row>
    <row r="773" spans="1:46">
      <c r="A773">
        <v>139</v>
      </c>
      <c r="B773" t="s">
        <v>46</v>
      </c>
      <c r="C773">
        <v>52</v>
      </c>
      <c r="D773">
        <v>788</v>
      </c>
      <c r="E773" t="s">
        <v>1111</v>
      </c>
      <c r="F773" t="s">
        <v>223</v>
      </c>
      <c r="G773">
        <v>52788</v>
      </c>
      <c r="H773">
        <v>52788</v>
      </c>
      <c r="I773" t="s">
        <v>49</v>
      </c>
      <c r="J773">
        <v>5201</v>
      </c>
      <c r="K773" t="s">
        <v>409</v>
      </c>
      <c r="L773" t="s">
        <v>80</v>
      </c>
      <c r="M773" t="s">
        <v>53</v>
      </c>
      <c r="N773">
        <v>14058</v>
      </c>
      <c r="O773" t="s">
        <v>53</v>
      </c>
      <c r="P773" t="s">
        <v>70</v>
      </c>
      <c r="Q773" t="s">
        <v>71</v>
      </c>
      <c r="R773" t="s">
        <v>72</v>
      </c>
      <c r="S773" t="s">
        <v>57</v>
      </c>
      <c r="T773" t="s">
        <v>58</v>
      </c>
      <c r="U773" t="s">
        <v>59</v>
      </c>
      <c r="V773">
        <v>0.47901300000000002</v>
      </c>
      <c r="W773">
        <v>2017</v>
      </c>
      <c r="X773" t="s">
        <v>106</v>
      </c>
      <c r="Y773" t="s">
        <v>107</v>
      </c>
      <c r="Z773" t="str">
        <f t="shared" si="24"/>
        <v>Mayor que 80 - hasta 100</v>
      </c>
      <c r="AA773">
        <f t="shared" si="25"/>
        <v>0</v>
      </c>
      <c r="AB773">
        <v>52788</v>
      </c>
      <c r="AC773" t="s">
        <v>627</v>
      </c>
      <c r="AD773" t="s">
        <v>628</v>
      </c>
      <c r="AE773">
        <v>0.88558899999999996</v>
      </c>
      <c r="AF773" t="s">
        <v>63</v>
      </c>
      <c r="AG773">
        <v>24.173506</v>
      </c>
      <c r="AH773" t="s">
        <v>627</v>
      </c>
      <c r="AI773" t="s">
        <v>628</v>
      </c>
      <c r="AJ773">
        <v>0.80473399999999995</v>
      </c>
      <c r="AK773" t="s">
        <v>63</v>
      </c>
      <c r="AL773">
        <v>23.442136000000001</v>
      </c>
      <c r="AM773" t="s">
        <v>65</v>
      </c>
      <c r="AN773" s="7">
        <v>398.14361257381</v>
      </c>
      <c r="AO773" t="s">
        <v>65</v>
      </c>
      <c r="AP773" s="3">
        <v>202</v>
      </c>
      <c r="AQ773">
        <v>2</v>
      </c>
      <c r="AR773">
        <v>520.44723099999999</v>
      </c>
      <c r="AS773" t="s">
        <v>66</v>
      </c>
      <c r="AT773" t="s">
        <v>53</v>
      </c>
    </row>
    <row r="774" spans="1:46">
      <c r="A774">
        <v>434</v>
      </c>
      <c r="B774" t="s">
        <v>46</v>
      </c>
      <c r="C774">
        <v>52</v>
      </c>
      <c r="D774">
        <v>835</v>
      </c>
      <c r="E774" t="s">
        <v>1112</v>
      </c>
      <c r="F774" t="s">
        <v>223</v>
      </c>
      <c r="G774">
        <v>52835</v>
      </c>
      <c r="H774">
        <v>52835</v>
      </c>
      <c r="I774" t="s">
        <v>49</v>
      </c>
      <c r="J774">
        <v>5203</v>
      </c>
      <c r="K774" t="s">
        <v>1064</v>
      </c>
      <c r="L774" t="s">
        <v>51</v>
      </c>
      <c r="M774" t="s">
        <v>53</v>
      </c>
      <c r="N774">
        <v>265599</v>
      </c>
      <c r="O774" t="s">
        <v>53</v>
      </c>
      <c r="P774" t="s">
        <v>54</v>
      </c>
      <c r="Q774" t="s">
        <v>134</v>
      </c>
      <c r="R774" t="s">
        <v>93</v>
      </c>
      <c r="S774" t="s">
        <v>1065</v>
      </c>
      <c r="T774" t="s">
        <v>73</v>
      </c>
      <c r="U774" t="s">
        <v>115</v>
      </c>
      <c r="V774">
        <v>0.72173500000000002</v>
      </c>
      <c r="W774" t="s">
        <v>53</v>
      </c>
      <c r="X774" t="s">
        <v>53</v>
      </c>
      <c r="Y774" t="s">
        <v>116</v>
      </c>
      <c r="Z774" t="str">
        <f t="shared" si="24"/>
        <v>Mayor que 30 - hasta 40</v>
      </c>
      <c r="AA774">
        <f t="shared" si="25"/>
        <v>1</v>
      </c>
      <c r="AB774">
        <v>52835</v>
      </c>
      <c r="AC774" t="s">
        <v>627</v>
      </c>
      <c r="AD774" t="s">
        <v>1066</v>
      </c>
      <c r="AE774">
        <v>0</v>
      </c>
      <c r="AF774" t="s">
        <v>63</v>
      </c>
      <c r="AG774">
        <v>0</v>
      </c>
      <c r="AH774" t="s">
        <v>627</v>
      </c>
      <c r="AI774" t="s">
        <v>628</v>
      </c>
      <c r="AJ774">
        <v>7.7147189999999997</v>
      </c>
      <c r="AK774" t="s">
        <v>221</v>
      </c>
      <c r="AL774">
        <v>269.42257599999999</v>
      </c>
      <c r="AM774" s="4" t="s">
        <v>97</v>
      </c>
      <c r="AN774" s="5">
        <v>28468.554539784465</v>
      </c>
      <c r="AO774" s="4" t="s">
        <v>65</v>
      </c>
      <c r="AP774" s="6">
        <v>4376</v>
      </c>
      <c r="AQ774">
        <v>4</v>
      </c>
      <c r="AR774">
        <v>28620.835382000001</v>
      </c>
      <c r="AS774" t="s">
        <v>66</v>
      </c>
      <c r="AT774" t="s">
        <v>53</v>
      </c>
    </row>
    <row r="775" spans="1:46">
      <c r="A775">
        <v>143</v>
      </c>
      <c r="B775" t="s">
        <v>46</v>
      </c>
      <c r="C775">
        <v>52</v>
      </c>
      <c r="D775">
        <v>838</v>
      </c>
      <c r="E775" t="s">
        <v>1113</v>
      </c>
      <c r="F775" t="s">
        <v>223</v>
      </c>
      <c r="G775">
        <v>52838</v>
      </c>
      <c r="H775">
        <v>52838</v>
      </c>
      <c r="I775" t="s">
        <v>49</v>
      </c>
      <c r="J775">
        <v>5202</v>
      </c>
      <c r="K775" t="s">
        <v>1061</v>
      </c>
      <c r="L775" t="s">
        <v>91</v>
      </c>
      <c r="M775" t="s">
        <v>53</v>
      </c>
      <c r="N775">
        <v>46419</v>
      </c>
      <c r="O775" t="s">
        <v>53</v>
      </c>
      <c r="P775" t="s">
        <v>92</v>
      </c>
      <c r="Q775" t="s">
        <v>71</v>
      </c>
      <c r="R775" t="s">
        <v>93</v>
      </c>
      <c r="S775" t="s">
        <v>57</v>
      </c>
      <c r="T775" t="s">
        <v>58</v>
      </c>
      <c r="U775" t="s">
        <v>119</v>
      </c>
      <c r="V775">
        <v>0.71508499999999997</v>
      </c>
      <c r="W775">
        <v>2017</v>
      </c>
      <c r="X775" t="s">
        <v>106</v>
      </c>
      <c r="Y775" t="s">
        <v>107</v>
      </c>
      <c r="Z775" t="str">
        <f t="shared" si="24"/>
        <v>Mayor que 80 - hasta 100</v>
      </c>
      <c r="AA775">
        <f t="shared" si="25"/>
        <v>0</v>
      </c>
      <c r="AB775">
        <v>52838</v>
      </c>
      <c r="AC775" t="s">
        <v>627</v>
      </c>
      <c r="AD775" t="s">
        <v>1059</v>
      </c>
      <c r="AE775">
        <v>1.0763879999999999</v>
      </c>
      <c r="AF775" t="s">
        <v>76</v>
      </c>
      <c r="AG775">
        <v>46.783051999999998</v>
      </c>
      <c r="AH775" t="s">
        <v>627</v>
      </c>
      <c r="AI775" t="s">
        <v>628</v>
      </c>
      <c r="AJ775">
        <v>1.7239450000000001</v>
      </c>
      <c r="AK775" t="s">
        <v>76</v>
      </c>
      <c r="AL775">
        <v>62.148232</v>
      </c>
      <c r="AM775" t="s">
        <v>65</v>
      </c>
      <c r="AN775" s="7">
        <v>0.47353032315602372</v>
      </c>
      <c r="AO775" t="s">
        <v>65</v>
      </c>
      <c r="AP775" s="3">
        <v>11</v>
      </c>
      <c r="AQ775">
        <v>1</v>
      </c>
      <c r="AR775">
        <v>0.49696000000000001</v>
      </c>
      <c r="AS775" t="s">
        <v>66</v>
      </c>
      <c r="AT775" t="s">
        <v>53</v>
      </c>
    </row>
    <row r="776" spans="1:46">
      <c r="A776">
        <v>145</v>
      </c>
      <c r="B776" t="s">
        <v>46</v>
      </c>
      <c r="C776">
        <v>52</v>
      </c>
      <c r="D776">
        <v>885</v>
      </c>
      <c r="E776" t="s">
        <v>1114</v>
      </c>
      <c r="F776" t="s">
        <v>223</v>
      </c>
      <c r="G776">
        <v>52885</v>
      </c>
      <c r="H776">
        <v>52885</v>
      </c>
      <c r="I776" t="s">
        <v>49</v>
      </c>
      <c r="J776">
        <v>5201</v>
      </c>
      <c r="K776" t="s">
        <v>409</v>
      </c>
      <c r="L776" t="s">
        <v>69</v>
      </c>
      <c r="M776" t="s">
        <v>53</v>
      </c>
      <c r="N776">
        <v>11404</v>
      </c>
      <c r="O776" t="s">
        <v>53</v>
      </c>
      <c r="P776" t="s">
        <v>70</v>
      </c>
      <c r="Q776" t="s">
        <v>71</v>
      </c>
      <c r="R776" t="s">
        <v>72</v>
      </c>
      <c r="S776" t="s">
        <v>57</v>
      </c>
      <c r="T776" t="s">
        <v>58</v>
      </c>
      <c r="U776" t="s">
        <v>81</v>
      </c>
      <c r="V776">
        <v>0.62946299999999999</v>
      </c>
      <c r="W776" t="s">
        <v>53</v>
      </c>
      <c r="X776" t="s">
        <v>53</v>
      </c>
      <c r="Y776" t="s">
        <v>116</v>
      </c>
      <c r="Z776" t="str">
        <f t="shared" si="24"/>
        <v>Mayor que 30 - hasta 40</v>
      </c>
      <c r="AA776">
        <f t="shared" si="25"/>
        <v>1</v>
      </c>
      <c r="AB776">
        <v>52885</v>
      </c>
      <c r="AC776" t="s">
        <v>627</v>
      </c>
      <c r="AD776" t="s">
        <v>628</v>
      </c>
      <c r="AE776">
        <v>0.85769099999999998</v>
      </c>
      <c r="AF776" t="s">
        <v>63</v>
      </c>
      <c r="AG776">
        <v>24.290664</v>
      </c>
      <c r="AH776" t="s">
        <v>627</v>
      </c>
      <c r="AI776" t="s">
        <v>628</v>
      </c>
      <c r="AJ776">
        <v>0.776837</v>
      </c>
      <c r="AK776" t="s">
        <v>63</v>
      </c>
      <c r="AL776">
        <v>23.559293</v>
      </c>
      <c r="AM776" s="4" t="s">
        <v>65</v>
      </c>
      <c r="AN776" s="5">
        <v>7143.0601798303342</v>
      </c>
      <c r="AO776" s="4" t="s">
        <v>65</v>
      </c>
      <c r="AP776" s="6">
        <v>4288</v>
      </c>
      <c r="AQ776">
        <v>4</v>
      </c>
      <c r="AR776">
        <v>3978.705868</v>
      </c>
      <c r="AS776" t="s">
        <v>66</v>
      </c>
      <c r="AT776" t="s">
        <v>53</v>
      </c>
    </row>
    <row r="777" spans="1:46">
      <c r="A777">
        <v>864</v>
      </c>
      <c r="B777" t="s">
        <v>46</v>
      </c>
      <c r="C777">
        <v>54</v>
      </c>
      <c r="D777">
        <v>1</v>
      </c>
      <c r="E777" t="s">
        <v>1115</v>
      </c>
      <c r="F777" t="s">
        <v>1116</v>
      </c>
      <c r="G777">
        <v>54001</v>
      </c>
      <c r="H777">
        <v>54001</v>
      </c>
      <c r="I777" t="s">
        <v>49</v>
      </c>
      <c r="J777">
        <v>5404</v>
      </c>
      <c r="K777" t="s">
        <v>1117</v>
      </c>
      <c r="L777" t="s">
        <v>51</v>
      </c>
      <c r="M777" t="s">
        <v>52</v>
      </c>
      <c r="N777">
        <v>806378</v>
      </c>
      <c r="O777" t="s">
        <v>53</v>
      </c>
      <c r="P777" t="s">
        <v>54</v>
      </c>
      <c r="Q777" t="s">
        <v>138</v>
      </c>
      <c r="R777" t="s">
        <v>56</v>
      </c>
      <c r="S777" t="s">
        <v>57</v>
      </c>
      <c r="T777" t="s">
        <v>58</v>
      </c>
      <c r="U777" t="s">
        <v>119</v>
      </c>
      <c r="V777">
        <v>0.66699399999999998</v>
      </c>
      <c r="W777" t="s">
        <v>53</v>
      </c>
      <c r="X777" t="s">
        <v>53</v>
      </c>
      <c r="Y777" t="s">
        <v>183</v>
      </c>
      <c r="Z777" t="str">
        <f t="shared" si="24"/>
        <v>Mayor que 120 - hasta 140</v>
      </c>
      <c r="AA777">
        <f t="shared" si="25"/>
        <v>1</v>
      </c>
      <c r="AB777">
        <v>54001</v>
      </c>
      <c r="AC777" t="s">
        <v>685</v>
      </c>
      <c r="AD777" t="s">
        <v>1118</v>
      </c>
      <c r="AE777">
        <v>0</v>
      </c>
      <c r="AF777" t="s">
        <v>63</v>
      </c>
      <c r="AG777">
        <v>0</v>
      </c>
      <c r="AH777" t="s">
        <v>685</v>
      </c>
      <c r="AI777" t="s">
        <v>1118</v>
      </c>
      <c r="AJ777">
        <v>0</v>
      </c>
      <c r="AK777" t="s">
        <v>63</v>
      </c>
      <c r="AL777">
        <v>0</v>
      </c>
      <c r="AM777" s="4" t="s">
        <v>64</v>
      </c>
      <c r="AN777" s="5">
        <v>59494.91746809709</v>
      </c>
      <c r="AO777" s="4" t="s">
        <v>65</v>
      </c>
      <c r="AP777" s="6">
        <v>2708</v>
      </c>
      <c r="AQ777">
        <v>1</v>
      </c>
      <c r="AR777">
        <v>22237.404483999999</v>
      </c>
      <c r="AS777" t="s">
        <v>66</v>
      </c>
      <c r="AT777" t="s">
        <v>53</v>
      </c>
    </row>
    <row r="778" spans="1:46">
      <c r="A778">
        <v>865</v>
      </c>
      <c r="B778" t="s">
        <v>46</v>
      </c>
      <c r="C778">
        <v>54</v>
      </c>
      <c r="D778">
        <v>3</v>
      </c>
      <c r="E778" t="s">
        <v>1119</v>
      </c>
      <c r="F778" t="s">
        <v>1116</v>
      </c>
      <c r="G778">
        <v>54003</v>
      </c>
      <c r="H778">
        <v>54003</v>
      </c>
      <c r="I778" t="s">
        <v>49</v>
      </c>
      <c r="J778">
        <v>5403</v>
      </c>
      <c r="K778" t="s">
        <v>79</v>
      </c>
      <c r="L778" t="s">
        <v>69</v>
      </c>
      <c r="M778" t="s">
        <v>53</v>
      </c>
      <c r="N778">
        <v>35613</v>
      </c>
      <c r="O778" t="s">
        <v>53</v>
      </c>
      <c r="P778" t="s">
        <v>92</v>
      </c>
      <c r="Q778" t="s">
        <v>71</v>
      </c>
      <c r="R778" t="s">
        <v>56</v>
      </c>
      <c r="S778" t="s">
        <v>57</v>
      </c>
      <c r="T778" t="s">
        <v>58</v>
      </c>
      <c r="U778" t="s">
        <v>101</v>
      </c>
      <c r="V778">
        <v>0.53351800000000005</v>
      </c>
      <c r="W778" t="s">
        <v>53</v>
      </c>
      <c r="X778" t="s">
        <v>53</v>
      </c>
      <c r="Y778" t="s">
        <v>82</v>
      </c>
      <c r="Z778" t="str">
        <f t="shared" si="24"/>
        <v>Mayor que 15 - hasta 20</v>
      </c>
      <c r="AA778">
        <f t="shared" si="25"/>
        <v>1</v>
      </c>
      <c r="AB778">
        <v>54003</v>
      </c>
      <c r="AC778" t="s">
        <v>685</v>
      </c>
      <c r="AD778" t="s">
        <v>686</v>
      </c>
      <c r="AE778">
        <v>0.79094299999999995</v>
      </c>
      <c r="AF778" t="s">
        <v>63</v>
      </c>
      <c r="AG778">
        <v>28.284776000000001</v>
      </c>
      <c r="AH778" t="s">
        <v>685</v>
      </c>
      <c r="AI778" t="s">
        <v>1118</v>
      </c>
      <c r="AJ778">
        <v>5.1205069999999999</v>
      </c>
      <c r="AK778" t="s">
        <v>181</v>
      </c>
      <c r="AL778">
        <v>140.766313</v>
      </c>
      <c r="AM778" s="4" t="s">
        <v>64</v>
      </c>
      <c r="AN778" s="5">
        <v>70577.709291801249</v>
      </c>
      <c r="AO778" s="4" t="s">
        <v>65</v>
      </c>
      <c r="AP778" s="6">
        <v>2513</v>
      </c>
      <c r="AQ778">
        <v>4</v>
      </c>
      <c r="AR778">
        <v>91837.228732000003</v>
      </c>
      <c r="AS778" t="s">
        <v>66</v>
      </c>
      <c r="AT778" t="s">
        <v>53</v>
      </c>
    </row>
    <row r="779" spans="1:46">
      <c r="A779">
        <v>866</v>
      </c>
      <c r="B779" t="s">
        <v>46</v>
      </c>
      <c r="C779">
        <v>54</v>
      </c>
      <c r="D779">
        <v>51</v>
      </c>
      <c r="E779" t="s">
        <v>1120</v>
      </c>
      <c r="F779" t="s">
        <v>1116</v>
      </c>
      <c r="G779">
        <v>54051</v>
      </c>
      <c r="H779">
        <v>54051</v>
      </c>
      <c r="I779" t="s">
        <v>49</v>
      </c>
      <c r="J779">
        <v>5401</v>
      </c>
      <c r="K779" t="s">
        <v>409</v>
      </c>
      <c r="L779" t="s">
        <v>80</v>
      </c>
      <c r="M779" t="s">
        <v>53</v>
      </c>
      <c r="N779">
        <v>10914</v>
      </c>
      <c r="O779" t="s">
        <v>53</v>
      </c>
      <c r="P779" t="s">
        <v>70</v>
      </c>
      <c r="Q779" t="s">
        <v>71</v>
      </c>
      <c r="R779" t="s">
        <v>72</v>
      </c>
      <c r="S779" t="s">
        <v>57</v>
      </c>
      <c r="T779" t="s">
        <v>58</v>
      </c>
      <c r="U779" t="s">
        <v>81</v>
      </c>
      <c r="V779">
        <v>0.71981700000000004</v>
      </c>
      <c r="W779" t="s">
        <v>53</v>
      </c>
      <c r="X779" t="s">
        <v>53</v>
      </c>
      <c r="Y779" t="s">
        <v>82</v>
      </c>
      <c r="Z779" t="str">
        <f t="shared" si="24"/>
        <v>Mayor que 15 - hasta 20</v>
      </c>
      <c r="AA779">
        <f t="shared" si="25"/>
        <v>1</v>
      </c>
      <c r="AB779">
        <v>54051</v>
      </c>
      <c r="AC779" t="s">
        <v>685</v>
      </c>
      <c r="AD779" t="s">
        <v>1121</v>
      </c>
      <c r="AE779">
        <v>2.5477159999999999</v>
      </c>
      <c r="AF779" t="s">
        <v>77</v>
      </c>
      <c r="AG779">
        <v>57.085490999999998</v>
      </c>
      <c r="AH779" t="s">
        <v>685</v>
      </c>
      <c r="AI779" t="s">
        <v>1118</v>
      </c>
      <c r="AJ779">
        <v>2.9230779999999998</v>
      </c>
      <c r="AK779" t="s">
        <v>77</v>
      </c>
      <c r="AL779">
        <v>67.190872999999996</v>
      </c>
      <c r="AM779" s="4" t="s">
        <v>65</v>
      </c>
      <c r="AN779" s="5">
        <v>10907.433967757086</v>
      </c>
      <c r="AO779" s="4" t="s">
        <v>65</v>
      </c>
      <c r="AP779" s="6">
        <v>2338</v>
      </c>
      <c r="AQ779">
        <v>4</v>
      </c>
      <c r="AR779">
        <v>16639.288817000001</v>
      </c>
      <c r="AS779" t="s">
        <v>66</v>
      </c>
      <c r="AT779" t="s">
        <v>53</v>
      </c>
    </row>
    <row r="780" spans="1:46">
      <c r="A780">
        <v>867</v>
      </c>
      <c r="B780" t="s">
        <v>46</v>
      </c>
      <c r="C780">
        <v>54</v>
      </c>
      <c r="D780">
        <v>99</v>
      </c>
      <c r="E780" t="s">
        <v>1122</v>
      </c>
      <c r="F780" t="s">
        <v>1116</v>
      </c>
      <c r="G780">
        <v>54099</v>
      </c>
      <c r="H780">
        <v>54099</v>
      </c>
      <c r="I780" t="s">
        <v>49</v>
      </c>
      <c r="J780">
        <v>5406</v>
      </c>
      <c r="K780" t="s">
        <v>1123</v>
      </c>
      <c r="L780" t="s">
        <v>69</v>
      </c>
      <c r="M780" t="s">
        <v>53</v>
      </c>
      <c r="N780">
        <v>9309</v>
      </c>
      <c r="O780" t="s">
        <v>53</v>
      </c>
      <c r="P780" t="s">
        <v>70</v>
      </c>
      <c r="Q780" t="s">
        <v>71</v>
      </c>
      <c r="R780" t="s">
        <v>93</v>
      </c>
      <c r="S780" t="s">
        <v>57</v>
      </c>
      <c r="T780" t="s">
        <v>58</v>
      </c>
      <c r="U780" t="s">
        <v>81</v>
      </c>
      <c r="V780">
        <v>0.575484</v>
      </c>
      <c r="W780" t="s">
        <v>53</v>
      </c>
      <c r="X780" t="s">
        <v>53</v>
      </c>
      <c r="Y780" t="s">
        <v>102</v>
      </c>
      <c r="Z780" t="str">
        <f t="shared" si="24"/>
        <v>Mayor que 20 - hasta 30</v>
      </c>
      <c r="AA780">
        <f t="shared" si="25"/>
        <v>1</v>
      </c>
      <c r="AB780">
        <v>54099</v>
      </c>
      <c r="AC780" t="s">
        <v>685</v>
      </c>
      <c r="AD780" t="s">
        <v>1121</v>
      </c>
      <c r="AE780">
        <v>0.97114199999999995</v>
      </c>
      <c r="AF780" t="s">
        <v>63</v>
      </c>
      <c r="AG780">
        <v>34.901933999999997</v>
      </c>
      <c r="AH780" t="s">
        <v>685</v>
      </c>
      <c r="AI780" t="s">
        <v>1118</v>
      </c>
      <c r="AJ780">
        <v>1.3465039999999999</v>
      </c>
      <c r="AK780" t="s">
        <v>76</v>
      </c>
      <c r="AL780">
        <v>45.007316000000003</v>
      </c>
      <c r="AM780" s="4" t="s">
        <v>64</v>
      </c>
      <c r="AN780" s="5">
        <v>10039.249367170629</v>
      </c>
      <c r="AO780" s="4" t="s">
        <v>65</v>
      </c>
      <c r="AP780" s="6">
        <v>931</v>
      </c>
      <c r="AQ780">
        <v>4</v>
      </c>
      <c r="AR780">
        <v>9782.0055599999996</v>
      </c>
      <c r="AS780" t="s">
        <v>66</v>
      </c>
      <c r="AT780" t="s">
        <v>53</v>
      </c>
    </row>
    <row r="781" spans="1:46">
      <c r="A781">
        <v>868</v>
      </c>
      <c r="B781" t="s">
        <v>46</v>
      </c>
      <c r="C781">
        <v>54</v>
      </c>
      <c r="D781">
        <v>109</v>
      </c>
      <c r="E781" t="s">
        <v>1124</v>
      </c>
      <c r="F781" t="s">
        <v>1116</v>
      </c>
      <c r="G781">
        <v>54109</v>
      </c>
      <c r="H781">
        <v>54109</v>
      </c>
      <c r="I781" t="s">
        <v>49</v>
      </c>
      <c r="J781">
        <v>5402</v>
      </c>
      <c r="K781" t="s">
        <v>112</v>
      </c>
      <c r="L781" t="s">
        <v>80</v>
      </c>
      <c r="M781" t="s">
        <v>53</v>
      </c>
      <c r="N781">
        <v>7209</v>
      </c>
      <c r="O781" t="s">
        <v>53</v>
      </c>
      <c r="P781" t="s">
        <v>70</v>
      </c>
      <c r="Q781" t="s">
        <v>71</v>
      </c>
      <c r="R781" t="s">
        <v>105</v>
      </c>
      <c r="S781" t="s">
        <v>57</v>
      </c>
      <c r="T781" t="s">
        <v>73</v>
      </c>
      <c r="U781" t="s">
        <v>119</v>
      </c>
      <c r="V781">
        <v>0.56521699999999997</v>
      </c>
      <c r="W781" t="s">
        <v>53</v>
      </c>
      <c r="X781" t="s">
        <v>53</v>
      </c>
      <c r="Y781" t="s">
        <v>82</v>
      </c>
      <c r="Z781" t="str">
        <f t="shared" si="24"/>
        <v>Mayor que 15 - hasta 20</v>
      </c>
      <c r="AA781">
        <f t="shared" si="25"/>
        <v>1</v>
      </c>
      <c r="AB781">
        <v>54109</v>
      </c>
      <c r="AC781" t="s">
        <v>685</v>
      </c>
      <c r="AD781" t="s">
        <v>1118</v>
      </c>
      <c r="AE781">
        <v>2.5734720000000002</v>
      </c>
      <c r="AF781" t="s">
        <v>77</v>
      </c>
      <c r="AG781">
        <v>83.953614999999999</v>
      </c>
      <c r="AH781" t="s">
        <v>685</v>
      </c>
      <c r="AI781" t="s">
        <v>1118</v>
      </c>
      <c r="AJ781">
        <v>2.4966759999999999</v>
      </c>
      <c r="AK781" t="s">
        <v>77</v>
      </c>
      <c r="AL781">
        <v>83.595035999999993</v>
      </c>
      <c r="AM781" s="4" t="s">
        <v>64</v>
      </c>
      <c r="AN781" s="5">
        <v>18973.676398043655</v>
      </c>
      <c r="AO781" s="4" t="s">
        <v>65</v>
      </c>
      <c r="AP781" s="6">
        <v>740</v>
      </c>
      <c r="AQ781">
        <v>4</v>
      </c>
      <c r="AR781">
        <v>22654.983801999999</v>
      </c>
      <c r="AS781" t="s">
        <v>66</v>
      </c>
      <c r="AT781" t="s">
        <v>53</v>
      </c>
    </row>
    <row r="782" spans="1:46">
      <c r="A782">
        <v>869</v>
      </c>
      <c r="B782" t="s">
        <v>46</v>
      </c>
      <c r="C782">
        <v>54</v>
      </c>
      <c r="D782">
        <v>125</v>
      </c>
      <c r="E782" t="s">
        <v>1125</v>
      </c>
      <c r="F782" t="s">
        <v>1116</v>
      </c>
      <c r="G782">
        <v>54125</v>
      </c>
      <c r="H782">
        <v>54125</v>
      </c>
      <c r="I782" t="s">
        <v>49</v>
      </c>
      <c r="J782">
        <v>5405</v>
      </c>
      <c r="K782" t="s">
        <v>1126</v>
      </c>
      <c r="L782" t="s">
        <v>80</v>
      </c>
      <c r="M782" t="s">
        <v>53</v>
      </c>
      <c r="N782">
        <v>3153</v>
      </c>
      <c r="O782" t="s">
        <v>53</v>
      </c>
      <c r="P782" t="s">
        <v>70</v>
      </c>
      <c r="Q782" t="s">
        <v>71</v>
      </c>
      <c r="R782" t="s">
        <v>56</v>
      </c>
      <c r="S782" t="s">
        <v>57</v>
      </c>
      <c r="T782" t="s">
        <v>58</v>
      </c>
      <c r="U782" t="s">
        <v>81</v>
      </c>
      <c r="V782">
        <v>0.56354000000000004</v>
      </c>
      <c r="W782" t="s">
        <v>53</v>
      </c>
      <c r="X782" t="s">
        <v>53</v>
      </c>
      <c r="Y782" t="s">
        <v>87</v>
      </c>
      <c r="Z782" t="str">
        <f t="shared" si="24"/>
        <v>Mayor que 40 - hasta 50</v>
      </c>
      <c r="AA782">
        <f t="shared" si="25"/>
        <v>1</v>
      </c>
      <c r="AB782">
        <v>54125</v>
      </c>
      <c r="AC782" t="s">
        <v>685</v>
      </c>
      <c r="AD782" t="s">
        <v>1127</v>
      </c>
      <c r="AE782">
        <v>0.57999900000000004</v>
      </c>
      <c r="AF782" t="s">
        <v>63</v>
      </c>
      <c r="AG782">
        <v>17.561017</v>
      </c>
      <c r="AH782" t="s">
        <v>685</v>
      </c>
      <c r="AI782" t="s">
        <v>1118</v>
      </c>
      <c r="AJ782">
        <v>2.6657289999999998</v>
      </c>
      <c r="AK782" t="s">
        <v>77</v>
      </c>
      <c r="AL782">
        <v>89.287929000000005</v>
      </c>
      <c r="AM782" s="4" t="s">
        <v>65</v>
      </c>
      <c r="AN782" s="5">
        <v>4850.072576431704</v>
      </c>
      <c r="AO782" s="4" t="s">
        <v>65</v>
      </c>
      <c r="AP782" s="6">
        <v>1257</v>
      </c>
      <c r="AQ782">
        <v>4</v>
      </c>
      <c r="AR782">
        <v>6380.77819</v>
      </c>
      <c r="AS782" t="s">
        <v>66</v>
      </c>
      <c r="AT782" t="s">
        <v>53</v>
      </c>
    </row>
    <row r="783" spans="1:46">
      <c r="A783">
        <v>870</v>
      </c>
      <c r="B783" t="s">
        <v>46</v>
      </c>
      <c r="C783">
        <v>54</v>
      </c>
      <c r="D783">
        <v>128</v>
      </c>
      <c r="E783" t="s">
        <v>1128</v>
      </c>
      <c r="F783" t="s">
        <v>1116</v>
      </c>
      <c r="G783">
        <v>54128</v>
      </c>
      <c r="H783">
        <v>54128</v>
      </c>
      <c r="I783" t="s">
        <v>49</v>
      </c>
      <c r="J783">
        <v>5403</v>
      </c>
      <c r="K783" t="s">
        <v>79</v>
      </c>
      <c r="L783" t="s">
        <v>80</v>
      </c>
      <c r="M783" t="s">
        <v>53</v>
      </c>
      <c r="N783">
        <v>12361</v>
      </c>
      <c r="O783" t="s">
        <v>53</v>
      </c>
      <c r="P783" t="s">
        <v>70</v>
      </c>
      <c r="Q783" t="s">
        <v>71</v>
      </c>
      <c r="R783" t="s">
        <v>56</v>
      </c>
      <c r="S783" t="s">
        <v>57</v>
      </c>
      <c r="T783" t="s">
        <v>58</v>
      </c>
      <c r="U783" t="s">
        <v>59</v>
      </c>
      <c r="V783">
        <v>0.57888799999999996</v>
      </c>
      <c r="W783" t="s">
        <v>53</v>
      </c>
      <c r="X783" t="s">
        <v>53</v>
      </c>
      <c r="Y783" t="s">
        <v>82</v>
      </c>
      <c r="Z783" t="str">
        <f t="shared" si="24"/>
        <v>Mayor que 15 - hasta 20</v>
      </c>
      <c r="AA783">
        <f t="shared" si="25"/>
        <v>1</v>
      </c>
      <c r="AB783">
        <v>54128</v>
      </c>
      <c r="AC783" t="s">
        <v>282</v>
      </c>
      <c r="AD783" t="s">
        <v>698</v>
      </c>
      <c r="AE783">
        <v>3.212628</v>
      </c>
      <c r="AF783" t="s">
        <v>84</v>
      </c>
      <c r="AG783">
        <v>86.306306000000006</v>
      </c>
      <c r="AH783" t="s">
        <v>282</v>
      </c>
      <c r="AI783" t="s">
        <v>284</v>
      </c>
      <c r="AJ783">
        <v>3.598023</v>
      </c>
      <c r="AK783" t="s">
        <v>84</v>
      </c>
      <c r="AL783">
        <v>102.686205</v>
      </c>
      <c r="AM783" s="4" t="s">
        <v>64</v>
      </c>
      <c r="AN783" s="5">
        <v>33395.009173834304</v>
      </c>
      <c r="AO783" s="4" t="s">
        <v>65</v>
      </c>
      <c r="AP783" s="6">
        <v>1663</v>
      </c>
      <c r="AQ783">
        <v>4</v>
      </c>
      <c r="AR783">
        <v>40470.264303000004</v>
      </c>
      <c r="AS783" t="s">
        <v>66</v>
      </c>
      <c r="AT783" t="s">
        <v>53</v>
      </c>
    </row>
    <row r="784" spans="1:46">
      <c r="A784">
        <v>871</v>
      </c>
      <c r="B784" t="s">
        <v>46</v>
      </c>
      <c r="C784">
        <v>54</v>
      </c>
      <c r="D784">
        <v>172</v>
      </c>
      <c r="E784" t="s">
        <v>1129</v>
      </c>
      <c r="F784" t="s">
        <v>1116</v>
      </c>
      <c r="G784">
        <v>54172</v>
      </c>
      <c r="H784">
        <v>54172</v>
      </c>
      <c r="I784" t="s">
        <v>49</v>
      </c>
      <c r="J784">
        <v>5406</v>
      </c>
      <c r="K784" t="s">
        <v>1123</v>
      </c>
      <c r="L784" t="s">
        <v>91</v>
      </c>
      <c r="M784" t="s">
        <v>53</v>
      </c>
      <c r="N784">
        <v>19703</v>
      </c>
      <c r="O784" t="s">
        <v>53</v>
      </c>
      <c r="P784" t="s">
        <v>70</v>
      </c>
      <c r="Q784" t="s">
        <v>71</v>
      </c>
      <c r="R784" t="s">
        <v>122</v>
      </c>
      <c r="S784" t="s">
        <v>57</v>
      </c>
      <c r="T784" t="s">
        <v>58</v>
      </c>
      <c r="U784" t="s">
        <v>119</v>
      </c>
      <c r="V784">
        <v>0.360184</v>
      </c>
      <c r="W784" t="s">
        <v>53</v>
      </c>
      <c r="X784" t="s">
        <v>53</v>
      </c>
      <c r="Y784" t="s">
        <v>87</v>
      </c>
      <c r="Z784" t="str">
        <f t="shared" si="24"/>
        <v>Mayor que 40 - hasta 50</v>
      </c>
      <c r="AA784">
        <f t="shared" si="25"/>
        <v>1</v>
      </c>
      <c r="AB784">
        <v>54172</v>
      </c>
      <c r="AC784" t="s">
        <v>685</v>
      </c>
      <c r="AD784" t="s">
        <v>1121</v>
      </c>
      <c r="AE784">
        <v>1.1781299999999999</v>
      </c>
      <c r="AF784" t="s">
        <v>76</v>
      </c>
      <c r="AG784">
        <v>37.660511999999997</v>
      </c>
      <c r="AH784" t="s">
        <v>685</v>
      </c>
      <c r="AI784" t="s">
        <v>1118</v>
      </c>
      <c r="AJ784">
        <v>1.5534920000000001</v>
      </c>
      <c r="AK784" t="s">
        <v>76</v>
      </c>
      <c r="AL784">
        <v>47.765895</v>
      </c>
      <c r="AM784" s="4" t="s">
        <v>64</v>
      </c>
      <c r="AN784" s="5">
        <v>7867.8596601692789</v>
      </c>
      <c r="AO784" s="4" t="s">
        <v>65</v>
      </c>
      <c r="AP784" s="6">
        <v>2284</v>
      </c>
      <c r="AQ784">
        <v>4</v>
      </c>
      <c r="AR784">
        <v>10023.596594000001</v>
      </c>
      <c r="AS784" t="s">
        <v>66</v>
      </c>
      <c r="AT784" t="s">
        <v>53</v>
      </c>
    </row>
    <row r="785" spans="1:46">
      <c r="A785">
        <v>897</v>
      </c>
      <c r="B785" t="s">
        <v>46</v>
      </c>
      <c r="C785">
        <v>54</v>
      </c>
      <c r="D785">
        <v>174</v>
      </c>
      <c r="E785" t="s">
        <v>1130</v>
      </c>
      <c r="F785" t="s">
        <v>1116</v>
      </c>
      <c r="G785">
        <v>54174</v>
      </c>
      <c r="H785">
        <v>54174</v>
      </c>
      <c r="I785" t="s">
        <v>49</v>
      </c>
      <c r="J785">
        <v>5405</v>
      </c>
      <c r="K785" t="s">
        <v>1126</v>
      </c>
      <c r="L785" t="s">
        <v>80</v>
      </c>
      <c r="M785" t="s">
        <v>53</v>
      </c>
      <c r="N785">
        <v>13204</v>
      </c>
      <c r="O785" t="s">
        <v>53</v>
      </c>
      <c r="P785" t="s">
        <v>70</v>
      </c>
      <c r="Q785" t="s">
        <v>71</v>
      </c>
      <c r="R785" t="s">
        <v>56</v>
      </c>
      <c r="S785" t="s">
        <v>57</v>
      </c>
      <c r="T785" t="s">
        <v>58</v>
      </c>
      <c r="U785" t="s">
        <v>59</v>
      </c>
      <c r="V785">
        <v>0.47950999999999999</v>
      </c>
      <c r="W785" t="s">
        <v>53</v>
      </c>
      <c r="X785" t="s">
        <v>53</v>
      </c>
      <c r="Y785" t="s">
        <v>82</v>
      </c>
      <c r="Z785" t="str">
        <f t="shared" si="24"/>
        <v>Mayor que 15 - hasta 20</v>
      </c>
      <c r="AA785">
        <f t="shared" si="25"/>
        <v>1</v>
      </c>
      <c r="AB785">
        <v>54174</v>
      </c>
      <c r="AC785" t="s">
        <v>685</v>
      </c>
      <c r="AD785" t="s">
        <v>1127</v>
      </c>
      <c r="AE785">
        <v>0.86443999999999999</v>
      </c>
      <c r="AF785" t="s">
        <v>63</v>
      </c>
      <c r="AG785">
        <v>39.447518000000002</v>
      </c>
      <c r="AH785" t="s">
        <v>685</v>
      </c>
      <c r="AI785" t="s">
        <v>1118</v>
      </c>
      <c r="AJ785">
        <v>2.95017</v>
      </c>
      <c r="AK785" t="s">
        <v>77</v>
      </c>
      <c r="AL785">
        <v>111.17443</v>
      </c>
      <c r="AM785" s="4" t="s">
        <v>64</v>
      </c>
      <c r="AN785" s="5">
        <v>17223.911912431697</v>
      </c>
      <c r="AO785" s="4" t="s">
        <v>65</v>
      </c>
      <c r="AP785" s="6">
        <v>2446</v>
      </c>
      <c r="AQ785">
        <v>4</v>
      </c>
      <c r="AR785">
        <v>31329.469346000002</v>
      </c>
      <c r="AS785" t="s">
        <v>66</v>
      </c>
      <c r="AT785" t="s">
        <v>53</v>
      </c>
    </row>
    <row r="786" spans="1:46">
      <c r="A786">
        <v>898</v>
      </c>
      <c r="B786" t="s">
        <v>46</v>
      </c>
      <c r="C786">
        <v>54</v>
      </c>
      <c r="D786">
        <v>206</v>
      </c>
      <c r="E786" t="s">
        <v>1131</v>
      </c>
      <c r="F786" t="s">
        <v>1116</v>
      </c>
      <c r="G786">
        <v>54206</v>
      </c>
      <c r="H786">
        <v>54206</v>
      </c>
      <c r="I786" t="s">
        <v>49</v>
      </c>
      <c r="J786">
        <v>5403</v>
      </c>
      <c r="K786" t="s">
        <v>79</v>
      </c>
      <c r="L786" t="s">
        <v>69</v>
      </c>
      <c r="M786" t="s">
        <v>53</v>
      </c>
      <c r="N786">
        <v>20994</v>
      </c>
      <c r="O786" t="s">
        <v>53</v>
      </c>
      <c r="P786" t="s">
        <v>70</v>
      </c>
      <c r="Q786" t="s">
        <v>71</v>
      </c>
      <c r="R786" t="s">
        <v>122</v>
      </c>
      <c r="S786" t="s">
        <v>1132</v>
      </c>
      <c r="T786" t="s">
        <v>73</v>
      </c>
      <c r="U786" t="s">
        <v>115</v>
      </c>
      <c r="V786">
        <v>0.60802800000000001</v>
      </c>
      <c r="W786" t="s">
        <v>53</v>
      </c>
      <c r="X786" t="s">
        <v>53</v>
      </c>
      <c r="Y786" t="s">
        <v>277</v>
      </c>
      <c r="Z786" t="str">
        <f t="shared" si="24"/>
        <v>Mayor que 10 - hasta 15</v>
      </c>
      <c r="AA786">
        <f t="shared" si="25"/>
        <v>1</v>
      </c>
      <c r="AB786">
        <v>54206</v>
      </c>
      <c r="AC786" t="s">
        <v>685</v>
      </c>
      <c r="AD786" t="s">
        <v>686</v>
      </c>
      <c r="AE786">
        <v>1.2310680000000001</v>
      </c>
      <c r="AF786" t="s">
        <v>76</v>
      </c>
      <c r="AG786">
        <v>29.866399999999999</v>
      </c>
      <c r="AH786" t="s">
        <v>282</v>
      </c>
      <c r="AI786" t="s">
        <v>284</v>
      </c>
      <c r="AJ786">
        <v>6.3872739999999997</v>
      </c>
      <c r="AK786" t="s">
        <v>354</v>
      </c>
      <c r="AL786">
        <v>226.15129899999999</v>
      </c>
      <c r="AM786" s="4" t="s">
        <v>64</v>
      </c>
      <c r="AN786" s="5">
        <v>15265.631481415063</v>
      </c>
      <c r="AO786" s="4" t="s">
        <v>65</v>
      </c>
      <c r="AP786" s="6">
        <v>1772</v>
      </c>
      <c r="AQ786">
        <v>4</v>
      </c>
      <c r="AR786">
        <v>22159.945876999998</v>
      </c>
      <c r="AS786" t="s">
        <v>66</v>
      </c>
      <c r="AT786" t="s">
        <v>53</v>
      </c>
    </row>
    <row r="787" spans="1:46">
      <c r="A787">
        <v>872</v>
      </c>
      <c r="B787" t="s">
        <v>46</v>
      </c>
      <c r="C787">
        <v>54</v>
      </c>
      <c r="D787">
        <v>223</v>
      </c>
      <c r="E787" t="s">
        <v>1133</v>
      </c>
      <c r="F787" t="s">
        <v>1116</v>
      </c>
      <c r="G787">
        <v>54223</v>
      </c>
      <c r="H787">
        <v>54223</v>
      </c>
      <c r="I787" t="s">
        <v>49</v>
      </c>
      <c r="J787">
        <v>5401</v>
      </c>
      <c r="K787" t="s">
        <v>409</v>
      </c>
      <c r="L787" t="s">
        <v>80</v>
      </c>
      <c r="M787" t="s">
        <v>53</v>
      </c>
      <c r="N787">
        <v>9230</v>
      </c>
      <c r="O787" t="s">
        <v>53</v>
      </c>
      <c r="P787" t="s">
        <v>70</v>
      </c>
      <c r="Q787" t="s">
        <v>71</v>
      </c>
      <c r="R787" t="s">
        <v>122</v>
      </c>
      <c r="S787" t="s">
        <v>57</v>
      </c>
      <c r="T787" t="s">
        <v>58</v>
      </c>
      <c r="U787" t="s">
        <v>59</v>
      </c>
      <c r="V787">
        <v>0.78206799999999999</v>
      </c>
      <c r="W787" t="s">
        <v>53</v>
      </c>
      <c r="X787" t="s">
        <v>53</v>
      </c>
      <c r="Y787" t="s">
        <v>102</v>
      </c>
      <c r="Z787" t="str">
        <f t="shared" si="24"/>
        <v>Mayor que 20 - hasta 30</v>
      </c>
      <c r="AA787">
        <f t="shared" si="25"/>
        <v>1</v>
      </c>
      <c r="AB787">
        <v>54223</v>
      </c>
      <c r="AC787" t="s">
        <v>685</v>
      </c>
      <c r="AD787" t="s">
        <v>1127</v>
      </c>
      <c r="AE787">
        <v>1.990872</v>
      </c>
      <c r="AF787" t="s">
        <v>76</v>
      </c>
      <c r="AG787">
        <v>33.546298999999998</v>
      </c>
      <c r="AH787" t="s">
        <v>685</v>
      </c>
      <c r="AI787" t="s">
        <v>1118</v>
      </c>
      <c r="AJ787">
        <v>3.0294500000000002</v>
      </c>
      <c r="AK787" t="s">
        <v>84</v>
      </c>
      <c r="AL787">
        <v>70.910973999999996</v>
      </c>
      <c r="AM787" s="4" t="s">
        <v>65</v>
      </c>
      <c r="AN787" s="5">
        <v>11631.29221200975</v>
      </c>
      <c r="AO787" s="4" t="s">
        <v>65</v>
      </c>
      <c r="AP787" s="6">
        <v>2569</v>
      </c>
      <c r="AQ787">
        <v>4</v>
      </c>
      <c r="AR787">
        <v>18342.828323999998</v>
      </c>
      <c r="AS787" t="s">
        <v>66</v>
      </c>
      <c r="AT787" t="s">
        <v>53</v>
      </c>
    </row>
    <row r="788" spans="1:46">
      <c r="A788">
        <v>873</v>
      </c>
      <c r="B788" t="s">
        <v>46</v>
      </c>
      <c r="C788">
        <v>54</v>
      </c>
      <c r="D788">
        <v>239</v>
      </c>
      <c r="E788" t="s">
        <v>1134</v>
      </c>
      <c r="F788" t="s">
        <v>1116</v>
      </c>
      <c r="G788">
        <v>54239</v>
      </c>
      <c r="H788">
        <v>54239</v>
      </c>
      <c r="I788" t="s">
        <v>49</v>
      </c>
      <c r="J788">
        <v>5406</v>
      </c>
      <c r="K788" t="s">
        <v>1123</v>
      </c>
      <c r="L788" t="s">
        <v>69</v>
      </c>
      <c r="M788" t="s">
        <v>53</v>
      </c>
      <c r="N788">
        <v>5139</v>
      </c>
      <c r="O788" t="s">
        <v>53</v>
      </c>
      <c r="P788" t="s">
        <v>70</v>
      </c>
      <c r="Q788" t="s">
        <v>71</v>
      </c>
      <c r="R788" t="s">
        <v>72</v>
      </c>
      <c r="S788" t="s">
        <v>57</v>
      </c>
      <c r="T788" t="s">
        <v>58</v>
      </c>
      <c r="U788" t="s">
        <v>59</v>
      </c>
      <c r="V788">
        <v>0.60730600000000001</v>
      </c>
      <c r="W788" t="s">
        <v>53</v>
      </c>
      <c r="X788" t="s">
        <v>53</v>
      </c>
      <c r="Y788" t="s">
        <v>102</v>
      </c>
      <c r="Z788" t="str">
        <f t="shared" si="24"/>
        <v>Mayor que 20 - hasta 30</v>
      </c>
      <c r="AA788">
        <f t="shared" si="25"/>
        <v>1</v>
      </c>
      <c r="AB788">
        <v>54239</v>
      </c>
      <c r="AC788" t="s">
        <v>685</v>
      </c>
      <c r="AD788" t="s">
        <v>1121</v>
      </c>
      <c r="AE788">
        <v>1.308144</v>
      </c>
      <c r="AF788" t="s">
        <v>76</v>
      </c>
      <c r="AG788">
        <v>31.826198000000002</v>
      </c>
      <c r="AH788" t="s">
        <v>685</v>
      </c>
      <c r="AI788" t="s">
        <v>1118</v>
      </c>
      <c r="AJ788">
        <v>1.6835070000000001</v>
      </c>
      <c r="AK788" t="s">
        <v>76</v>
      </c>
      <c r="AL788">
        <v>41.931579999999997</v>
      </c>
      <c r="AM788" s="4" t="s">
        <v>64</v>
      </c>
      <c r="AN788" s="5">
        <v>9387.2947796801745</v>
      </c>
      <c r="AO788" s="4" t="s">
        <v>65</v>
      </c>
      <c r="AP788" s="6">
        <v>657</v>
      </c>
      <c r="AQ788">
        <v>4</v>
      </c>
      <c r="AR788">
        <v>16627.802081999998</v>
      </c>
      <c r="AS788" t="s">
        <v>66</v>
      </c>
      <c r="AT788" t="s">
        <v>53</v>
      </c>
    </row>
    <row r="789" spans="1:46">
      <c r="A789">
        <v>899</v>
      </c>
      <c r="B789" t="s">
        <v>46</v>
      </c>
      <c r="C789">
        <v>54</v>
      </c>
      <c r="D789">
        <v>245</v>
      </c>
      <c r="E789" t="s">
        <v>1135</v>
      </c>
      <c r="F789" t="s">
        <v>1116</v>
      </c>
      <c r="G789">
        <v>54245</v>
      </c>
      <c r="H789">
        <v>54245</v>
      </c>
      <c r="I789" t="s">
        <v>49</v>
      </c>
      <c r="J789">
        <v>5403</v>
      </c>
      <c r="K789" t="s">
        <v>79</v>
      </c>
      <c r="L789" t="s">
        <v>80</v>
      </c>
      <c r="M789" t="s">
        <v>53</v>
      </c>
      <c r="N789">
        <v>14971</v>
      </c>
      <c r="O789" t="s">
        <v>53</v>
      </c>
      <c r="P789" t="s">
        <v>70</v>
      </c>
      <c r="Q789" t="s">
        <v>71</v>
      </c>
      <c r="R789" t="s">
        <v>56</v>
      </c>
      <c r="S789" t="s">
        <v>1132</v>
      </c>
      <c r="T789" t="s">
        <v>73</v>
      </c>
      <c r="U789" t="s">
        <v>115</v>
      </c>
      <c r="V789">
        <v>0.67527800000000004</v>
      </c>
      <c r="W789" t="s">
        <v>53</v>
      </c>
      <c r="X789" t="s">
        <v>53</v>
      </c>
      <c r="Y789" t="s">
        <v>277</v>
      </c>
      <c r="Z789" t="str">
        <f t="shared" si="24"/>
        <v>Mayor que 10 - hasta 15</v>
      </c>
      <c r="AA789">
        <f t="shared" si="25"/>
        <v>1</v>
      </c>
      <c r="AB789">
        <v>54245</v>
      </c>
      <c r="AC789" t="s">
        <v>352</v>
      </c>
      <c r="AD789" t="s">
        <v>353</v>
      </c>
      <c r="AE789">
        <v>2.2262599999999999</v>
      </c>
      <c r="AF789" t="s">
        <v>77</v>
      </c>
      <c r="AG789">
        <v>65.871781999999996</v>
      </c>
      <c r="AH789" t="s">
        <v>282</v>
      </c>
      <c r="AI789" t="s">
        <v>284</v>
      </c>
      <c r="AJ789">
        <v>6.2440530000000001</v>
      </c>
      <c r="AK789" t="s">
        <v>354</v>
      </c>
      <c r="AL789">
        <v>234.26896099999999</v>
      </c>
      <c r="AM789" s="4" t="s">
        <v>64</v>
      </c>
      <c r="AN789" s="5">
        <v>36472.398425647887</v>
      </c>
      <c r="AO789" s="4" t="s">
        <v>65</v>
      </c>
      <c r="AP789" s="6">
        <v>1008</v>
      </c>
      <c r="AQ789">
        <v>4</v>
      </c>
      <c r="AR789">
        <v>44051.403215999999</v>
      </c>
      <c r="AS789" t="s">
        <v>66</v>
      </c>
      <c r="AT789" t="s">
        <v>53</v>
      </c>
    </row>
    <row r="790" spans="1:46">
      <c r="A790">
        <v>903</v>
      </c>
      <c r="B790" t="s">
        <v>46</v>
      </c>
      <c r="C790">
        <v>54</v>
      </c>
      <c r="D790">
        <v>250</v>
      </c>
      <c r="E790" t="s">
        <v>1136</v>
      </c>
      <c r="F790" t="s">
        <v>1116</v>
      </c>
      <c r="G790">
        <v>54250</v>
      </c>
      <c r="H790">
        <v>54250</v>
      </c>
      <c r="I790" t="s">
        <v>49</v>
      </c>
      <c r="J790">
        <v>5402</v>
      </c>
      <c r="K790" t="s">
        <v>112</v>
      </c>
      <c r="L790" t="s">
        <v>69</v>
      </c>
      <c r="M790" t="s">
        <v>53</v>
      </c>
      <c r="N790">
        <v>23344</v>
      </c>
      <c r="O790" t="s">
        <v>53</v>
      </c>
      <c r="P790" t="s">
        <v>70</v>
      </c>
      <c r="Q790" t="s">
        <v>71</v>
      </c>
      <c r="R790" t="s">
        <v>93</v>
      </c>
      <c r="S790" t="s">
        <v>1132</v>
      </c>
      <c r="T790" t="s">
        <v>73</v>
      </c>
      <c r="U790" t="s">
        <v>115</v>
      </c>
      <c r="V790">
        <v>0.74798799999999999</v>
      </c>
      <c r="W790" t="s">
        <v>53</v>
      </c>
      <c r="X790" t="s">
        <v>53</v>
      </c>
      <c r="Y790" t="s">
        <v>277</v>
      </c>
      <c r="Z790" t="str">
        <f t="shared" si="24"/>
        <v>Mayor que 10 - hasta 15</v>
      </c>
      <c r="AA790">
        <f t="shared" si="25"/>
        <v>1</v>
      </c>
      <c r="AB790">
        <v>54250</v>
      </c>
      <c r="AC790" t="s">
        <v>685</v>
      </c>
      <c r="AD790" t="s">
        <v>686</v>
      </c>
      <c r="AE790">
        <v>3.6383169999999998</v>
      </c>
      <c r="AF790" t="s">
        <v>84</v>
      </c>
      <c r="AG790">
        <v>73.356558000000007</v>
      </c>
      <c r="AH790" t="s">
        <v>685</v>
      </c>
      <c r="AI790" t="s">
        <v>1118</v>
      </c>
      <c r="AJ790">
        <v>6.0820990000000004</v>
      </c>
      <c r="AK790" t="s">
        <v>354</v>
      </c>
      <c r="AL790">
        <v>160.588853</v>
      </c>
      <c r="AM790" s="4" t="s">
        <v>64</v>
      </c>
      <c r="AN790" s="5">
        <v>37501.888340133039</v>
      </c>
      <c r="AO790" s="4" t="s">
        <v>64</v>
      </c>
      <c r="AP790" s="6">
        <v>703</v>
      </c>
      <c r="AQ790">
        <v>3</v>
      </c>
      <c r="AR790">
        <v>35860.961345000003</v>
      </c>
      <c r="AS790" t="s">
        <v>66</v>
      </c>
      <c r="AT790" t="s">
        <v>53</v>
      </c>
    </row>
    <row r="791" spans="1:46">
      <c r="A791">
        <v>874</v>
      </c>
      <c r="B791" t="s">
        <v>46</v>
      </c>
      <c r="C791">
        <v>54</v>
      </c>
      <c r="D791">
        <v>261</v>
      </c>
      <c r="E791" t="s">
        <v>1137</v>
      </c>
      <c r="F791" t="s">
        <v>1116</v>
      </c>
      <c r="G791">
        <v>54261</v>
      </c>
      <c r="H791">
        <v>54261</v>
      </c>
      <c r="I791" t="s">
        <v>49</v>
      </c>
      <c r="J791">
        <v>5404</v>
      </c>
      <c r="K791" t="s">
        <v>1117</v>
      </c>
      <c r="L791" t="s">
        <v>69</v>
      </c>
      <c r="M791" t="s">
        <v>53</v>
      </c>
      <c r="N791">
        <v>30568</v>
      </c>
      <c r="O791" t="s">
        <v>53</v>
      </c>
      <c r="P791" t="s">
        <v>92</v>
      </c>
      <c r="Q791" t="s">
        <v>71</v>
      </c>
      <c r="R791" t="s">
        <v>105</v>
      </c>
      <c r="S791" t="s">
        <v>57</v>
      </c>
      <c r="T791" t="s">
        <v>73</v>
      </c>
      <c r="U791" t="s">
        <v>119</v>
      </c>
      <c r="V791">
        <v>0.40817500000000001</v>
      </c>
      <c r="W791" t="s">
        <v>53</v>
      </c>
      <c r="X791" t="s">
        <v>53</v>
      </c>
      <c r="Y791" t="s">
        <v>102</v>
      </c>
      <c r="Z791" t="str">
        <f t="shared" si="24"/>
        <v>Mayor que 20 - hasta 30</v>
      </c>
      <c r="AA791">
        <f t="shared" si="25"/>
        <v>1</v>
      </c>
      <c r="AB791">
        <v>54261</v>
      </c>
      <c r="AC791" t="s">
        <v>685</v>
      </c>
      <c r="AD791" t="s">
        <v>1118</v>
      </c>
      <c r="AE791">
        <v>0.52681299999999998</v>
      </c>
      <c r="AF791" t="s">
        <v>63</v>
      </c>
      <c r="AG791">
        <v>13.288225000000001</v>
      </c>
      <c r="AH791" t="s">
        <v>685</v>
      </c>
      <c r="AI791" t="s">
        <v>1118</v>
      </c>
      <c r="AJ791">
        <v>0.45001799999999997</v>
      </c>
      <c r="AK791" t="s">
        <v>63</v>
      </c>
      <c r="AL791">
        <v>12.929646</v>
      </c>
      <c r="AM791" s="4" t="s">
        <v>64</v>
      </c>
      <c r="AN791" s="5">
        <v>23388.845312703477</v>
      </c>
      <c r="AO791" s="4" t="s">
        <v>65</v>
      </c>
      <c r="AP791" s="6">
        <v>1733</v>
      </c>
      <c r="AQ791">
        <v>4</v>
      </c>
      <c r="AR791">
        <v>25819.114428000001</v>
      </c>
      <c r="AS791" t="s">
        <v>66</v>
      </c>
      <c r="AT791" t="s">
        <v>53</v>
      </c>
    </row>
    <row r="792" spans="1:46">
      <c r="A792">
        <v>875</v>
      </c>
      <c r="B792" t="s">
        <v>46</v>
      </c>
      <c r="C792">
        <v>54</v>
      </c>
      <c r="D792">
        <v>313</v>
      </c>
      <c r="E792" t="s">
        <v>1138</v>
      </c>
      <c r="F792" t="s">
        <v>1116</v>
      </c>
      <c r="G792">
        <v>54313</v>
      </c>
      <c r="H792">
        <v>54313</v>
      </c>
      <c r="I792" t="s">
        <v>49</v>
      </c>
      <c r="J792">
        <v>5401</v>
      </c>
      <c r="K792" t="s">
        <v>409</v>
      </c>
      <c r="L792" t="s">
        <v>69</v>
      </c>
      <c r="M792" t="s">
        <v>53</v>
      </c>
      <c r="N792">
        <v>8291</v>
      </c>
      <c r="O792" t="s">
        <v>53</v>
      </c>
      <c r="P792" t="s">
        <v>70</v>
      </c>
      <c r="Q792" t="s">
        <v>71</v>
      </c>
      <c r="R792" t="s">
        <v>122</v>
      </c>
      <c r="S792" t="s">
        <v>57</v>
      </c>
      <c r="T792" t="s">
        <v>58</v>
      </c>
      <c r="U792" t="s">
        <v>81</v>
      </c>
      <c r="V792">
        <v>0.64280999999999999</v>
      </c>
      <c r="W792" t="s">
        <v>53</v>
      </c>
      <c r="X792" t="s">
        <v>53</v>
      </c>
      <c r="Y792" t="s">
        <v>102</v>
      </c>
      <c r="Z792" t="str">
        <f t="shared" si="24"/>
        <v>Mayor que 20 - hasta 30</v>
      </c>
      <c r="AA792">
        <f t="shared" si="25"/>
        <v>1</v>
      </c>
      <c r="AB792">
        <v>54313</v>
      </c>
      <c r="AC792" t="s">
        <v>685</v>
      </c>
      <c r="AD792" t="s">
        <v>1118</v>
      </c>
      <c r="AE792">
        <v>2.0872480000000002</v>
      </c>
      <c r="AF792" t="s">
        <v>77</v>
      </c>
      <c r="AG792">
        <v>46.873001000000002</v>
      </c>
      <c r="AH792" t="s">
        <v>685</v>
      </c>
      <c r="AI792" t="s">
        <v>1118</v>
      </c>
      <c r="AJ792">
        <v>2.0104519999999999</v>
      </c>
      <c r="AK792" t="s">
        <v>77</v>
      </c>
      <c r="AL792">
        <v>46.514423000000001</v>
      </c>
      <c r="AM792" s="4" t="s">
        <v>64</v>
      </c>
      <c r="AN792" s="5">
        <v>7125.0583507048841</v>
      </c>
      <c r="AO792" s="4" t="s">
        <v>65</v>
      </c>
      <c r="AP792" s="6">
        <v>1299</v>
      </c>
      <c r="AQ792">
        <v>4</v>
      </c>
      <c r="AR792">
        <v>6598.7041719999997</v>
      </c>
      <c r="AS792" t="s">
        <v>66</v>
      </c>
      <c r="AT792" t="s">
        <v>53</v>
      </c>
    </row>
    <row r="793" spans="1:46">
      <c r="A793">
        <v>876</v>
      </c>
      <c r="B793" t="s">
        <v>46</v>
      </c>
      <c r="C793">
        <v>54</v>
      </c>
      <c r="D793">
        <v>344</v>
      </c>
      <c r="E793" t="s">
        <v>1139</v>
      </c>
      <c r="F793" t="s">
        <v>1116</v>
      </c>
      <c r="G793">
        <v>54344</v>
      </c>
      <c r="H793">
        <v>54344</v>
      </c>
      <c r="I793" t="s">
        <v>49</v>
      </c>
      <c r="J793">
        <v>5403</v>
      </c>
      <c r="K793" t="s">
        <v>79</v>
      </c>
      <c r="L793" t="s">
        <v>80</v>
      </c>
      <c r="M793" t="s">
        <v>53</v>
      </c>
      <c r="N793">
        <v>11452</v>
      </c>
      <c r="O793" t="s">
        <v>53</v>
      </c>
      <c r="P793" t="s">
        <v>70</v>
      </c>
      <c r="Q793" t="s">
        <v>71</v>
      </c>
      <c r="R793" t="s">
        <v>93</v>
      </c>
      <c r="S793" t="s">
        <v>1132</v>
      </c>
      <c r="T793" t="s">
        <v>73</v>
      </c>
      <c r="U793" t="s">
        <v>115</v>
      </c>
      <c r="V793">
        <v>0.71538999999999997</v>
      </c>
      <c r="W793" t="s">
        <v>53</v>
      </c>
      <c r="X793" t="s">
        <v>53</v>
      </c>
      <c r="Y793" t="s">
        <v>82</v>
      </c>
      <c r="Z793" t="str">
        <f t="shared" si="24"/>
        <v>Mayor que 15 - hasta 20</v>
      </c>
      <c r="AA793">
        <f t="shared" si="25"/>
        <v>1</v>
      </c>
      <c r="AB793">
        <v>54344</v>
      </c>
      <c r="AC793" t="s">
        <v>685</v>
      </c>
      <c r="AD793" t="s">
        <v>686</v>
      </c>
      <c r="AE793">
        <v>2.0118239999999998</v>
      </c>
      <c r="AF793" t="s">
        <v>77</v>
      </c>
      <c r="AG793">
        <v>47.984271</v>
      </c>
      <c r="AH793" t="s">
        <v>685</v>
      </c>
      <c r="AI793" t="s">
        <v>1118</v>
      </c>
      <c r="AJ793">
        <v>6.9616920000000002</v>
      </c>
      <c r="AK793" t="s">
        <v>354</v>
      </c>
      <c r="AL793">
        <v>184.91921300000001</v>
      </c>
      <c r="AM793" s="4" t="e">
        <v>#N/A</v>
      </c>
      <c r="AN793" s="5" t="e">
        <v>#N/A</v>
      </c>
      <c r="AO793" s="4" t="e">
        <v>#N/A</v>
      </c>
      <c r="AP793" s="6" t="e">
        <v>#N/A</v>
      </c>
      <c r="AQ793">
        <v>4</v>
      </c>
      <c r="AR793">
        <v>35145.651726999997</v>
      </c>
      <c r="AS793" t="s">
        <v>66</v>
      </c>
      <c r="AT793" t="s">
        <v>53</v>
      </c>
    </row>
    <row r="794" spans="1:46">
      <c r="A794">
        <v>877</v>
      </c>
      <c r="B794" t="s">
        <v>46</v>
      </c>
      <c r="C794">
        <v>54</v>
      </c>
      <c r="D794">
        <v>347</v>
      </c>
      <c r="E794" t="s">
        <v>1140</v>
      </c>
      <c r="F794" t="s">
        <v>1116</v>
      </c>
      <c r="G794">
        <v>54347</v>
      </c>
      <c r="H794">
        <v>54347</v>
      </c>
      <c r="I794" t="s">
        <v>49</v>
      </c>
      <c r="J794">
        <v>5406</v>
      </c>
      <c r="K794" t="s">
        <v>1123</v>
      </c>
      <c r="L794" t="s">
        <v>80</v>
      </c>
      <c r="M794" t="s">
        <v>53</v>
      </c>
      <c r="N794">
        <v>7790</v>
      </c>
      <c r="O794" t="s">
        <v>53</v>
      </c>
      <c r="P794" t="s">
        <v>70</v>
      </c>
      <c r="Q794" t="s">
        <v>71</v>
      </c>
      <c r="R794" t="s">
        <v>93</v>
      </c>
      <c r="S794" t="s">
        <v>57</v>
      </c>
      <c r="T794" t="s">
        <v>58</v>
      </c>
      <c r="U794" t="s">
        <v>81</v>
      </c>
      <c r="V794">
        <v>0.52117899999999995</v>
      </c>
      <c r="W794" t="s">
        <v>53</v>
      </c>
      <c r="X794" t="s">
        <v>53</v>
      </c>
      <c r="Y794" t="s">
        <v>82</v>
      </c>
      <c r="Z794" t="str">
        <f t="shared" si="24"/>
        <v>Mayor que 15 - hasta 20</v>
      </c>
      <c r="AA794">
        <f t="shared" si="25"/>
        <v>1</v>
      </c>
      <c r="AB794">
        <v>54347</v>
      </c>
      <c r="AC794" t="s">
        <v>685</v>
      </c>
      <c r="AD794" t="s">
        <v>1121</v>
      </c>
      <c r="AE794">
        <v>2.5397400000000001</v>
      </c>
      <c r="AF794" t="s">
        <v>77</v>
      </c>
      <c r="AG794">
        <v>47.185996000000003</v>
      </c>
      <c r="AH794" t="s">
        <v>685</v>
      </c>
      <c r="AI794" t="s">
        <v>1118</v>
      </c>
      <c r="AJ794">
        <v>2.9151020000000001</v>
      </c>
      <c r="AK794" t="s">
        <v>77</v>
      </c>
      <c r="AL794">
        <v>57.291378000000002</v>
      </c>
      <c r="AM794" s="4" t="s">
        <v>65</v>
      </c>
      <c r="AN794" s="5">
        <v>3641.9765794641089</v>
      </c>
      <c r="AO794" s="4" t="s">
        <v>65</v>
      </c>
      <c r="AP794" s="6">
        <v>924</v>
      </c>
      <c r="AQ794">
        <v>4</v>
      </c>
      <c r="AR794">
        <v>3893.9512239999999</v>
      </c>
      <c r="AS794" t="s">
        <v>66</v>
      </c>
      <c r="AT794" t="s">
        <v>53</v>
      </c>
    </row>
    <row r="795" spans="1:46">
      <c r="A795">
        <v>878</v>
      </c>
      <c r="B795" t="s">
        <v>46</v>
      </c>
      <c r="C795">
        <v>54</v>
      </c>
      <c r="D795">
        <v>377</v>
      </c>
      <c r="E795" t="s">
        <v>1141</v>
      </c>
      <c r="F795" t="s">
        <v>1116</v>
      </c>
      <c r="G795">
        <v>54377</v>
      </c>
      <c r="H795">
        <v>54377</v>
      </c>
      <c r="I795" t="s">
        <v>49</v>
      </c>
      <c r="J795">
        <v>5406</v>
      </c>
      <c r="K795" t="s">
        <v>1123</v>
      </c>
      <c r="L795" t="s">
        <v>80</v>
      </c>
      <c r="M795" t="s">
        <v>53</v>
      </c>
      <c r="N795">
        <v>7123</v>
      </c>
      <c r="O795" t="s">
        <v>53</v>
      </c>
      <c r="P795" t="s">
        <v>70</v>
      </c>
      <c r="Q795" t="s">
        <v>71</v>
      </c>
      <c r="R795" t="s">
        <v>105</v>
      </c>
      <c r="S795" t="s">
        <v>57</v>
      </c>
      <c r="T795" t="s">
        <v>58</v>
      </c>
      <c r="U795" t="s">
        <v>59</v>
      </c>
      <c r="V795">
        <v>0.60272300000000001</v>
      </c>
      <c r="W795" t="s">
        <v>53</v>
      </c>
      <c r="X795" t="s">
        <v>53</v>
      </c>
      <c r="Y795" t="s">
        <v>102</v>
      </c>
      <c r="Z795" t="str">
        <f t="shared" si="24"/>
        <v>Mayor que 20 - hasta 30</v>
      </c>
      <c r="AA795">
        <f t="shared" si="25"/>
        <v>1</v>
      </c>
      <c r="AB795">
        <v>54377</v>
      </c>
      <c r="AC795" t="s">
        <v>685</v>
      </c>
      <c r="AD795" t="s">
        <v>1127</v>
      </c>
      <c r="AE795">
        <v>1.461722</v>
      </c>
      <c r="AF795" t="s">
        <v>76</v>
      </c>
      <c r="AG795">
        <v>32.697771000000003</v>
      </c>
      <c r="AH795" t="s">
        <v>685</v>
      </c>
      <c r="AI795" t="s">
        <v>1118</v>
      </c>
      <c r="AJ795">
        <v>3.5474519999999998</v>
      </c>
      <c r="AK795" t="s">
        <v>84</v>
      </c>
      <c r="AL795">
        <v>104.424682</v>
      </c>
      <c r="AM795" s="4" t="s">
        <v>65</v>
      </c>
      <c r="AN795" s="5">
        <v>8786.4574027132403</v>
      </c>
      <c r="AO795" s="4" t="s">
        <v>65</v>
      </c>
      <c r="AP795" s="6">
        <v>2079</v>
      </c>
      <c r="AQ795">
        <v>4</v>
      </c>
      <c r="AR795">
        <v>13933.000633</v>
      </c>
      <c r="AS795" t="s">
        <v>66</v>
      </c>
      <c r="AT795" t="s">
        <v>53</v>
      </c>
    </row>
    <row r="796" spans="1:46">
      <c r="A796">
        <v>879</v>
      </c>
      <c r="B796" t="s">
        <v>46</v>
      </c>
      <c r="C796">
        <v>54</v>
      </c>
      <c r="D796">
        <v>385</v>
      </c>
      <c r="E796" t="s">
        <v>1142</v>
      </c>
      <c r="F796" t="s">
        <v>1116</v>
      </c>
      <c r="G796">
        <v>54385</v>
      </c>
      <c r="H796">
        <v>54385</v>
      </c>
      <c r="I796" t="s">
        <v>49</v>
      </c>
      <c r="J796">
        <v>5403</v>
      </c>
      <c r="K796" t="s">
        <v>79</v>
      </c>
      <c r="L796" t="s">
        <v>80</v>
      </c>
      <c r="M796" t="s">
        <v>53</v>
      </c>
      <c r="N796">
        <v>13048</v>
      </c>
      <c r="O796" t="s">
        <v>53</v>
      </c>
      <c r="P796" t="s">
        <v>70</v>
      </c>
      <c r="Q796" t="s">
        <v>71</v>
      </c>
      <c r="R796" t="s">
        <v>122</v>
      </c>
      <c r="S796" t="s">
        <v>57</v>
      </c>
      <c r="T796" t="s">
        <v>58</v>
      </c>
      <c r="U796" t="s">
        <v>59</v>
      </c>
      <c r="V796">
        <v>0.52616499999999999</v>
      </c>
      <c r="W796" t="s">
        <v>53</v>
      </c>
      <c r="X796" t="s">
        <v>53</v>
      </c>
      <c r="Y796" t="s">
        <v>82</v>
      </c>
      <c r="Z796" t="str">
        <f t="shared" si="24"/>
        <v>Mayor que 15 - hasta 20</v>
      </c>
      <c r="AA796">
        <f t="shared" si="25"/>
        <v>1</v>
      </c>
      <c r="AB796">
        <v>54385</v>
      </c>
      <c r="AC796" t="s">
        <v>282</v>
      </c>
      <c r="AD796" t="s">
        <v>698</v>
      </c>
      <c r="AE796">
        <v>1.5442830000000001</v>
      </c>
      <c r="AF796" t="s">
        <v>76</v>
      </c>
      <c r="AG796">
        <v>80.976658999999998</v>
      </c>
      <c r="AH796" t="s">
        <v>282</v>
      </c>
      <c r="AI796" t="s">
        <v>284</v>
      </c>
      <c r="AJ796">
        <v>2.4580869999999999</v>
      </c>
      <c r="AK796" t="s">
        <v>77</v>
      </c>
      <c r="AL796">
        <v>79.996759999999995</v>
      </c>
      <c r="AM796" s="4" t="s">
        <v>64</v>
      </c>
      <c r="AN796" s="5">
        <v>45847.95084156825</v>
      </c>
      <c r="AO796" s="4" t="s">
        <v>65</v>
      </c>
      <c r="AP796" s="6">
        <v>1345</v>
      </c>
      <c r="AQ796">
        <v>2</v>
      </c>
      <c r="AR796">
        <v>25955.590638999998</v>
      </c>
      <c r="AS796" t="s">
        <v>66</v>
      </c>
      <c r="AT796" t="s">
        <v>53</v>
      </c>
    </row>
    <row r="797" spans="1:46">
      <c r="A797">
        <v>880</v>
      </c>
      <c r="B797" t="s">
        <v>46</v>
      </c>
      <c r="C797">
        <v>54</v>
      </c>
      <c r="D797">
        <v>398</v>
      </c>
      <c r="E797" t="s">
        <v>1143</v>
      </c>
      <c r="F797" t="s">
        <v>1116</v>
      </c>
      <c r="G797">
        <v>54398</v>
      </c>
      <c r="H797">
        <v>54398</v>
      </c>
      <c r="I797" t="s">
        <v>49</v>
      </c>
      <c r="J797">
        <v>5403</v>
      </c>
      <c r="K797" t="s">
        <v>79</v>
      </c>
      <c r="L797" t="s">
        <v>80</v>
      </c>
      <c r="M797" t="s">
        <v>53</v>
      </c>
      <c r="N797">
        <v>8675</v>
      </c>
      <c r="O797" t="s">
        <v>53</v>
      </c>
      <c r="P797" t="s">
        <v>70</v>
      </c>
      <c r="Q797" t="s">
        <v>71</v>
      </c>
      <c r="R797" t="s">
        <v>56</v>
      </c>
      <c r="S797" t="s">
        <v>57</v>
      </c>
      <c r="T797" t="s">
        <v>73</v>
      </c>
      <c r="U797" t="s">
        <v>101</v>
      </c>
      <c r="V797">
        <v>0.58155199999999996</v>
      </c>
      <c r="W797" t="s">
        <v>53</v>
      </c>
      <c r="X797" t="s">
        <v>53</v>
      </c>
      <c r="Y797" t="s">
        <v>82</v>
      </c>
      <c r="Z797" t="str">
        <f t="shared" si="24"/>
        <v>Mayor que 15 - hasta 20</v>
      </c>
      <c r="AA797">
        <f t="shared" si="25"/>
        <v>1</v>
      </c>
      <c r="AB797">
        <v>54398</v>
      </c>
      <c r="AC797" t="s">
        <v>685</v>
      </c>
      <c r="AD797" t="s">
        <v>686</v>
      </c>
      <c r="AE797">
        <v>0.84421000000000002</v>
      </c>
      <c r="AF797" t="s">
        <v>63</v>
      </c>
      <c r="AG797">
        <v>26.197770999999999</v>
      </c>
      <c r="AH797" t="s">
        <v>685</v>
      </c>
      <c r="AI797" t="s">
        <v>1118</v>
      </c>
      <c r="AJ797">
        <v>5.7940769999999997</v>
      </c>
      <c r="AK797" t="s">
        <v>181</v>
      </c>
      <c r="AL797">
        <v>163.132713</v>
      </c>
      <c r="AM797" s="4" t="s">
        <v>64</v>
      </c>
      <c r="AN797" s="5">
        <v>14817.707396245001</v>
      </c>
      <c r="AO797" s="4" t="s">
        <v>65</v>
      </c>
      <c r="AP797" s="6">
        <v>1164</v>
      </c>
      <c r="AQ797">
        <v>4</v>
      </c>
      <c r="AR797">
        <v>17569.806321</v>
      </c>
      <c r="AS797" t="s">
        <v>66</v>
      </c>
      <c r="AT797" t="s">
        <v>53</v>
      </c>
    </row>
    <row r="798" spans="1:46">
      <c r="A798">
        <v>881</v>
      </c>
      <c r="B798" t="s">
        <v>46</v>
      </c>
      <c r="C798">
        <v>54</v>
      </c>
      <c r="D798">
        <v>405</v>
      </c>
      <c r="E798" t="s">
        <v>1121</v>
      </c>
      <c r="F798" t="s">
        <v>1116</v>
      </c>
      <c r="G798">
        <v>54405</v>
      </c>
      <c r="H798">
        <v>54405</v>
      </c>
      <c r="I798" t="s">
        <v>49</v>
      </c>
      <c r="J798">
        <v>5404</v>
      </c>
      <c r="K798" t="s">
        <v>1117</v>
      </c>
      <c r="L798" t="s">
        <v>51</v>
      </c>
      <c r="M798" t="s">
        <v>53</v>
      </c>
      <c r="N798">
        <v>102949</v>
      </c>
      <c r="O798" t="s">
        <v>53</v>
      </c>
      <c r="P798" t="s">
        <v>54</v>
      </c>
      <c r="Q798" t="s">
        <v>134</v>
      </c>
      <c r="R798" t="s">
        <v>105</v>
      </c>
      <c r="S798" t="s">
        <v>57</v>
      </c>
      <c r="T798" t="s">
        <v>58</v>
      </c>
      <c r="U798" t="s">
        <v>81</v>
      </c>
      <c r="V798">
        <v>0.53345399999999998</v>
      </c>
      <c r="W798" t="s">
        <v>53</v>
      </c>
      <c r="X798" t="s">
        <v>53</v>
      </c>
      <c r="Y798" t="s">
        <v>187</v>
      </c>
      <c r="Z798" t="str">
        <f t="shared" si="24"/>
        <v>Mayor que 80 - hasta 100</v>
      </c>
      <c r="AA798">
        <f t="shared" si="25"/>
        <v>1</v>
      </c>
      <c r="AB798">
        <v>54405</v>
      </c>
      <c r="AC798" t="s">
        <v>685</v>
      </c>
      <c r="AD798" t="s">
        <v>1121</v>
      </c>
      <c r="AE798">
        <v>0</v>
      </c>
      <c r="AF798" t="s">
        <v>63</v>
      </c>
      <c r="AG798">
        <v>0</v>
      </c>
      <c r="AH798" t="s">
        <v>685</v>
      </c>
      <c r="AI798" t="s">
        <v>1118</v>
      </c>
      <c r="AJ798">
        <v>0.48872100000000002</v>
      </c>
      <c r="AK798" t="s">
        <v>63</v>
      </c>
      <c r="AL798">
        <v>10.588225</v>
      </c>
      <c r="AM798" s="4" t="s">
        <v>64</v>
      </c>
      <c r="AN798" s="5">
        <v>5970.7713452766229</v>
      </c>
      <c r="AO798" s="4" t="s">
        <v>65</v>
      </c>
      <c r="AP798" s="6">
        <v>1003</v>
      </c>
      <c r="AQ798">
        <v>4</v>
      </c>
      <c r="AR798">
        <v>6061.0863639999998</v>
      </c>
      <c r="AS798" t="s">
        <v>66</v>
      </c>
      <c r="AT798" t="s">
        <v>53</v>
      </c>
    </row>
    <row r="799" spans="1:46">
      <c r="A799">
        <v>882</v>
      </c>
      <c r="B799" t="s">
        <v>46</v>
      </c>
      <c r="C799">
        <v>54</v>
      </c>
      <c r="D799">
        <v>418</v>
      </c>
      <c r="E799" t="s">
        <v>1144</v>
      </c>
      <c r="F799" t="s">
        <v>1116</v>
      </c>
      <c r="G799">
        <v>54418</v>
      </c>
      <c r="H799">
        <v>54418</v>
      </c>
      <c r="I799" t="s">
        <v>49</v>
      </c>
      <c r="J799">
        <v>5401</v>
      </c>
      <c r="K799" t="s">
        <v>409</v>
      </c>
      <c r="L799" t="s">
        <v>69</v>
      </c>
      <c r="M799" t="s">
        <v>53</v>
      </c>
      <c r="N799">
        <v>4499</v>
      </c>
      <c r="O799" t="s">
        <v>53</v>
      </c>
      <c r="P799" t="s">
        <v>70</v>
      </c>
      <c r="Q799" t="s">
        <v>71</v>
      </c>
      <c r="R799" t="s">
        <v>93</v>
      </c>
      <c r="S799" t="s">
        <v>57</v>
      </c>
      <c r="T799" t="s">
        <v>58</v>
      </c>
      <c r="U799" t="s">
        <v>81</v>
      </c>
      <c r="V799">
        <v>0.49667099999999997</v>
      </c>
      <c r="W799" t="s">
        <v>53</v>
      </c>
      <c r="X799" t="s">
        <v>53</v>
      </c>
      <c r="Y799" t="s">
        <v>102</v>
      </c>
      <c r="Z799" t="str">
        <f t="shared" si="24"/>
        <v>Mayor que 20 - hasta 30</v>
      </c>
      <c r="AA799">
        <f t="shared" si="25"/>
        <v>1</v>
      </c>
      <c r="AB799">
        <v>54418</v>
      </c>
      <c r="AC799" t="s">
        <v>685</v>
      </c>
      <c r="AD799" t="s">
        <v>1118</v>
      </c>
      <c r="AE799">
        <v>2.7264330000000001</v>
      </c>
      <c r="AF799" t="s">
        <v>77</v>
      </c>
      <c r="AG799">
        <v>56.581327999999999</v>
      </c>
      <c r="AH799" t="s">
        <v>685</v>
      </c>
      <c r="AI799" t="s">
        <v>1118</v>
      </c>
      <c r="AJ799">
        <v>2.6496369999999998</v>
      </c>
      <c r="AK799" t="s">
        <v>77</v>
      </c>
      <c r="AL799">
        <v>56.222749</v>
      </c>
      <c r="AM799" s="4" t="s">
        <v>64</v>
      </c>
      <c r="AN799" s="5">
        <v>5051.721677021178</v>
      </c>
      <c r="AO799" s="4" t="s">
        <v>65</v>
      </c>
      <c r="AP799" s="6">
        <v>560</v>
      </c>
      <c r="AQ799">
        <v>3</v>
      </c>
      <c r="AR799">
        <v>5513.836757</v>
      </c>
      <c r="AS799" t="s">
        <v>66</v>
      </c>
      <c r="AT799" t="s">
        <v>53</v>
      </c>
    </row>
    <row r="800" spans="1:46">
      <c r="A800">
        <v>883</v>
      </c>
      <c r="B800" t="s">
        <v>46</v>
      </c>
      <c r="C800">
        <v>54</v>
      </c>
      <c r="D800">
        <v>480</v>
      </c>
      <c r="E800" t="s">
        <v>1145</v>
      </c>
      <c r="F800" t="s">
        <v>1116</v>
      </c>
      <c r="G800">
        <v>54480</v>
      </c>
      <c r="H800">
        <v>54480</v>
      </c>
      <c r="I800" t="s">
        <v>49</v>
      </c>
      <c r="J800">
        <v>5405</v>
      </c>
      <c r="K800" t="s">
        <v>1126</v>
      </c>
      <c r="L800" t="s">
        <v>80</v>
      </c>
      <c r="M800" t="s">
        <v>53</v>
      </c>
      <c r="N800">
        <v>4805</v>
      </c>
      <c r="O800" t="s">
        <v>53</v>
      </c>
      <c r="P800" t="s">
        <v>70</v>
      </c>
      <c r="Q800" t="s">
        <v>71</v>
      </c>
      <c r="R800" t="s">
        <v>105</v>
      </c>
      <c r="S800" t="s">
        <v>57</v>
      </c>
      <c r="T800" t="s">
        <v>58</v>
      </c>
      <c r="U800" t="s">
        <v>81</v>
      </c>
      <c r="V800">
        <v>0.52102199999999999</v>
      </c>
      <c r="W800" t="s">
        <v>53</v>
      </c>
      <c r="X800" t="s">
        <v>53</v>
      </c>
      <c r="Y800" t="s">
        <v>116</v>
      </c>
      <c r="Z800" t="str">
        <f t="shared" si="24"/>
        <v>Mayor que 30 - hasta 40</v>
      </c>
      <c r="AA800">
        <f t="shared" si="25"/>
        <v>1</v>
      </c>
      <c r="AB800">
        <v>54480</v>
      </c>
      <c r="AC800" t="s">
        <v>685</v>
      </c>
      <c r="AD800" t="s">
        <v>1127</v>
      </c>
      <c r="AE800">
        <v>0.84268900000000002</v>
      </c>
      <c r="AF800" t="s">
        <v>63</v>
      </c>
      <c r="AG800">
        <v>22.869343000000001</v>
      </c>
      <c r="AH800" t="s">
        <v>685</v>
      </c>
      <c r="AI800" t="s">
        <v>1118</v>
      </c>
      <c r="AJ800">
        <v>2.96435</v>
      </c>
      <c r="AK800" t="s">
        <v>77</v>
      </c>
      <c r="AL800">
        <v>96.303362000000007</v>
      </c>
      <c r="AM800" s="4" t="s">
        <v>65</v>
      </c>
      <c r="AN800" s="5">
        <v>4757.5604588579463</v>
      </c>
      <c r="AO800" s="4" t="s">
        <v>65</v>
      </c>
      <c r="AP800" s="6">
        <v>1399</v>
      </c>
      <c r="AQ800">
        <v>4</v>
      </c>
      <c r="AR800">
        <v>4505.8595880000003</v>
      </c>
      <c r="AS800" t="s">
        <v>66</v>
      </c>
      <c r="AT800" t="s">
        <v>53</v>
      </c>
    </row>
    <row r="801" spans="1:46">
      <c r="A801">
        <v>884</v>
      </c>
      <c r="B801" t="s">
        <v>46</v>
      </c>
      <c r="C801">
        <v>54</v>
      </c>
      <c r="D801">
        <v>498</v>
      </c>
      <c r="E801" t="s">
        <v>686</v>
      </c>
      <c r="F801" t="s">
        <v>1116</v>
      </c>
      <c r="G801">
        <v>54498</v>
      </c>
      <c r="H801">
        <v>54498</v>
      </c>
      <c r="I801" t="s">
        <v>49</v>
      </c>
      <c r="J801">
        <v>5403</v>
      </c>
      <c r="K801" t="s">
        <v>79</v>
      </c>
      <c r="L801" t="s">
        <v>51</v>
      </c>
      <c r="M801" t="s">
        <v>53</v>
      </c>
      <c r="N801">
        <v>134379</v>
      </c>
      <c r="O801" t="s">
        <v>53</v>
      </c>
      <c r="P801" t="s">
        <v>54</v>
      </c>
      <c r="Q801" t="s">
        <v>134</v>
      </c>
      <c r="R801" t="s">
        <v>56</v>
      </c>
      <c r="S801" t="s">
        <v>57</v>
      </c>
      <c r="T801" t="s">
        <v>58</v>
      </c>
      <c r="U801" t="s">
        <v>119</v>
      </c>
      <c r="V801">
        <v>0.59204699999999999</v>
      </c>
      <c r="W801" t="s">
        <v>53</v>
      </c>
      <c r="X801" t="s">
        <v>53</v>
      </c>
      <c r="Y801" t="s">
        <v>167</v>
      </c>
      <c r="Z801" t="str">
        <f t="shared" si="24"/>
        <v>Mayor que 50 - hasta 60</v>
      </c>
      <c r="AA801">
        <f t="shared" si="25"/>
        <v>1</v>
      </c>
      <c r="AB801">
        <v>54498</v>
      </c>
      <c r="AC801" t="s">
        <v>685</v>
      </c>
      <c r="AD801" t="s">
        <v>686</v>
      </c>
      <c r="AE801">
        <v>0</v>
      </c>
      <c r="AF801" t="s">
        <v>63</v>
      </c>
      <c r="AG801">
        <v>0</v>
      </c>
      <c r="AH801" t="s">
        <v>282</v>
      </c>
      <c r="AI801" t="s">
        <v>284</v>
      </c>
      <c r="AJ801">
        <v>5.5021050000000002</v>
      </c>
      <c r="AK801" t="s">
        <v>181</v>
      </c>
      <c r="AL801">
        <v>207.22459599999999</v>
      </c>
      <c r="AM801" s="4" t="s">
        <v>64</v>
      </c>
      <c r="AN801" s="5">
        <v>32805.254077305908</v>
      </c>
      <c r="AO801" s="4" t="s">
        <v>65</v>
      </c>
      <c r="AP801" s="6">
        <v>3471</v>
      </c>
      <c r="AQ801">
        <v>4</v>
      </c>
      <c r="AR801">
        <v>39643.875546000003</v>
      </c>
      <c r="AS801" t="s">
        <v>66</v>
      </c>
      <c r="AT801" t="s">
        <v>53</v>
      </c>
    </row>
    <row r="802" spans="1:46">
      <c r="A802">
        <v>885</v>
      </c>
      <c r="B802" t="s">
        <v>46</v>
      </c>
      <c r="C802">
        <v>54</v>
      </c>
      <c r="D802">
        <v>518</v>
      </c>
      <c r="E802" t="s">
        <v>1127</v>
      </c>
      <c r="F802" t="s">
        <v>1116</v>
      </c>
      <c r="G802">
        <v>54518</v>
      </c>
      <c r="H802">
        <v>54518</v>
      </c>
      <c r="I802" t="s">
        <v>49</v>
      </c>
      <c r="J802">
        <v>5405</v>
      </c>
      <c r="K802" t="s">
        <v>1126</v>
      </c>
      <c r="L802" t="s">
        <v>51</v>
      </c>
      <c r="M802" t="s">
        <v>53</v>
      </c>
      <c r="N802">
        <v>56451</v>
      </c>
      <c r="O802" t="s">
        <v>53</v>
      </c>
      <c r="P802" t="s">
        <v>92</v>
      </c>
      <c r="Q802" t="s">
        <v>71</v>
      </c>
      <c r="R802" t="s">
        <v>72</v>
      </c>
      <c r="S802" t="s">
        <v>57</v>
      </c>
      <c r="T802" t="s">
        <v>58</v>
      </c>
      <c r="U802" t="s">
        <v>81</v>
      </c>
      <c r="V802">
        <v>0.57164499999999996</v>
      </c>
      <c r="W802" t="s">
        <v>53</v>
      </c>
      <c r="X802" t="s">
        <v>53</v>
      </c>
      <c r="Y802" t="s">
        <v>165</v>
      </c>
      <c r="Z802" t="str">
        <f t="shared" si="24"/>
        <v>Mayor que 60 - hasta 70</v>
      </c>
      <c r="AA802">
        <f t="shared" si="25"/>
        <v>1</v>
      </c>
      <c r="AB802">
        <v>54518</v>
      </c>
      <c r="AC802" t="s">
        <v>685</v>
      </c>
      <c r="AD802" t="s">
        <v>1127</v>
      </c>
      <c r="AE802">
        <v>0</v>
      </c>
      <c r="AF802" t="s">
        <v>63</v>
      </c>
      <c r="AG802">
        <v>0</v>
      </c>
      <c r="AH802" t="s">
        <v>685</v>
      </c>
      <c r="AI802" t="s">
        <v>1118</v>
      </c>
      <c r="AJ802">
        <v>2.1556959999999998</v>
      </c>
      <c r="AK802" t="s">
        <v>77</v>
      </c>
      <c r="AL802">
        <v>74.516861000000006</v>
      </c>
      <c r="AM802" s="4" t="s">
        <v>64</v>
      </c>
      <c r="AN802" s="5">
        <v>11641.135037791364</v>
      </c>
      <c r="AO802" s="4" t="s">
        <v>65</v>
      </c>
      <c r="AP802" s="6">
        <v>1881</v>
      </c>
      <c r="AQ802">
        <v>4</v>
      </c>
      <c r="AR802">
        <v>17095.677950000001</v>
      </c>
      <c r="AS802" t="s">
        <v>66</v>
      </c>
      <c r="AT802" t="s">
        <v>53</v>
      </c>
    </row>
    <row r="803" spans="1:46">
      <c r="A803">
        <v>886</v>
      </c>
      <c r="B803" t="s">
        <v>46</v>
      </c>
      <c r="C803">
        <v>54</v>
      </c>
      <c r="D803">
        <v>520</v>
      </c>
      <c r="E803" t="s">
        <v>1146</v>
      </c>
      <c r="F803" t="s">
        <v>1116</v>
      </c>
      <c r="G803">
        <v>54520</v>
      </c>
      <c r="H803">
        <v>54520</v>
      </c>
      <c r="I803" t="s">
        <v>49</v>
      </c>
      <c r="J803">
        <v>5405</v>
      </c>
      <c r="K803" t="s">
        <v>1126</v>
      </c>
      <c r="L803" t="s">
        <v>80</v>
      </c>
      <c r="M803" t="s">
        <v>53</v>
      </c>
      <c r="N803">
        <v>6186</v>
      </c>
      <c r="O803" t="s">
        <v>53</v>
      </c>
      <c r="P803" t="s">
        <v>70</v>
      </c>
      <c r="Q803" t="s">
        <v>71</v>
      </c>
      <c r="R803" t="s">
        <v>93</v>
      </c>
      <c r="S803" t="s">
        <v>57</v>
      </c>
      <c r="T803" t="s">
        <v>58</v>
      </c>
      <c r="U803" t="s">
        <v>81</v>
      </c>
      <c r="V803">
        <v>0.50703500000000001</v>
      </c>
      <c r="W803" t="s">
        <v>53</v>
      </c>
      <c r="X803" t="s">
        <v>53</v>
      </c>
      <c r="Y803" t="s">
        <v>102</v>
      </c>
      <c r="Z803" t="str">
        <f t="shared" si="24"/>
        <v>Mayor que 20 - hasta 30</v>
      </c>
      <c r="AA803">
        <f t="shared" si="25"/>
        <v>1</v>
      </c>
      <c r="AB803">
        <v>54520</v>
      </c>
      <c r="AC803" t="s">
        <v>685</v>
      </c>
      <c r="AD803" t="s">
        <v>1127</v>
      </c>
      <c r="AE803">
        <v>0.42901600000000001</v>
      </c>
      <c r="AF803" t="s">
        <v>63</v>
      </c>
      <c r="AG803">
        <v>11.149747</v>
      </c>
      <c r="AH803" t="s">
        <v>685</v>
      </c>
      <c r="AI803" t="s">
        <v>1118</v>
      </c>
      <c r="AJ803">
        <v>1.820376</v>
      </c>
      <c r="AK803" t="s">
        <v>76</v>
      </c>
      <c r="AL803">
        <v>64.649957000000001</v>
      </c>
      <c r="AM803" s="4" t="s">
        <v>64</v>
      </c>
      <c r="AN803" s="5">
        <v>7866.0159169217568</v>
      </c>
      <c r="AO803" s="4" t="s">
        <v>65</v>
      </c>
      <c r="AP803" s="6">
        <v>1474</v>
      </c>
      <c r="AQ803">
        <v>4</v>
      </c>
      <c r="AR803">
        <v>8216.6022630000007</v>
      </c>
      <c r="AS803" t="s">
        <v>66</v>
      </c>
      <c r="AT803" t="s">
        <v>53</v>
      </c>
    </row>
    <row r="804" spans="1:46">
      <c r="A804">
        <v>887</v>
      </c>
      <c r="B804" t="s">
        <v>46</v>
      </c>
      <c r="C804">
        <v>54</v>
      </c>
      <c r="D804">
        <v>553</v>
      </c>
      <c r="E804" t="s">
        <v>1147</v>
      </c>
      <c r="F804" t="s">
        <v>1116</v>
      </c>
      <c r="G804">
        <v>54553</v>
      </c>
      <c r="H804">
        <v>54553</v>
      </c>
      <c r="I804" t="s">
        <v>49</v>
      </c>
      <c r="J804">
        <v>5404</v>
      </c>
      <c r="K804" t="s">
        <v>1117</v>
      </c>
      <c r="L804" t="s">
        <v>91</v>
      </c>
      <c r="M804" t="s">
        <v>53</v>
      </c>
      <c r="N804">
        <v>9817</v>
      </c>
      <c r="O804" t="s">
        <v>53</v>
      </c>
      <c r="P804" t="s">
        <v>70</v>
      </c>
      <c r="Q804" t="s">
        <v>71</v>
      </c>
      <c r="R804" t="s">
        <v>105</v>
      </c>
      <c r="S804" t="s">
        <v>57</v>
      </c>
      <c r="T804" t="s">
        <v>58</v>
      </c>
      <c r="U804" t="s">
        <v>119</v>
      </c>
      <c r="V804">
        <v>0.46984599999999999</v>
      </c>
      <c r="W804" t="s">
        <v>53</v>
      </c>
      <c r="X804" t="s">
        <v>53</v>
      </c>
      <c r="Y804" t="s">
        <v>102</v>
      </c>
      <c r="Z804" t="str">
        <f t="shared" si="24"/>
        <v>Mayor que 20 - hasta 30</v>
      </c>
      <c r="AA804">
        <f t="shared" si="25"/>
        <v>1</v>
      </c>
      <c r="AB804">
        <v>54553</v>
      </c>
      <c r="AC804" t="s">
        <v>685</v>
      </c>
      <c r="AD804" t="s">
        <v>1148</v>
      </c>
      <c r="AE804">
        <v>1.4612259999999999</v>
      </c>
      <c r="AF804" t="s">
        <v>76</v>
      </c>
      <c r="AG804">
        <v>68.874221000000006</v>
      </c>
      <c r="AH804" t="s">
        <v>685</v>
      </c>
      <c r="AI804" t="s">
        <v>1118</v>
      </c>
      <c r="AJ804">
        <v>1.861801</v>
      </c>
      <c r="AK804" t="s">
        <v>76</v>
      </c>
      <c r="AL804">
        <v>59.855843999999998</v>
      </c>
      <c r="AM804" s="4" t="s">
        <v>64</v>
      </c>
      <c r="AN804" s="5">
        <v>3634.401789514176</v>
      </c>
      <c r="AO804" s="4" t="s">
        <v>64</v>
      </c>
      <c r="AP804" s="6">
        <v>83</v>
      </c>
      <c r="AQ804">
        <v>1</v>
      </c>
      <c r="AR804">
        <v>2825.3748169999999</v>
      </c>
      <c r="AS804" t="s">
        <v>66</v>
      </c>
      <c r="AT804" t="s">
        <v>53</v>
      </c>
    </row>
    <row r="805" spans="1:46">
      <c r="A805">
        <v>888</v>
      </c>
      <c r="B805" t="s">
        <v>46</v>
      </c>
      <c r="C805">
        <v>54</v>
      </c>
      <c r="D805">
        <v>599</v>
      </c>
      <c r="E805" t="s">
        <v>1149</v>
      </c>
      <c r="F805" t="s">
        <v>1116</v>
      </c>
      <c r="G805">
        <v>54599</v>
      </c>
      <c r="H805">
        <v>54599</v>
      </c>
      <c r="I805" t="s">
        <v>49</v>
      </c>
      <c r="J805">
        <v>5406</v>
      </c>
      <c r="K805" t="s">
        <v>1123</v>
      </c>
      <c r="L805" t="s">
        <v>91</v>
      </c>
      <c r="M805" t="s">
        <v>53</v>
      </c>
      <c r="N805">
        <v>6704</v>
      </c>
      <c r="O805" t="s">
        <v>53</v>
      </c>
      <c r="P805" t="s">
        <v>70</v>
      </c>
      <c r="Q805" t="s">
        <v>71</v>
      </c>
      <c r="R805" t="s">
        <v>105</v>
      </c>
      <c r="S805" t="s">
        <v>57</v>
      </c>
      <c r="T805" t="s">
        <v>58</v>
      </c>
      <c r="U805" t="s">
        <v>81</v>
      </c>
      <c r="V805">
        <v>0.45301000000000002</v>
      </c>
      <c r="W805" t="s">
        <v>53</v>
      </c>
      <c r="X805" t="s">
        <v>53</v>
      </c>
      <c r="Y805" t="s">
        <v>102</v>
      </c>
      <c r="Z805" t="str">
        <f t="shared" si="24"/>
        <v>Mayor que 20 - hasta 30</v>
      </c>
      <c r="AA805">
        <f t="shared" si="25"/>
        <v>1</v>
      </c>
      <c r="AB805">
        <v>54599</v>
      </c>
      <c r="AC805" t="s">
        <v>685</v>
      </c>
      <c r="AD805" t="s">
        <v>1121</v>
      </c>
      <c r="AE805">
        <v>2.2135030000000002</v>
      </c>
      <c r="AF805" t="s">
        <v>77</v>
      </c>
      <c r="AG805">
        <v>37.943354999999997</v>
      </c>
      <c r="AH805" t="s">
        <v>685</v>
      </c>
      <c r="AI805" t="s">
        <v>1118</v>
      </c>
      <c r="AJ805">
        <v>2.5888650000000002</v>
      </c>
      <c r="AK805" t="s">
        <v>77</v>
      </c>
      <c r="AL805">
        <v>48.048737000000003</v>
      </c>
      <c r="AM805" s="4" t="s">
        <v>65</v>
      </c>
      <c r="AN805" s="5">
        <v>4875.5996276724227</v>
      </c>
      <c r="AO805" s="4" t="s">
        <v>65</v>
      </c>
      <c r="AP805" s="6">
        <v>1003</v>
      </c>
      <c r="AQ805">
        <v>4</v>
      </c>
      <c r="AR805">
        <v>5949.5917010000003</v>
      </c>
      <c r="AS805" t="s">
        <v>66</v>
      </c>
      <c r="AT805" t="s">
        <v>53</v>
      </c>
    </row>
    <row r="806" spans="1:46">
      <c r="A806">
        <v>889</v>
      </c>
      <c r="B806" t="s">
        <v>46</v>
      </c>
      <c r="C806">
        <v>54</v>
      </c>
      <c r="D806">
        <v>660</v>
      </c>
      <c r="E806" t="s">
        <v>1150</v>
      </c>
      <c r="F806" t="s">
        <v>1116</v>
      </c>
      <c r="G806">
        <v>54660</v>
      </c>
      <c r="H806">
        <v>54660</v>
      </c>
      <c r="I806" t="s">
        <v>49</v>
      </c>
      <c r="J806">
        <v>5401</v>
      </c>
      <c r="K806" t="s">
        <v>409</v>
      </c>
      <c r="L806" t="s">
        <v>69</v>
      </c>
      <c r="M806" t="s">
        <v>53</v>
      </c>
      <c r="N806">
        <v>11574</v>
      </c>
      <c r="O806" t="s">
        <v>53</v>
      </c>
      <c r="P806" t="s">
        <v>70</v>
      </c>
      <c r="Q806" t="s">
        <v>71</v>
      </c>
      <c r="R806" t="s">
        <v>122</v>
      </c>
      <c r="S806" t="s">
        <v>57</v>
      </c>
      <c r="T806" t="s">
        <v>58</v>
      </c>
      <c r="U806" t="s">
        <v>59</v>
      </c>
      <c r="V806">
        <v>0.31526599999999999</v>
      </c>
      <c r="W806" t="s">
        <v>53</v>
      </c>
      <c r="X806" t="s">
        <v>53</v>
      </c>
      <c r="Y806" t="s">
        <v>102</v>
      </c>
      <c r="Z806" t="str">
        <f t="shared" si="24"/>
        <v>Mayor que 20 - hasta 30</v>
      </c>
      <c r="AA806">
        <f t="shared" si="25"/>
        <v>1</v>
      </c>
      <c r="AB806">
        <v>54660</v>
      </c>
      <c r="AC806" t="s">
        <v>685</v>
      </c>
      <c r="AD806" t="s">
        <v>1118</v>
      </c>
      <c r="AE806">
        <v>1.980961</v>
      </c>
      <c r="AF806" t="s">
        <v>76</v>
      </c>
      <c r="AG806">
        <v>48.470058000000002</v>
      </c>
      <c r="AH806" t="s">
        <v>685</v>
      </c>
      <c r="AI806" t="s">
        <v>1118</v>
      </c>
      <c r="AJ806">
        <v>1.9041650000000001</v>
      </c>
      <c r="AK806" t="s">
        <v>76</v>
      </c>
      <c r="AL806">
        <v>48.111479000000003</v>
      </c>
      <c r="AM806" s="4" t="s">
        <v>64</v>
      </c>
      <c r="AN806" s="5">
        <v>17001.812604050527</v>
      </c>
      <c r="AO806" s="4" t="s">
        <v>65</v>
      </c>
      <c r="AP806" s="6">
        <v>1491</v>
      </c>
      <c r="AQ806">
        <v>4</v>
      </c>
      <c r="AR806">
        <v>20432.380292999998</v>
      </c>
      <c r="AS806" t="s">
        <v>66</v>
      </c>
      <c r="AT806" t="s">
        <v>53</v>
      </c>
    </row>
    <row r="807" spans="1:46">
      <c r="A807">
        <v>890</v>
      </c>
      <c r="B807" t="s">
        <v>46</v>
      </c>
      <c r="C807">
        <v>54</v>
      </c>
      <c r="D807">
        <v>670</v>
      </c>
      <c r="E807" t="s">
        <v>1151</v>
      </c>
      <c r="F807" t="s">
        <v>1116</v>
      </c>
      <c r="G807">
        <v>54670</v>
      </c>
      <c r="H807">
        <v>54670</v>
      </c>
      <c r="I807" t="s">
        <v>49</v>
      </c>
      <c r="J807">
        <v>5403</v>
      </c>
      <c r="K807" t="s">
        <v>79</v>
      </c>
      <c r="L807" t="s">
        <v>80</v>
      </c>
      <c r="M807" t="s">
        <v>53</v>
      </c>
      <c r="N807">
        <v>14351</v>
      </c>
      <c r="O807" t="s">
        <v>53</v>
      </c>
      <c r="P807" t="s">
        <v>70</v>
      </c>
      <c r="Q807" t="s">
        <v>71</v>
      </c>
      <c r="R807" t="s">
        <v>56</v>
      </c>
      <c r="S807" t="s">
        <v>1132</v>
      </c>
      <c r="T807" t="s">
        <v>73</v>
      </c>
      <c r="U807" t="s">
        <v>115</v>
      </c>
      <c r="V807">
        <v>0.86405900000000002</v>
      </c>
      <c r="W807" t="s">
        <v>53</v>
      </c>
      <c r="X807" t="s">
        <v>53</v>
      </c>
      <c r="Y807" t="s">
        <v>277</v>
      </c>
      <c r="Z807" t="str">
        <f t="shared" si="24"/>
        <v>Mayor que 10 - hasta 15</v>
      </c>
      <c r="AA807">
        <f t="shared" si="25"/>
        <v>1</v>
      </c>
      <c r="AB807">
        <v>54670</v>
      </c>
      <c r="AC807" t="s">
        <v>685</v>
      </c>
      <c r="AD807" t="s">
        <v>686</v>
      </c>
      <c r="AE807">
        <v>2.2733759999999998</v>
      </c>
      <c r="AF807" t="s">
        <v>77</v>
      </c>
      <c r="AG807">
        <v>46.931579999999997</v>
      </c>
      <c r="AH807" t="s">
        <v>282</v>
      </c>
      <c r="AI807" t="s">
        <v>284</v>
      </c>
      <c r="AJ807">
        <v>7.4295819999999999</v>
      </c>
      <c r="AK807" t="s">
        <v>221</v>
      </c>
      <c r="AL807">
        <v>243.21647899999999</v>
      </c>
      <c r="AM807" s="4" t="s">
        <v>64</v>
      </c>
      <c r="AN807" s="5">
        <v>18752.034662668968</v>
      </c>
      <c r="AO807" s="4" t="s">
        <v>65</v>
      </c>
      <c r="AP807" s="6">
        <v>1224</v>
      </c>
      <c r="AQ807">
        <v>4</v>
      </c>
      <c r="AR807">
        <v>26257.764168000002</v>
      </c>
      <c r="AS807" t="s">
        <v>66</v>
      </c>
      <c r="AT807" t="s">
        <v>53</v>
      </c>
    </row>
    <row r="808" spans="1:46">
      <c r="A808">
        <v>891</v>
      </c>
      <c r="B808" t="s">
        <v>46</v>
      </c>
      <c r="C808">
        <v>54</v>
      </c>
      <c r="D808">
        <v>673</v>
      </c>
      <c r="E808" t="s">
        <v>851</v>
      </c>
      <c r="F808" t="s">
        <v>1116</v>
      </c>
      <c r="G808">
        <v>54673</v>
      </c>
      <c r="H808">
        <v>54673</v>
      </c>
      <c r="I808" t="s">
        <v>49</v>
      </c>
      <c r="J808">
        <v>5404</v>
      </c>
      <c r="K808" t="s">
        <v>1117</v>
      </c>
      <c r="L808" t="s">
        <v>69</v>
      </c>
      <c r="M808" t="s">
        <v>53</v>
      </c>
      <c r="N808">
        <v>8049</v>
      </c>
      <c r="O808" t="s">
        <v>53</v>
      </c>
      <c r="P808" t="s">
        <v>70</v>
      </c>
      <c r="Q808" t="s">
        <v>71</v>
      </c>
      <c r="R808" t="s">
        <v>105</v>
      </c>
      <c r="S808" t="s">
        <v>57</v>
      </c>
      <c r="T808" t="s">
        <v>58</v>
      </c>
      <c r="U808" t="s">
        <v>119</v>
      </c>
      <c r="V808">
        <v>0.74364600000000003</v>
      </c>
      <c r="W808" t="s">
        <v>53</v>
      </c>
      <c r="X808" t="s">
        <v>53</v>
      </c>
      <c r="Y808" t="s">
        <v>136</v>
      </c>
      <c r="Z808" t="str">
        <f t="shared" si="24"/>
        <v>Mayor que 100 - hasta 120</v>
      </c>
      <c r="AA808">
        <f t="shared" si="25"/>
        <v>1</v>
      </c>
      <c r="AB808">
        <v>54673</v>
      </c>
      <c r="AC808" t="s">
        <v>685</v>
      </c>
      <c r="AD808" t="s">
        <v>1118</v>
      </c>
      <c r="AE808">
        <v>0.95257899999999995</v>
      </c>
      <c r="AF808" t="s">
        <v>63</v>
      </c>
      <c r="AG808">
        <v>20.948022999999999</v>
      </c>
      <c r="AH808" t="s">
        <v>685</v>
      </c>
      <c r="AI808" t="s">
        <v>1118</v>
      </c>
      <c r="AJ808">
        <v>0.87578299999999998</v>
      </c>
      <c r="AK808" t="s">
        <v>63</v>
      </c>
      <c r="AL808">
        <v>20.589444</v>
      </c>
      <c r="AM808" s="4" t="s">
        <v>64</v>
      </c>
      <c r="AN808" s="5">
        <v>7308.3060991824523</v>
      </c>
      <c r="AO808" s="4" t="s">
        <v>65</v>
      </c>
      <c r="AP808" s="6">
        <v>394</v>
      </c>
      <c r="AQ808">
        <v>4</v>
      </c>
      <c r="AR808">
        <v>6682.3295280000002</v>
      </c>
      <c r="AS808" t="s">
        <v>66</v>
      </c>
      <c r="AT808" t="s">
        <v>53</v>
      </c>
    </row>
    <row r="809" spans="1:46">
      <c r="A809">
        <v>892</v>
      </c>
      <c r="B809" t="s">
        <v>46</v>
      </c>
      <c r="C809">
        <v>54</v>
      </c>
      <c r="D809">
        <v>680</v>
      </c>
      <c r="E809" t="s">
        <v>1152</v>
      </c>
      <c r="F809" t="s">
        <v>1116</v>
      </c>
      <c r="G809">
        <v>54680</v>
      </c>
      <c r="H809">
        <v>54680</v>
      </c>
      <c r="I809" t="s">
        <v>49</v>
      </c>
      <c r="J809">
        <v>5401</v>
      </c>
      <c r="K809" t="s">
        <v>409</v>
      </c>
      <c r="L809" t="s">
        <v>69</v>
      </c>
      <c r="M809" t="s">
        <v>53</v>
      </c>
      <c r="N809">
        <v>3839</v>
      </c>
      <c r="O809" t="s">
        <v>53</v>
      </c>
      <c r="P809" t="s">
        <v>70</v>
      </c>
      <c r="Q809" t="s">
        <v>71</v>
      </c>
      <c r="R809" t="s">
        <v>105</v>
      </c>
      <c r="S809" t="s">
        <v>57</v>
      </c>
      <c r="T809" t="s">
        <v>73</v>
      </c>
      <c r="U809" t="s">
        <v>59</v>
      </c>
      <c r="V809">
        <v>0.42913899999999999</v>
      </c>
      <c r="W809" t="s">
        <v>53</v>
      </c>
      <c r="X809" t="s">
        <v>53</v>
      </c>
      <c r="Y809" t="s">
        <v>102</v>
      </c>
      <c r="Z809" t="str">
        <f t="shared" si="24"/>
        <v>Mayor que 20 - hasta 30</v>
      </c>
      <c r="AA809">
        <f t="shared" si="25"/>
        <v>1</v>
      </c>
      <c r="AB809">
        <v>54680</v>
      </c>
      <c r="AC809" t="s">
        <v>685</v>
      </c>
      <c r="AD809" t="s">
        <v>1118</v>
      </c>
      <c r="AE809">
        <v>1.169778</v>
      </c>
      <c r="AF809" t="s">
        <v>76</v>
      </c>
      <c r="AG809">
        <v>30.580613</v>
      </c>
      <c r="AH809" t="s">
        <v>685</v>
      </c>
      <c r="AI809" t="s">
        <v>1118</v>
      </c>
      <c r="AJ809">
        <v>1.0929819999999999</v>
      </c>
      <c r="AK809" t="s">
        <v>76</v>
      </c>
      <c r="AL809">
        <v>30.222035000000002</v>
      </c>
      <c r="AM809" s="4" t="s">
        <v>64</v>
      </c>
      <c r="AN809" s="5">
        <v>9235.7584372617221</v>
      </c>
      <c r="AO809" s="4" t="s">
        <v>65</v>
      </c>
      <c r="AP809" s="6">
        <v>273</v>
      </c>
      <c r="AQ809">
        <v>4</v>
      </c>
      <c r="AR809">
        <v>14256.695454000001</v>
      </c>
      <c r="AS809" t="s">
        <v>66</v>
      </c>
      <c r="AT809" t="s">
        <v>53</v>
      </c>
    </row>
    <row r="810" spans="1:46">
      <c r="A810">
        <v>893</v>
      </c>
      <c r="B810" t="s">
        <v>46</v>
      </c>
      <c r="C810">
        <v>54</v>
      </c>
      <c r="D810">
        <v>720</v>
      </c>
      <c r="E810" t="s">
        <v>1153</v>
      </c>
      <c r="F810" t="s">
        <v>1116</v>
      </c>
      <c r="G810">
        <v>54720</v>
      </c>
      <c r="H810">
        <v>54720</v>
      </c>
      <c r="I810" t="s">
        <v>49</v>
      </c>
      <c r="J810">
        <v>5402</v>
      </c>
      <c r="K810" t="s">
        <v>112</v>
      </c>
      <c r="L810" t="s">
        <v>69</v>
      </c>
      <c r="M810" t="s">
        <v>53</v>
      </c>
      <c r="N810">
        <v>28749</v>
      </c>
      <c r="O810" t="s">
        <v>53</v>
      </c>
      <c r="P810" t="s">
        <v>70</v>
      </c>
      <c r="Q810" t="s">
        <v>71</v>
      </c>
      <c r="R810" t="s">
        <v>105</v>
      </c>
      <c r="S810" t="s">
        <v>1132</v>
      </c>
      <c r="T810" t="s">
        <v>73</v>
      </c>
      <c r="U810" t="s">
        <v>115</v>
      </c>
      <c r="V810">
        <v>0.63436499999999996</v>
      </c>
      <c r="W810" t="s">
        <v>53</v>
      </c>
      <c r="X810" t="s">
        <v>53</v>
      </c>
      <c r="Y810" t="s">
        <v>102</v>
      </c>
      <c r="Z810" t="str">
        <f t="shared" si="24"/>
        <v>Mayor que 20 - hasta 30</v>
      </c>
      <c r="AA810">
        <f t="shared" si="25"/>
        <v>1</v>
      </c>
      <c r="AB810">
        <v>54720</v>
      </c>
      <c r="AC810" t="s">
        <v>685</v>
      </c>
      <c r="AD810" t="s">
        <v>1118</v>
      </c>
      <c r="AE810">
        <v>1.936088</v>
      </c>
      <c r="AF810" t="s">
        <v>76</v>
      </c>
      <c r="AG810">
        <v>71.268332999999998</v>
      </c>
      <c r="AH810" t="s">
        <v>685</v>
      </c>
      <c r="AI810" t="s">
        <v>1118</v>
      </c>
      <c r="AJ810">
        <v>1.8592930000000001</v>
      </c>
      <c r="AK810" t="s">
        <v>76</v>
      </c>
      <c r="AL810">
        <v>70.909755000000004</v>
      </c>
      <c r="AM810" s="4" t="s">
        <v>64</v>
      </c>
      <c r="AN810" s="5">
        <v>99787.209158024343</v>
      </c>
      <c r="AO810" s="4" t="s">
        <v>64</v>
      </c>
      <c r="AP810" s="6">
        <v>1713</v>
      </c>
      <c r="AQ810">
        <v>3</v>
      </c>
      <c r="AR810">
        <v>63272.050283999997</v>
      </c>
      <c r="AS810" t="s">
        <v>66</v>
      </c>
      <c r="AT810" t="s">
        <v>53</v>
      </c>
    </row>
    <row r="811" spans="1:46">
      <c r="A811">
        <v>894</v>
      </c>
      <c r="B811" t="s">
        <v>46</v>
      </c>
      <c r="C811">
        <v>54</v>
      </c>
      <c r="D811">
        <v>743</v>
      </c>
      <c r="E811" t="s">
        <v>1154</v>
      </c>
      <c r="F811" t="s">
        <v>1116</v>
      </c>
      <c r="G811">
        <v>54743</v>
      </c>
      <c r="H811">
        <v>54743</v>
      </c>
      <c r="I811" t="s">
        <v>49</v>
      </c>
      <c r="J811">
        <v>5405</v>
      </c>
      <c r="K811" t="s">
        <v>1126</v>
      </c>
      <c r="L811" t="s">
        <v>80</v>
      </c>
      <c r="M811" t="s">
        <v>53</v>
      </c>
      <c r="N811">
        <v>7046</v>
      </c>
      <c r="O811" t="s">
        <v>53</v>
      </c>
      <c r="P811" t="s">
        <v>70</v>
      </c>
      <c r="Q811" t="s">
        <v>71</v>
      </c>
      <c r="R811" t="s">
        <v>93</v>
      </c>
      <c r="S811" t="s">
        <v>57</v>
      </c>
      <c r="T811" t="s">
        <v>58</v>
      </c>
      <c r="U811" t="s">
        <v>81</v>
      </c>
      <c r="V811">
        <v>0.45376</v>
      </c>
      <c r="W811" t="s">
        <v>53</v>
      </c>
      <c r="X811" t="s">
        <v>53</v>
      </c>
      <c r="Y811" t="s">
        <v>82</v>
      </c>
      <c r="Z811" t="str">
        <f t="shared" si="24"/>
        <v>Mayor que 15 - hasta 20</v>
      </c>
      <c r="AA811">
        <f t="shared" si="25"/>
        <v>1</v>
      </c>
      <c r="AB811">
        <v>54743</v>
      </c>
      <c r="AC811" t="s">
        <v>685</v>
      </c>
      <c r="AD811" t="s">
        <v>1127</v>
      </c>
      <c r="AE811">
        <v>1.6591819999999999</v>
      </c>
      <c r="AF811" t="s">
        <v>76</v>
      </c>
      <c r="AG811">
        <v>35.157569000000002</v>
      </c>
      <c r="AH811" t="s">
        <v>282</v>
      </c>
      <c r="AI811" t="s">
        <v>284</v>
      </c>
      <c r="AJ811">
        <v>3.202143</v>
      </c>
      <c r="AK811" t="s">
        <v>84</v>
      </c>
      <c r="AL811">
        <v>68.363664999999997</v>
      </c>
      <c r="AM811" s="4" t="s">
        <v>64</v>
      </c>
      <c r="AN811" s="5">
        <v>9296.0364430711252</v>
      </c>
      <c r="AO811" s="4" t="s">
        <v>65</v>
      </c>
      <c r="AP811" s="6">
        <v>1371</v>
      </c>
      <c r="AQ811">
        <v>5</v>
      </c>
      <c r="AR811">
        <v>6875.3365299999996</v>
      </c>
      <c r="AS811" t="s">
        <v>66</v>
      </c>
      <c r="AT811" t="s">
        <v>53</v>
      </c>
    </row>
    <row r="812" spans="1:46">
      <c r="A812">
        <v>900</v>
      </c>
      <c r="B812" t="s">
        <v>46</v>
      </c>
      <c r="C812">
        <v>54</v>
      </c>
      <c r="D812">
        <v>800</v>
      </c>
      <c r="E812" t="s">
        <v>1155</v>
      </c>
      <c r="F812" t="s">
        <v>1116</v>
      </c>
      <c r="G812">
        <v>54800</v>
      </c>
      <c r="H812">
        <v>54800</v>
      </c>
      <c r="I812" t="s">
        <v>49</v>
      </c>
      <c r="J812">
        <v>5403</v>
      </c>
      <c r="K812" t="s">
        <v>79</v>
      </c>
      <c r="L812" t="s">
        <v>80</v>
      </c>
      <c r="M812" t="s">
        <v>53</v>
      </c>
      <c r="N812">
        <v>18587</v>
      </c>
      <c r="O812" t="s">
        <v>53</v>
      </c>
      <c r="P812" t="s">
        <v>70</v>
      </c>
      <c r="Q812" t="s">
        <v>71</v>
      </c>
      <c r="R812" t="s">
        <v>56</v>
      </c>
      <c r="S812" t="s">
        <v>1132</v>
      </c>
      <c r="T812" t="s">
        <v>73</v>
      </c>
      <c r="U812" t="s">
        <v>115</v>
      </c>
      <c r="V812">
        <v>0.78494600000000003</v>
      </c>
      <c r="W812" t="s">
        <v>53</v>
      </c>
      <c r="X812" t="s">
        <v>53</v>
      </c>
      <c r="Y812" t="s">
        <v>277</v>
      </c>
      <c r="Z812" t="str">
        <f t="shared" si="24"/>
        <v>Mayor que 10 - hasta 15</v>
      </c>
      <c r="AA812">
        <f t="shared" si="25"/>
        <v>1</v>
      </c>
      <c r="AB812">
        <v>54800</v>
      </c>
      <c r="AC812" t="s">
        <v>685</v>
      </c>
      <c r="AD812" t="s">
        <v>686</v>
      </c>
      <c r="AE812">
        <v>1.2411430000000001</v>
      </c>
      <c r="AF812" t="s">
        <v>76</v>
      </c>
      <c r="AG812">
        <v>30.673506</v>
      </c>
      <c r="AH812" t="s">
        <v>282</v>
      </c>
      <c r="AI812" t="s">
        <v>284</v>
      </c>
      <c r="AJ812">
        <v>6.3973490000000002</v>
      </c>
      <c r="AK812" t="s">
        <v>354</v>
      </c>
      <c r="AL812">
        <v>226.958405</v>
      </c>
      <c r="AM812" s="4" t="s">
        <v>64</v>
      </c>
      <c r="AN812" s="5">
        <v>15239.163377627829</v>
      </c>
      <c r="AO812" s="4" t="s">
        <v>65</v>
      </c>
      <c r="AP812" s="6">
        <v>1344</v>
      </c>
      <c r="AQ812">
        <v>4</v>
      </c>
      <c r="AR812">
        <v>20575.255509999999</v>
      </c>
      <c r="AS812" t="s">
        <v>66</v>
      </c>
      <c r="AT812" t="s">
        <v>53</v>
      </c>
    </row>
    <row r="813" spans="1:46">
      <c r="A813">
        <v>901</v>
      </c>
      <c r="B813" t="s">
        <v>46</v>
      </c>
      <c r="C813">
        <v>54</v>
      </c>
      <c r="D813">
        <v>810</v>
      </c>
      <c r="E813" t="s">
        <v>1156</v>
      </c>
      <c r="F813" t="s">
        <v>1116</v>
      </c>
      <c r="G813">
        <v>54810</v>
      </c>
      <c r="H813">
        <v>54810</v>
      </c>
      <c r="I813" t="s">
        <v>49</v>
      </c>
      <c r="J813">
        <v>5402</v>
      </c>
      <c r="K813" t="s">
        <v>112</v>
      </c>
      <c r="L813" t="s">
        <v>69</v>
      </c>
      <c r="M813" t="s">
        <v>53</v>
      </c>
      <c r="N813">
        <v>61662</v>
      </c>
      <c r="O813" t="s">
        <v>53</v>
      </c>
      <c r="P813" t="s">
        <v>92</v>
      </c>
      <c r="Q813" t="s">
        <v>71</v>
      </c>
      <c r="R813" t="s">
        <v>105</v>
      </c>
      <c r="S813" t="s">
        <v>1132</v>
      </c>
      <c r="T813" t="s">
        <v>73</v>
      </c>
      <c r="U813" t="s">
        <v>115</v>
      </c>
      <c r="V813">
        <v>0.71655899999999995</v>
      </c>
      <c r="W813" t="s">
        <v>53</v>
      </c>
      <c r="X813" t="s">
        <v>53</v>
      </c>
      <c r="Y813" t="s">
        <v>82</v>
      </c>
      <c r="Z813" t="str">
        <f t="shared" si="24"/>
        <v>Mayor que 15 - hasta 20</v>
      </c>
      <c r="AA813">
        <f t="shared" si="25"/>
        <v>1</v>
      </c>
      <c r="AB813">
        <v>54810</v>
      </c>
      <c r="AC813" t="s">
        <v>685</v>
      </c>
      <c r="AD813" t="s">
        <v>1118</v>
      </c>
      <c r="AE813">
        <v>3.9539759999999999</v>
      </c>
      <c r="AF813" t="s">
        <v>84</v>
      </c>
      <c r="AG813">
        <v>114.566104</v>
      </c>
      <c r="AH813" t="s">
        <v>685</v>
      </c>
      <c r="AI813" t="s">
        <v>1118</v>
      </c>
      <c r="AJ813">
        <v>3.8771800000000001</v>
      </c>
      <c r="AK813" t="s">
        <v>84</v>
      </c>
      <c r="AL813">
        <v>114.207525</v>
      </c>
      <c r="AM813" s="4" t="s">
        <v>64</v>
      </c>
      <c r="AN813" s="5">
        <v>175404.2906391405</v>
      </c>
      <c r="AO813" s="4" t="s">
        <v>64</v>
      </c>
      <c r="AP813" s="6">
        <v>2735</v>
      </c>
      <c r="AQ813">
        <v>3</v>
      </c>
      <c r="AR813">
        <v>96464.992293000003</v>
      </c>
      <c r="AS813" t="s">
        <v>66</v>
      </c>
      <c r="AT813" t="s">
        <v>53</v>
      </c>
    </row>
    <row r="814" spans="1:46">
      <c r="A814">
        <v>902</v>
      </c>
      <c r="B814" t="s">
        <v>46</v>
      </c>
      <c r="C814">
        <v>54</v>
      </c>
      <c r="D814">
        <v>820</v>
      </c>
      <c r="E814" t="s">
        <v>268</v>
      </c>
      <c r="F814" t="s">
        <v>1116</v>
      </c>
      <c r="G814">
        <v>54820</v>
      </c>
      <c r="H814">
        <v>54820</v>
      </c>
      <c r="I814" t="s">
        <v>49</v>
      </c>
      <c r="J814">
        <v>5406</v>
      </c>
      <c r="K814" t="s">
        <v>1123</v>
      </c>
      <c r="L814" t="s">
        <v>80</v>
      </c>
      <c r="M814" t="s">
        <v>53</v>
      </c>
      <c r="N814">
        <v>17560</v>
      </c>
      <c r="O814" t="s">
        <v>53</v>
      </c>
      <c r="P814" t="s">
        <v>70</v>
      </c>
      <c r="Q814" t="s">
        <v>71</v>
      </c>
      <c r="R814" t="s">
        <v>105</v>
      </c>
      <c r="S814" t="s">
        <v>57</v>
      </c>
      <c r="T814" t="s">
        <v>58</v>
      </c>
      <c r="U814" t="s">
        <v>119</v>
      </c>
      <c r="V814">
        <v>0.64953300000000003</v>
      </c>
      <c r="W814" t="s">
        <v>53</v>
      </c>
      <c r="X814" t="s">
        <v>53</v>
      </c>
      <c r="Y814" t="s">
        <v>277</v>
      </c>
      <c r="Z814" t="str">
        <f t="shared" si="24"/>
        <v>Mayor que 10 - hasta 15</v>
      </c>
      <c r="AA814">
        <f t="shared" si="25"/>
        <v>1</v>
      </c>
      <c r="AB814">
        <v>54820</v>
      </c>
      <c r="AC814" t="s">
        <v>685</v>
      </c>
      <c r="AD814" t="s">
        <v>1127</v>
      </c>
      <c r="AE814">
        <v>1.643273</v>
      </c>
      <c r="AF814" t="s">
        <v>76</v>
      </c>
      <c r="AG814">
        <v>35.494827000000001</v>
      </c>
      <c r="AH814" t="s">
        <v>685</v>
      </c>
      <c r="AI814" t="s">
        <v>1118</v>
      </c>
      <c r="AJ814">
        <v>3.7290040000000002</v>
      </c>
      <c r="AK814" t="s">
        <v>84</v>
      </c>
      <c r="AL814">
        <v>107.221739</v>
      </c>
      <c r="AM814" s="4" t="e">
        <v>#N/A</v>
      </c>
      <c r="AN814" s="5" t="e">
        <v>#N/A</v>
      </c>
      <c r="AO814" s="4" t="e">
        <v>#N/A</v>
      </c>
      <c r="AP814" s="6" t="e">
        <v>#N/A</v>
      </c>
      <c r="AQ814">
        <v>4</v>
      </c>
      <c r="AR814">
        <v>13308.374211</v>
      </c>
      <c r="AS814" t="s">
        <v>66</v>
      </c>
      <c r="AT814" t="s">
        <v>53</v>
      </c>
    </row>
    <row r="815" spans="1:46">
      <c r="A815">
        <v>895</v>
      </c>
      <c r="B815" t="s">
        <v>46</v>
      </c>
      <c r="C815">
        <v>54</v>
      </c>
      <c r="D815">
        <v>871</v>
      </c>
      <c r="E815" t="s">
        <v>1157</v>
      </c>
      <c r="F815" t="s">
        <v>1116</v>
      </c>
      <c r="G815">
        <v>54871</v>
      </c>
      <c r="H815">
        <v>54871</v>
      </c>
      <c r="I815" t="s">
        <v>49</v>
      </c>
      <c r="J815">
        <v>5401</v>
      </c>
      <c r="K815" t="s">
        <v>409</v>
      </c>
      <c r="L815" t="s">
        <v>69</v>
      </c>
      <c r="M815" t="s">
        <v>53</v>
      </c>
      <c r="N815">
        <v>5700</v>
      </c>
      <c r="O815" t="s">
        <v>53</v>
      </c>
      <c r="P815" t="s">
        <v>70</v>
      </c>
      <c r="Q815" t="s">
        <v>71</v>
      </c>
      <c r="R815" t="s">
        <v>249</v>
      </c>
      <c r="S815" t="s">
        <v>57</v>
      </c>
      <c r="T815" t="s">
        <v>58</v>
      </c>
      <c r="U815" t="s">
        <v>59</v>
      </c>
      <c r="V815">
        <v>0.643123</v>
      </c>
      <c r="W815" t="s">
        <v>53</v>
      </c>
      <c r="X815" t="s">
        <v>53</v>
      </c>
      <c r="Y815" t="s">
        <v>82</v>
      </c>
      <c r="Z815" t="str">
        <f t="shared" si="24"/>
        <v>Mayor que 15 - hasta 20</v>
      </c>
      <c r="AA815">
        <f t="shared" si="25"/>
        <v>1</v>
      </c>
      <c r="AB815">
        <v>54871</v>
      </c>
      <c r="AC815" t="s">
        <v>685</v>
      </c>
      <c r="AD815" t="s">
        <v>686</v>
      </c>
      <c r="AE815">
        <v>3.6403799999999999</v>
      </c>
      <c r="AF815" t="s">
        <v>84</v>
      </c>
      <c r="AG815">
        <v>82.903362000000001</v>
      </c>
      <c r="AH815" t="s">
        <v>685</v>
      </c>
      <c r="AI815" t="s">
        <v>1118</v>
      </c>
      <c r="AJ815">
        <v>3.6383489999999998</v>
      </c>
      <c r="AK815" t="s">
        <v>84</v>
      </c>
      <c r="AL815">
        <v>76.737677000000005</v>
      </c>
      <c r="AM815" s="4" t="s">
        <v>64</v>
      </c>
      <c r="AN815" s="5">
        <v>22336.523025068782</v>
      </c>
      <c r="AO815" s="4" t="s">
        <v>65</v>
      </c>
      <c r="AP815" s="6">
        <v>529</v>
      </c>
      <c r="AQ815">
        <v>4</v>
      </c>
      <c r="AR815">
        <v>26135.476774999999</v>
      </c>
      <c r="AS815" t="s">
        <v>66</v>
      </c>
      <c r="AT815" t="s">
        <v>53</v>
      </c>
    </row>
    <row r="816" spans="1:46">
      <c r="A816">
        <v>896</v>
      </c>
      <c r="B816" t="s">
        <v>46</v>
      </c>
      <c r="C816">
        <v>54</v>
      </c>
      <c r="D816">
        <v>874</v>
      </c>
      <c r="E816" t="s">
        <v>1148</v>
      </c>
      <c r="F816" t="s">
        <v>1116</v>
      </c>
      <c r="G816">
        <v>54874</v>
      </c>
      <c r="H816">
        <v>54874</v>
      </c>
      <c r="I816" t="s">
        <v>49</v>
      </c>
      <c r="J816">
        <v>5404</v>
      </c>
      <c r="K816" t="s">
        <v>1117</v>
      </c>
      <c r="L816" t="s">
        <v>51</v>
      </c>
      <c r="M816" t="s">
        <v>53</v>
      </c>
      <c r="N816">
        <v>115364</v>
      </c>
      <c r="O816" t="s">
        <v>53</v>
      </c>
      <c r="P816" t="s">
        <v>54</v>
      </c>
      <c r="Q816" t="s">
        <v>134</v>
      </c>
      <c r="R816" t="s">
        <v>122</v>
      </c>
      <c r="S816" t="s">
        <v>57</v>
      </c>
      <c r="T816" t="s">
        <v>58</v>
      </c>
      <c r="U816" t="s">
        <v>119</v>
      </c>
      <c r="V816">
        <v>0.61538499999999996</v>
      </c>
      <c r="W816" t="s">
        <v>53</v>
      </c>
      <c r="X816" t="s">
        <v>53</v>
      </c>
      <c r="Y816" t="s">
        <v>187</v>
      </c>
      <c r="Z816" t="str">
        <f t="shared" si="24"/>
        <v>Mayor que 80 - hasta 100</v>
      </c>
      <c r="AA816">
        <f t="shared" si="25"/>
        <v>1</v>
      </c>
      <c r="AB816">
        <v>54874</v>
      </c>
      <c r="AC816" t="s">
        <v>685</v>
      </c>
      <c r="AD816" t="s">
        <v>1148</v>
      </c>
      <c r="AE816">
        <v>0</v>
      </c>
      <c r="AF816" t="s">
        <v>63</v>
      </c>
      <c r="AG816">
        <v>0</v>
      </c>
      <c r="AH816" t="s">
        <v>685</v>
      </c>
      <c r="AI816" t="s">
        <v>1118</v>
      </c>
      <c r="AJ816">
        <v>0.53093000000000001</v>
      </c>
      <c r="AK816" t="s">
        <v>63</v>
      </c>
      <c r="AL816">
        <v>8.82254</v>
      </c>
      <c r="AM816" s="4" t="s">
        <v>64</v>
      </c>
      <c r="AN816" s="5">
        <v>3777.134730662091</v>
      </c>
      <c r="AO816" s="4" t="s">
        <v>65</v>
      </c>
      <c r="AP816" s="6">
        <v>258</v>
      </c>
      <c r="AQ816">
        <v>4</v>
      </c>
      <c r="AR816">
        <v>3800.8721869999999</v>
      </c>
      <c r="AS816" t="s">
        <v>66</v>
      </c>
      <c r="AT816" t="s">
        <v>53</v>
      </c>
    </row>
    <row r="817" spans="1:46">
      <c r="A817">
        <v>255</v>
      </c>
      <c r="B817" t="s">
        <v>46</v>
      </c>
      <c r="C817">
        <v>63</v>
      </c>
      <c r="D817">
        <v>1</v>
      </c>
      <c r="E817" t="s">
        <v>133</v>
      </c>
      <c r="F817" t="s">
        <v>1158</v>
      </c>
      <c r="G817">
        <v>63001</v>
      </c>
      <c r="H817">
        <v>63001</v>
      </c>
      <c r="I817" t="s">
        <v>49</v>
      </c>
      <c r="J817">
        <v>6301</v>
      </c>
      <c r="K817" t="s">
        <v>1016</v>
      </c>
      <c r="L817" t="s">
        <v>51</v>
      </c>
      <c r="M817" t="s">
        <v>52</v>
      </c>
      <c r="N817">
        <v>307886</v>
      </c>
      <c r="O817" t="s">
        <v>53</v>
      </c>
      <c r="P817" t="s">
        <v>54</v>
      </c>
      <c r="Q817" t="s">
        <v>138</v>
      </c>
      <c r="R817" t="s">
        <v>56</v>
      </c>
      <c r="S817" t="s">
        <v>57</v>
      </c>
      <c r="T817" t="s">
        <v>58</v>
      </c>
      <c r="U817" t="s">
        <v>81</v>
      </c>
      <c r="V817">
        <v>0.157219</v>
      </c>
      <c r="W817">
        <v>2018</v>
      </c>
      <c r="X817" t="s">
        <v>141</v>
      </c>
      <c r="Y817" t="s">
        <v>437</v>
      </c>
      <c r="Z817" t="str">
        <f t="shared" si="24"/>
        <v>Mayor que 160 - hasta 180</v>
      </c>
      <c r="AA817">
        <f t="shared" si="25"/>
        <v>1</v>
      </c>
      <c r="AB817">
        <v>63001</v>
      </c>
      <c r="AC817" t="s">
        <v>1159</v>
      </c>
      <c r="AD817" t="s">
        <v>133</v>
      </c>
      <c r="AE817">
        <v>0</v>
      </c>
      <c r="AF817" t="s">
        <v>63</v>
      </c>
      <c r="AG817">
        <v>0</v>
      </c>
      <c r="AH817" t="s">
        <v>61</v>
      </c>
      <c r="AI817" t="s">
        <v>133</v>
      </c>
      <c r="AJ817">
        <v>3.7499999999999999E-2</v>
      </c>
      <c r="AK817" t="s">
        <v>63</v>
      </c>
      <c r="AL817">
        <v>0.2</v>
      </c>
      <c r="AM817" t="s">
        <v>64</v>
      </c>
      <c r="AN817" s="7">
        <v>45.292775093382573</v>
      </c>
      <c r="AO817" t="s">
        <v>64</v>
      </c>
      <c r="AP817" s="3">
        <v>8</v>
      </c>
      <c r="AQ817">
        <v>1</v>
      </c>
      <c r="AR817">
        <v>51.940528</v>
      </c>
      <c r="AS817" t="s">
        <v>66</v>
      </c>
      <c r="AT817" t="s">
        <v>53</v>
      </c>
    </row>
    <row r="818" spans="1:46">
      <c r="A818">
        <v>256</v>
      </c>
      <c r="B818" t="s">
        <v>46</v>
      </c>
      <c r="C818">
        <v>63</v>
      </c>
      <c r="D818">
        <v>111</v>
      </c>
      <c r="E818" t="s">
        <v>429</v>
      </c>
      <c r="F818" t="s">
        <v>1158</v>
      </c>
      <c r="G818">
        <v>63111</v>
      </c>
      <c r="H818">
        <v>63111</v>
      </c>
      <c r="I818" t="s">
        <v>49</v>
      </c>
      <c r="J818">
        <v>6301</v>
      </c>
      <c r="K818" t="s">
        <v>1016</v>
      </c>
      <c r="L818" t="s">
        <v>91</v>
      </c>
      <c r="M818" t="s">
        <v>53</v>
      </c>
      <c r="N818">
        <v>3220</v>
      </c>
      <c r="O818" t="s">
        <v>53</v>
      </c>
      <c r="P818" t="s">
        <v>70</v>
      </c>
      <c r="Q818" t="s">
        <v>71</v>
      </c>
      <c r="R818" t="s">
        <v>56</v>
      </c>
      <c r="S818" t="s">
        <v>57</v>
      </c>
      <c r="T818" t="s">
        <v>58</v>
      </c>
      <c r="U818" t="s">
        <v>59</v>
      </c>
      <c r="V818">
        <v>0.50769200000000003</v>
      </c>
      <c r="W818">
        <v>2018</v>
      </c>
      <c r="X818" t="s">
        <v>106</v>
      </c>
      <c r="Y818" t="s">
        <v>107</v>
      </c>
      <c r="Z818" t="str">
        <f t="shared" si="24"/>
        <v>Mayor que 80 - hasta 100</v>
      </c>
      <c r="AA818">
        <f t="shared" si="25"/>
        <v>0</v>
      </c>
      <c r="AB818">
        <v>63111</v>
      </c>
      <c r="AC818" t="s">
        <v>1159</v>
      </c>
      <c r="AD818" t="s">
        <v>1160</v>
      </c>
      <c r="AE818">
        <v>0.86723499999999998</v>
      </c>
      <c r="AF818" t="s">
        <v>63</v>
      </c>
      <c r="AG818">
        <v>26.052185999999999</v>
      </c>
      <c r="AH818" t="s">
        <v>61</v>
      </c>
      <c r="AI818" t="s">
        <v>133</v>
      </c>
      <c r="AJ818">
        <v>1.0394699999999999</v>
      </c>
      <c r="AK818" t="s">
        <v>76</v>
      </c>
      <c r="AL818">
        <v>26.300713999999999</v>
      </c>
      <c r="AM818" t="s">
        <v>64</v>
      </c>
      <c r="AN818" s="7">
        <v>98.352981647695231</v>
      </c>
      <c r="AO818" t="s">
        <v>65</v>
      </c>
      <c r="AP818" s="3">
        <v>10</v>
      </c>
      <c r="AQ818">
        <v>1</v>
      </c>
      <c r="AR818">
        <v>123.082742</v>
      </c>
      <c r="AS818" t="s">
        <v>66</v>
      </c>
      <c r="AT818" t="s">
        <v>53</v>
      </c>
    </row>
    <row r="819" spans="1:46">
      <c r="A819">
        <v>257</v>
      </c>
      <c r="B819" t="s">
        <v>46</v>
      </c>
      <c r="C819">
        <v>63</v>
      </c>
      <c r="D819">
        <v>130</v>
      </c>
      <c r="E819" t="s">
        <v>1161</v>
      </c>
      <c r="F819" t="s">
        <v>1158</v>
      </c>
      <c r="G819">
        <v>63130</v>
      </c>
      <c r="H819">
        <v>63130</v>
      </c>
      <c r="I819" t="s">
        <v>49</v>
      </c>
      <c r="J819">
        <v>6301</v>
      </c>
      <c r="K819" t="s">
        <v>1016</v>
      </c>
      <c r="L819" t="s">
        <v>51</v>
      </c>
      <c r="M819" t="s">
        <v>53</v>
      </c>
      <c r="N819">
        <v>75979</v>
      </c>
      <c r="O819" t="s">
        <v>53</v>
      </c>
      <c r="P819" t="s">
        <v>92</v>
      </c>
      <c r="Q819" t="s">
        <v>118</v>
      </c>
      <c r="R819" t="s">
        <v>249</v>
      </c>
      <c r="S819" t="s">
        <v>57</v>
      </c>
      <c r="T819" t="s">
        <v>58</v>
      </c>
      <c r="U819" t="s">
        <v>59</v>
      </c>
      <c r="V819">
        <v>0.36002299999999998</v>
      </c>
      <c r="W819">
        <v>2018</v>
      </c>
      <c r="X819" t="s">
        <v>141</v>
      </c>
      <c r="Y819" t="s">
        <v>187</v>
      </c>
      <c r="Z819" t="str">
        <f t="shared" si="24"/>
        <v>Mayor que 80 - hasta 100</v>
      </c>
      <c r="AA819">
        <f t="shared" si="25"/>
        <v>1</v>
      </c>
      <c r="AB819">
        <v>63130</v>
      </c>
      <c r="AC819" t="s">
        <v>1159</v>
      </c>
      <c r="AD819" t="s">
        <v>1160</v>
      </c>
      <c r="AE819">
        <v>0</v>
      </c>
      <c r="AF819" t="s">
        <v>63</v>
      </c>
      <c r="AG819">
        <v>0</v>
      </c>
      <c r="AH819" t="s">
        <v>61</v>
      </c>
      <c r="AI819" t="s">
        <v>133</v>
      </c>
      <c r="AJ819">
        <v>0.31529299999999999</v>
      </c>
      <c r="AK819" t="s">
        <v>63</v>
      </c>
      <c r="AL819">
        <v>6.3112700000000004</v>
      </c>
      <c r="AM819" t="s">
        <v>65</v>
      </c>
      <c r="AN819" s="7">
        <v>1898.851281392157</v>
      </c>
      <c r="AO819" t="s">
        <v>65</v>
      </c>
      <c r="AP819" s="3">
        <v>979</v>
      </c>
      <c r="AQ819">
        <v>1</v>
      </c>
      <c r="AR819">
        <v>1452.9846480000001</v>
      </c>
      <c r="AS819" t="s">
        <v>66</v>
      </c>
      <c r="AT819" t="s">
        <v>53</v>
      </c>
    </row>
    <row r="820" spans="1:46">
      <c r="A820">
        <v>258</v>
      </c>
      <c r="B820" t="s">
        <v>46</v>
      </c>
      <c r="C820">
        <v>63</v>
      </c>
      <c r="D820">
        <v>190</v>
      </c>
      <c r="E820" t="s">
        <v>1162</v>
      </c>
      <c r="F820" t="s">
        <v>1158</v>
      </c>
      <c r="G820">
        <v>63190</v>
      </c>
      <c r="H820">
        <v>63190</v>
      </c>
      <c r="I820" t="s">
        <v>49</v>
      </c>
      <c r="J820">
        <v>6304</v>
      </c>
      <c r="K820" t="s">
        <v>112</v>
      </c>
      <c r="L820" t="s">
        <v>51</v>
      </c>
      <c r="M820" t="s">
        <v>53</v>
      </c>
      <c r="N820">
        <v>29500</v>
      </c>
      <c r="O820" t="s">
        <v>53</v>
      </c>
      <c r="P820" t="s">
        <v>70</v>
      </c>
      <c r="Q820" t="s">
        <v>71</v>
      </c>
      <c r="R820" t="s">
        <v>72</v>
      </c>
      <c r="S820" t="s">
        <v>57</v>
      </c>
      <c r="T820" t="s">
        <v>58</v>
      </c>
      <c r="U820" t="s">
        <v>81</v>
      </c>
      <c r="V820">
        <v>0.20145099999999999</v>
      </c>
      <c r="W820">
        <v>2018</v>
      </c>
      <c r="X820" t="s">
        <v>106</v>
      </c>
      <c r="Y820" t="s">
        <v>136</v>
      </c>
      <c r="Z820" t="str">
        <f t="shared" si="24"/>
        <v>Mayor que 100 - hasta 120</v>
      </c>
      <c r="AA820">
        <f t="shared" si="25"/>
        <v>1</v>
      </c>
      <c r="AB820">
        <v>63190</v>
      </c>
      <c r="AC820" t="s">
        <v>1159</v>
      </c>
      <c r="AD820" t="s">
        <v>133</v>
      </c>
      <c r="AE820">
        <v>0.40509600000000001</v>
      </c>
      <c r="AF820" t="s">
        <v>63</v>
      </c>
      <c r="AG820">
        <v>12.012489</v>
      </c>
      <c r="AH820" t="s">
        <v>61</v>
      </c>
      <c r="AI820" t="s">
        <v>133</v>
      </c>
      <c r="AJ820">
        <v>0.44259599999999999</v>
      </c>
      <c r="AK820" t="s">
        <v>63</v>
      </c>
      <c r="AL820">
        <v>12.212489</v>
      </c>
      <c r="AM820" t="s">
        <v>65</v>
      </c>
      <c r="AN820" s="7">
        <v>208.20894555281851</v>
      </c>
      <c r="AO820" t="s">
        <v>65</v>
      </c>
      <c r="AP820" s="3">
        <v>153</v>
      </c>
      <c r="AQ820">
        <v>1</v>
      </c>
      <c r="AR820">
        <v>243.21399400000001</v>
      </c>
      <c r="AS820" t="s">
        <v>66</v>
      </c>
      <c r="AT820" t="s">
        <v>53</v>
      </c>
    </row>
    <row r="821" spans="1:46">
      <c r="A821">
        <v>259</v>
      </c>
      <c r="B821" t="s">
        <v>46</v>
      </c>
      <c r="C821">
        <v>63</v>
      </c>
      <c r="D821">
        <v>212</v>
      </c>
      <c r="E821" t="s">
        <v>366</v>
      </c>
      <c r="F821" t="s">
        <v>1158</v>
      </c>
      <c r="G821">
        <v>63212</v>
      </c>
      <c r="H821">
        <v>63212</v>
      </c>
      <c r="I821" t="s">
        <v>49</v>
      </c>
      <c r="J821">
        <v>6302</v>
      </c>
      <c r="K821" t="s">
        <v>1163</v>
      </c>
      <c r="L821" t="s">
        <v>91</v>
      </c>
      <c r="M821" t="s">
        <v>53</v>
      </c>
      <c r="N821">
        <v>5888</v>
      </c>
      <c r="O821" t="s">
        <v>53</v>
      </c>
      <c r="P821" t="s">
        <v>70</v>
      </c>
      <c r="Q821" t="s">
        <v>71</v>
      </c>
      <c r="R821" t="s">
        <v>122</v>
      </c>
      <c r="S821" t="s">
        <v>57</v>
      </c>
      <c r="T821" t="s">
        <v>58</v>
      </c>
      <c r="U821" t="s">
        <v>59</v>
      </c>
      <c r="V821">
        <v>0.45876299999999998</v>
      </c>
      <c r="W821">
        <v>2018</v>
      </c>
      <c r="X821" t="s">
        <v>217</v>
      </c>
      <c r="Y821" t="s">
        <v>167</v>
      </c>
      <c r="Z821" t="str">
        <f t="shared" si="24"/>
        <v>Mayor que 50 - hasta 60</v>
      </c>
      <c r="AA821">
        <f t="shared" si="25"/>
        <v>1</v>
      </c>
      <c r="AB821">
        <v>63212</v>
      </c>
      <c r="AC821" t="s">
        <v>1159</v>
      </c>
      <c r="AD821" t="s">
        <v>1160</v>
      </c>
      <c r="AE821">
        <v>0.77213500000000002</v>
      </c>
      <c r="AF821" t="s">
        <v>63</v>
      </c>
      <c r="AG821">
        <v>24.252185999999998</v>
      </c>
      <c r="AH821" t="s">
        <v>61</v>
      </c>
      <c r="AI821" t="s">
        <v>133</v>
      </c>
      <c r="AJ821">
        <v>0.94437099999999996</v>
      </c>
      <c r="AK821" t="s">
        <v>63</v>
      </c>
      <c r="AL821">
        <v>24.500713999999999</v>
      </c>
      <c r="AM821" t="s">
        <v>65</v>
      </c>
      <c r="AN821" s="7">
        <v>66.18983239590716</v>
      </c>
      <c r="AO821" t="s">
        <v>65</v>
      </c>
      <c r="AP821" s="3">
        <v>52</v>
      </c>
      <c r="AQ821">
        <v>1</v>
      </c>
      <c r="AR821">
        <v>90.522672</v>
      </c>
      <c r="AS821" t="s">
        <v>66</v>
      </c>
      <c r="AT821" t="s">
        <v>53</v>
      </c>
    </row>
    <row r="822" spans="1:46">
      <c r="A822">
        <v>260</v>
      </c>
      <c r="B822" t="s">
        <v>46</v>
      </c>
      <c r="C822">
        <v>63</v>
      </c>
      <c r="D822">
        <v>272</v>
      </c>
      <c r="E822" t="s">
        <v>1164</v>
      </c>
      <c r="F822" t="s">
        <v>1158</v>
      </c>
      <c r="G822">
        <v>63272</v>
      </c>
      <c r="H822">
        <v>63272</v>
      </c>
      <c r="I822" t="s">
        <v>49</v>
      </c>
      <c r="J822">
        <v>6303</v>
      </c>
      <c r="K822" t="s">
        <v>1165</v>
      </c>
      <c r="L822" t="s">
        <v>91</v>
      </c>
      <c r="M822" t="s">
        <v>53</v>
      </c>
      <c r="N822">
        <v>12596</v>
      </c>
      <c r="O822" t="s">
        <v>53</v>
      </c>
      <c r="P822" t="s">
        <v>70</v>
      </c>
      <c r="Q822" t="s">
        <v>71</v>
      </c>
      <c r="R822" t="s">
        <v>122</v>
      </c>
      <c r="S822" t="s">
        <v>57</v>
      </c>
      <c r="T822" t="s">
        <v>58</v>
      </c>
      <c r="U822" t="s">
        <v>81</v>
      </c>
      <c r="V822">
        <v>0.19032399999999999</v>
      </c>
      <c r="W822">
        <v>2018</v>
      </c>
      <c r="X822" t="s">
        <v>144</v>
      </c>
      <c r="Y822" t="s">
        <v>187</v>
      </c>
      <c r="Z822" t="str">
        <f t="shared" si="24"/>
        <v>Mayor que 80 - hasta 100</v>
      </c>
      <c r="AA822">
        <f t="shared" si="25"/>
        <v>1</v>
      </c>
      <c r="AB822">
        <v>63272</v>
      </c>
      <c r="AC822" t="s">
        <v>1159</v>
      </c>
      <c r="AD822" t="s">
        <v>1166</v>
      </c>
      <c r="AE822">
        <v>0.64331000000000005</v>
      </c>
      <c r="AF822" t="s">
        <v>63</v>
      </c>
      <c r="AG822">
        <v>15.985281000000001</v>
      </c>
      <c r="AH822" t="s">
        <v>61</v>
      </c>
      <c r="AI822" t="s">
        <v>133</v>
      </c>
      <c r="AJ822">
        <v>0.95204900000000003</v>
      </c>
      <c r="AK822" t="s">
        <v>63</v>
      </c>
      <c r="AL822">
        <v>29.419091000000002</v>
      </c>
      <c r="AM822" t="s">
        <v>65</v>
      </c>
      <c r="AN822" s="7">
        <v>3413.4719738494368</v>
      </c>
      <c r="AO822" t="s">
        <v>65</v>
      </c>
      <c r="AP822" s="3">
        <v>1470</v>
      </c>
      <c r="AQ822">
        <v>2</v>
      </c>
      <c r="AR822">
        <v>3995.3949240000002</v>
      </c>
      <c r="AS822" t="s">
        <v>66</v>
      </c>
      <c r="AT822" t="s">
        <v>53</v>
      </c>
    </row>
    <row r="823" spans="1:46">
      <c r="A823">
        <v>261</v>
      </c>
      <c r="B823" t="s">
        <v>46</v>
      </c>
      <c r="C823">
        <v>63</v>
      </c>
      <c r="D823">
        <v>302</v>
      </c>
      <c r="E823" t="s">
        <v>1167</v>
      </c>
      <c r="F823" t="s">
        <v>1158</v>
      </c>
      <c r="G823">
        <v>63302</v>
      </c>
      <c r="H823">
        <v>63302</v>
      </c>
      <c r="I823" t="s">
        <v>49</v>
      </c>
      <c r="J823">
        <v>6302</v>
      </c>
      <c r="K823" t="s">
        <v>1163</v>
      </c>
      <c r="L823" t="s">
        <v>69</v>
      </c>
      <c r="M823" t="s">
        <v>53</v>
      </c>
      <c r="N823">
        <v>7726</v>
      </c>
      <c r="O823" t="s">
        <v>53</v>
      </c>
      <c r="P823" t="s">
        <v>70</v>
      </c>
      <c r="Q823" t="s">
        <v>71</v>
      </c>
      <c r="R823" t="s">
        <v>105</v>
      </c>
      <c r="S823" t="s">
        <v>57</v>
      </c>
      <c r="T823" t="s">
        <v>73</v>
      </c>
      <c r="U823" t="s">
        <v>59</v>
      </c>
      <c r="V823">
        <v>0.51872799999999997</v>
      </c>
      <c r="W823">
        <v>2018</v>
      </c>
      <c r="X823" t="s">
        <v>176</v>
      </c>
      <c r="Y823" t="s">
        <v>167</v>
      </c>
      <c r="Z823" t="str">
        <f t="shared" si="24"/>
        <v>Mayor que 50 - hasta 60</v>
      </c>
      <c r="AA823">
        <f t="shared" si="25"/>
        <v>1</v>
      </c>
      <c r="AB823">
        <v>63302</v>
      </c>
      <c r="AC823" t="s">
        <v>1159</v>
      </c>
      <c r="AD823" t="s">
        <v>1168</v>
      </c>
      <c r="AE823">
        <v>1.5717110000000001</v>
      </c>
      <c r="AF823" t="s">
        <v>76</v>
      </c>
      <c r="AG823">
        <v>51.024473</v>
      </c>
      <c r="AH823" t="s">
        <v>61</v>
      </c>
      <c r="AI823" t="s">
        <v>133</v>
      </c>
      <c r="AJ823">
        <v>1.849121</v>
      </c>
      <c r="AK823" t="s">
        <v>76</v>
      </c>
      <c r="AL823">
        <v>49.704371999999999</v>
      </c>
      <c r="AM823" t="s">
        <v>65</v>
      </c>
      <c r="AN823" s="7">
        <v>4216.941527042025</v>
      </c>
      <c r="AO823" t="s">
        <v>65</v>
      </c>
      <c r="AP823" s="3">
        <v>908</v>
      </c>
      <c r="AQ823">
        <v>4</v>
      </c>
      <c r="AR823">
        <v>5591.4801669999997</v>
      </c>
      <c r="AS823" t="s">
        <v>66</v>
      </c>
      <c r="AT823" t="s">
        <v>53</v>
      </c>
    </row>
    <row r="824" spans="1:46">
      <c r="A824">
        <v>262</v>
      </c>
      <c r="B824" t="s">
        <v>46</v>
      </c>
      <c r="C824">
        <v>63</v>
      </c>
      <c r="D824">
        <v>401</v>
      </c>
      <c r="E824" t="s">
        <v>1168</v>
      </c>
      <c r="F824" t="s">
        <v>1158</v>
      </c>
      <c r="G824">
        <v>63401</v>
      </c>
      <c r="H824">
        <v>63401</v>
      </c>
      <c r="I824" t="s">
        <v>49</v>
      </c>
      <c r="J824">
        <v>6305</v>
      </c>
      <c r="K824" t="s">
        <v>1169</v>
      </c>
      <c r="L824" t="s">
        <v>51</v>
      </c>
      <c r="M824" t="s">
        <v>53</v>
      </c>
      <c r="N824">
        <v>35010</v>
      </c>
      <c r="O824" t="s">
        <v>53</v>
      </c>
      <c r="P824" t="s">
        <v>92</v>
      </c>
      <c r="Q824" t="s">
        <v>71</v>
      </c>
      <c r="R824" t="s">
        <v>122</v>
      </c>
      <c r="S824" t="s">
        <v>57</v>
      </c>
      <c r="T824" t="s">
        <v>58</v>
      </c>
      <c r="U824" t="s">
        <v>59</v>
      </c>
      <c r="V824">
        <v>0.41868499999999997</v>
      </c>
      <c r="W824">
        <v>2018</v>
      </c>
      <c r="X824" t="s">
        <v>190</v>
      </c>
      <c r="Y824" t="s">
        <v>183</v>
      </c>
      <c r="Z824" t="str">
        <f t="shared" si="24"/>
        <v>Mayor que 120 - hasta 140</v>
      </c>
      <c r="AA824">
        <f t="shared" si="25"/>
        <v>1</v>
      </c>
      <c r="AB824">
        <v>63401</v>
      </c>
      <c r="AC824" t="s">
        <v>1159</v>
      </c>
      <c r="AD824" t="s">
        <v>1168</v>
      </c>
      <c r="AE824">
        <v>0</v>
      </c>
      <c r="AF824" t="s">
        <v>63</v>
      </c>
      <c r="AG824">
        <v>0</v>
      </c>
      <c r="AH824" t="s">
        <v>61</v>
      </c>
      <c r="AI824" t="s">
        <v>133</v>
      </c>
      <c r="AJ824">
        <v>0.518007</v>
      </c>
      <c r="AK824" t="s">
        <v>63</v>
      </c>
      <c r="AL824">
        <v>17.037973000000001</v>
      </c>
      <c r="AM824" t="s">
        <v>64</v>
      </c>
      <c r="AN824" s="7">
        <v>1281.8374241557451</v>
      </c>
      <c r="AO824" t="s">
        <v>65</v>
      </c>
      <c r="AP824" s="3">
        <v>478</v>
      </c>
      <c r="AQ824">
        <v>1</v>
      </c>
      <c r="AR824">
        <v>2423.0032390000001</v>
      </c>
      <c r="AS824" t="s">
        <v>66</v>
      </c>
      <c r="AT824" t="s">
        <v>53</v>
      </c>
    </row>
    <row r="825" spans="1:46">
      <c r="A825">
        <v>263</v>
      </c>
      <c r="B825" t="s">
        <v>46</v>
      </c>
      <c r="C825">
        <v>63</v>
      </c>
      <c r="D825">
        <v>470</v>
      </c>
      <c r="E825" t="s">
        <v>1170</v>
      </c>
      <c r="F825" t="s">
        <v>1158</v>
      </c>
      <c r="G825">
        <v>63470</v>
      </c>
      <c r="H825">
        <v>63470</v>
      </c>
      <c r="I825" t="s">
        <v>49</v>
      </c>
      <c r="J825">
        <v>6305</v>
      </c>
      <c r="K825" t="s">
        <v>1169</v>
      </c>
      <c r="L825" t="s">
        <v>91</v>
      </c>
      <c r="M825" t="s">
        <v>53</v>
      </c>
      <c r="N825">
        <v>38240</v>
      </c>
      <c r="O825" t="s">
        <v>53</v>
      </c>
      <c r="P825" t="s">
        <v>92</v>
      </c>
      <c r="Q825" t="s">
        <v>71</v>
      </c>
      <c r="R825" t="s">
        <v>93</v>
      </c>
      <c r="S825" t="s">
        <v>57</v>
      </c>
      <c r="T825" t="s">
        <v>58</v>
      </c>
      <c r="U825" t="s">
        <v>59</v>
      </c>
      <c r="V825">
        <v>0.22563900000000001</v>
      </c>
      <c r="W825">
        <v>2018</v>
      </c>
      <c r="X825" t="s">
        <v>106</v>
      </c>
      <c r="Y825" t="s">
        <v>136</v>
      </c>
      <c r="Z825" t="str">
        <f t="shared" si="24"/>
        <v>Mayor que 100 - hasta 120</v>
      </c>
      <c r="AA825">
        <f t="shared" si="25"/>
        <v>1</v>
      </c>
      <c r="AB825">
        <v>63470</v>
      </c>
      <c r="AC825" t="s">
        <v>1159</v>
      </c>
      <c r="AD825" t="s">
        <v>1170</v>
      </c>
      <c r="AE825">
        <v>0</v>
      </c>
      <c r="AF825" t="s">
        <v>63</v>
      </c>
      <c r="AG825">
        <v>0</v>
      </c>
      <c r="AH825" t="s">
        <v>61</v>
      </c>
      <c r="AI825" t="s">
        <v>133</v>
      </c>
      <c r="AJ825">
        <v>0.31772899999999998</v>
      </c>
      <c r="AK825" t="s">
        <v>63</v>
      </c>
      <c r="AL825">
        <v>11.142640999999999</v>
      </c>
      <c r="AM825" t="s">
        <v>65</v>
      </c>
      <c r="AN825" s="7">
        <v>2782.7255591914491</v>
      </c>
      <c r="AO825" t="s">
        <v>65</v>
      </c>
      <c r="AP825" s="3">
        <v>1051</v>
      </c>
      <c r="AQ825">
        <v>1</v>
      </c>
      <c r="AR825">
        <v>4416.344341</v>
      </c>
      <c r="AS825" t="s">
        <v>66</v>
      </c>
      <c r="AT825" t="s">
        <v>53</v>
      </c>
    </row>
    <row r="826" spans="1:46">
      <c r="A826">
        <v>264</v>
      </c>
      <c r="B826" t="s">
        <v>46</v>
      </c>
      <c r="C826">
        <v>63</v>
      </c>
      <c r="D826">
        <v>548</v>
      </c>
      <c r="E826" t="s">
        <v>1171</v>
      </c>
      <c r="F826" t="s">
        <v>1158</v>
      </c>
      <c r="G826">
        <v>63548</v>
      </c>
      <c r="H826">
        <v>63548</v>
      </c>
      <c r="I826" t="s">
        <v>49</v>
      </c>
      <c r="J826">
        <v>6302</v>
      </c>
      <c r="K826" t="s">
        <v>1163</v>
      </c>
      <c r="L826" t="s">
        <v>69</v>
      </c>
      <c r="M826" t="s">
        <v>53</v>
      </c>
      <c r="N826">
        <v>5439</v>
      </c>
      <c r="O826" t="s">
        <v>53</v>
      </c>
      <c r="P826" t="s">
        <v>70</v>
      </c>
      <c r="Q826" t="s">
        <v>71</v>
      </c>
      <c r="R826" t="s">
        <v>93</v>
      </c>
      <c r="S826" t="s">
        <v>57</v>
      </c>
      <c r="T826" t="s">
        <v>73</v>
      </c>
      <c r="U826" t="s">
        <v>119</v>
      </c>
      <c r="V826">
        <v>0.47777799999999998</v>
      </c>
      <c r="W826">
        <v>2018</v>
      </c>
      <c r="X826" t="s">
        <v>106</v>
      </c>
      <c r="Y826" t="s">
        <v>107</v>
      </c>
      <c r="Z826" t="str">
        <f t="shared" si="24"/>
        <v>Mayor que 80 - hasta 100</v>
      </c>
      <c r="AA826">
        <f t="shared" si="25"/>
        <v>0</v>
      </c>
      <c r="AB826">
        <v>63548</v>
      </c>
      <c r="AC826" t="s">
        <v>1159</v>
      </c>
      <c r="AD826" t="s">
        <v>1160</v>
      </c>
      <c r="AE826">
        <v>1.006891</v>
      </c>
      <c r="AF826" t="s">
        <v>76</v>
      </c>
      <c r="AG826">
        <v>27.935029</v>
      </c>
      <c r="AH826" t="s">
        <v>61</v>
      </c>
      <c r="AI826" t="s">
        <v>133</v>
      </c>
      <c r="AJ826">
        <v>1.1791259999999999</v>
      </c>
      <c r="AK826" t="s">
        <v>76</v>
      </c>
      <c r="AL826">
        <v>28.183557</v>
      </c>
      <c r="AM826" t="s">
        <v>64</v>
      </c>
      <c r="AN826" s="7">
        <v>20.67366836394168</v>
      </c>
      <c r="AO826" t="s">
        <v>65</v>
      </c>
      <c r="AP826" s="3">
        <v>7</v>
      </c>
      <c r="AQ826">
        <v>1</v>
      </c>
      <c r="AR826">
        <v>22.370443000000002</v>
      </c>
      <c r="AS826" t="s">
        <v>66</v>
      </c>
      <c r="AT826" t="s">
        <v>53</v>
      </c>
    </row>
    <row r="827" spans="1:46">
      <c r="A827">
        <v>265</v>
      </c>
      <c r="B827" t="s">
        <v>46</v>
      </c>
      <c r="C827">
        <v>63</v>
      </c>
      <c r="D827">
        <v>594</v>
      </c>
      <c r="E827" t="s">
        <v>1166</v>
      </c>
      <c r="F827" t="s">
        <v>1158</v>
      </c>
      <c r="G827">
        <v>63594</v>
      </c>
      <c r="H827">
        <v>63594</v>
      </c>
      <c r="I827" t="s">
        <v>49</v>
      </c>
      <c r="J827">
        <v>6305</v>
      </c>
      <c r="K827" t="s">
        <v>1169</v>
      </c>
      <c r="L827" t="s">
        <v>91</v>
      </c>
      <c r="M827" t="s">
        <v>53</v>
      </c>
      <c r="N827">
        <v>31844</v>
      </c>
      <c r="O827" t="s">
        <v>53</v>
      </c>
      <c r="P827" t="s">
        <v>92</v>
      </c>
      <c r="Q827" t="s">
        <v>71</v>
      </c>
      <c r="R827" t="s">
        <v>93</v>
      </c>
      <c r="S827" t="s">
        <v>57</v>
      </c>
      <c r="T827" t="s">
        <v>58</v>
      </c>
      <c r="U827" t="s">
        <v>59</v>
      </c>
      <c r="V827">
        <v>0.26765499999999998</v>
      </c>
      <c r="W827">
        <v>2018</v>
      </c>
      <c r="X827" t="s">
        <v>144</v>
      </c>
      <c r="Y827" t="s">
        <v>136</v>
      </c>
      <c r="Z827" t="str">
        <f t="shared" si="24"/>
        <v>Mayor que 100 - hasta 120</v>
      </c>
      <c r="AA827">
        <f t="shared" si="25"/>
        <v>1</v>
      </c>
      <c r="AB827">
        <v>63594</v>
      </c>
      <c r="AC827" t="s">
        <v>1159</v>
      </c>
      <c r="AD827" t="s">
        <v>1166</v>
      </c>
      <c r="AE827">
        <v>0</v>
      </c>
      <c r="AF827" t="s">
        <v>63</v>
      </c>
      <c r="AG827">
        <v>0</v>
      </c>
      <c r="AH827" t="s">
        <v>61</v>
      </c>
      <c r="AI827" t="s">
        <v>133</v>
      </c>
      <c r="AJ827">
        <v>0.52632900000000005</v>
      </c>
      <c r="AK827" t="s">
        <v>63</v>
      </c>
      <c r="AL827">
        <v>21.209544999999999</v>
      </c>
      <c r="AM827" t="s">
        <v>65</v>
      </c>
      <c r="AN827" s="7">
        <v>1431.472842313065</v>
      </c>
      <c r="AO827" t="s">
        <v>65</v>
      </c>
      <c r="AP827" s="3">
        <v>509</v>
      </c>
      <c r="AQ827">
        <v>2</v>
      </c>
      <c r="AR827">
        <v>1912.6135340000001</v>
      </c>
      <c r="AS827" t="s">
        <v>66</v>
      </c>
      <c r="AT827" t="s">
        <v>53</v>
      </c>
    </row>
    <row r="828" spans="1:46">
      <c r="A828">
        <v>266</v>
      </c>
      <c r="B828" t="s">
        <v>46</v>
      </c>
      <c r="C828">
        <v>63</v>
      </c>
      <c r="D828">
        <v>690</v>
      </c>
      <c r="E828" t="s">
        <v>1172</v>
      </c>
      <c r="F828" t="s">
        <v>1158</v>
      </c>
      <c r="G828">
        <v>63690</v>
      </c>
      <c r="H828">
        <v>63690</v>
      </c>
      <c r="I828" t="s">
        <v>49</v>
      </c>
      <c r="J828">
        <v>6303</v>
      </c>
      <c r="K828" t="s">
        <v>1165</v>
      </c>
      <c r="L828" t="s">
        <v>69</v>
      </c>
      <c r="M828" t="s">
        <v>53</v>
      </c>
      <c r="N828">
        <v>9748</v>
      </c>
      <c r="O828" t="s">
        <v>53</v>
      </c>
      <c r="P828" t="s">
        <v>70</v>
      </c>
      <c r="Q828" t="s">
        <v>71</v>
      </c>
      <c r="R828" t="s">
        <v>122</v>
      </c>
      <c r="S828" t="s">
        <v>57</v>
      </c>
      <c r="T828" t="s">
        <v>73</v>
      </c>
      <c r="U828" t="s">
        <v>59</v>
      </c>
      <c r="V828">
        <v>0.339115</v>
      </c>
      <c r="W828">
        <v>2018</v>
      </c>
      <c r="X828" t="s">
        <v>144</v>
      </c>
      <c r="Y828" t="s">
        <v>136</v>
      </c>
      <c r="Z828" t="str">
        <f t="shared" si="24"/>
        <v>Mayor que 100 - hasta 120</v>
      </c>
      <c r="AA828">
        <f t="shared" si="25"/>
        <v>1</v>
      </c>
      <c r="AB828">
        <v>63690</v>
      </c>
      <c r="AC828" t="s">
        <v>1159</v>
      </c>
      <c r="AD828" t="s">
        <v>133</v>
      </c>
      <c r="AE828">
        <v>0.67591900000000005</v>
      </c>
      <c r="AF828" t="s">
        <v>63</v>
      </c>
      <c r="AG828">
        <v>22.283556999999998</v>
      </c>
      <c r="AH828" t="s">
        <v>61</v>
      </c>
      <c r="AI828" t="s">
        <v>133</v>
      </c>
      <c r="AJ828">
        <v>0.71341900000000003</v>
      </c>
      <c r="AK828" t="s">
        <v>63</v>
      </c>
      <c r="AL828">
        <v>22.483557000000001</v>
      </c>
      <c r="AM828" t="s">
        <v>65</v>
      </c>
      <c r="AN828" s="7">
        <v>123.6817852105704</v>
      </c>
      <c r="AO828" t="s">
        <v>65</v>
      </c>
      <c r="AP828" s="3">
        <v>203</v>
      </c>
      <c r="AQ828">
        <v>1</v>
      </c>
      <c r="AR828">
        <v>133.405767</v>
      </c>
      <c r="AS828" t="s">
        <v>66</v>
      </c>
      <c r="AT828" t="s">
        <v>53</v>
      </c>
    </row>
    <row r="829" spans="1:46">
      <c r="A829">
        <v>267</v>
      </c>
      <c r="B829" t="s">
        <v>46</v>
      </c>
      <c r="C829">
        <v>66</v>
      </c>
      <c r="D829">
        <v>1</v>
      </c>
      <c r="E829" t="s">
        <v>557</v>
      </c>
      <c r="F829" t="s">
        <v>578</v>
      </c>
      <c r="G829">
        <v>66001</v>
      </c>
      <c r="H829">
        <v>66001</v>
      </c>
      <c r="I829" t="s">
        <v>49</v>
      </c>
      <c r="J829">
        <v>6601</v>
      </c>
      <c r="K829" t="s">
        <v>1173</v>
      </c>
      <c r="L829" t="s">
        <v>51</v>
      </c>
      <c r="M829" t="s">
        <v>52</v>
      </c>
      <c r="N829">
        <v>481768</v>
      </c>
      <c r="O829" t="s">
        <v>53</v>
      </c>
      <c r="P829" t="s">
        <v>54</v>
      </c>
      <c r="Q829" t="s">
        <v>138</v>
      </c>
      <c r="R829" t="s">
        <v>105</v>
      </c>
      <c r="S829" t="s">
        <v>57</v>
      </c>
      <c r="T829" t="s">
        <v>58</v>
      </c>
      <c r="U829" t="s">
        <v>59</v>
      </c>
      <c r="V829">
        <v>0.28842099999999998</v>
      </c>
      <c r="W829" t="s">
        <v>53</v>
      </c>
      <c r="X829" t="s">
        <v>53</v>
      </c>
      <c r="Y829" t="s">
        <v>228</v>
      </c>
      <c r="Z829" t="str">
        <f t="shared" si="24"/>
        <v>Mayor que 180 - hasta 200</v>
      </c>
      <c r="AA829">
        <f t="shared" si="25"/>
        <v>1</v>
      </c>
      <c r="AB829">
        <v>66001</v>
      </c>
      <c r="AC829" t="s">
        <v>555</v>
      </c>
      <c r="AD829" t="s">
        <v>557</v>
      </c>
      <c r="AE829">
        <v>0</v>
      </c>
      <c r="AF829" t="s">
        <v>63</v>
      </c>
      <c r="AG829">
        <v>0</v>
      </c>
      <c r="AH829" t="s">
        <v>555</v>
      </c>
      <c r="AI829" t="s">
        <v>557</v>
      </c>
      <c r="AJ829">
        <v>0</v>
      </c>
      <c r="AK829" t="s">
        <v>63</v>
      </c>
      <c r="AL829">
        <v>0</v>
      </c>
      <c r="AM829" s="4" t="s">
        <v>65</v>
      </c>
      <c r="AN829" s="5">
        <v>19874.148562022212</v>
      </c>
      <c r="AO829" s="4" t="s">
        <v>65</v>
      </c>
      <c r="AP829" s="6">
        <v>9449</v>
      </c>
      <c r="AQ829">
        <v>3</v>
      </c>
      <c r="AR829">
        <v>21010.200650999999</v>
      </c>
      <c r="AS829" t="s">
        <v>66</v>
      </c>
      <c r="AT829" t="s">
        <v>53</v>
      </c>
    </row>
    <row r="830" spans="1:46">
      <c r="A830">
        <v>268</v>
      </c>
      <c r="B830" t="s">
        <v>46</v>
      </c>
      <c r="C830">
        <v>66</v>
      </c>
      <c r="D830">
        <v>45</v>
      </c>
      <c r="E830" t="s">
        <v>1174</v>
      </c>
      <c r="F830" t="s">
        <v>578</v>
      </c>
      <c r="G830">
        <v>66045</v>
      </c>
      <c r="H830">
        <v>66045</v>
      </c>
      <c r="I830" t="s">
        <v>49</v>
      </c>
      <c r="J830">
        <v>6602</v>
      </c>
      <c r="K830" t="s">
        <v>1175</v>
      </c>
      <c r="L830" t="s">
        <v>91</v>
      </c>
      <c r="M830" t="s">
        <v>53</v>
      </c>
      <c r="N830">
        <v>12613</v>
      </c>
      <c r="O830" t="s">
        <v>53</v>
      </c>
      <c r="P830" t="s">
        <v>70</v>
      </c>
      <c r="Q830" t="s">
        <v>71</v>
      </c>
      <c r="R830" t="s">
        <v>56</v>
      </c>
      <c r="S830" t="s">
        <v>57</v>
      </c>
      <c r="T830" t="s">
        <v>58</v>
      </c>
      <c r="U830" t="s">
        <v>59</v>
      </c>
      <c r="V830">
        <v>0.34974300000000003</v>
      </c>
      <c r="W830" t="s">
        <v>53</v>
      </c>
      <c r="X830" t="s">
        <v>53</v>
      </c>
      <c r="Y830" t="s">
        <v>116</v>
      </c>
      <c r="Z830" t="str">
        <f t="shared" si="24"/>
        <v>Mayor que 30 - hasta 40</v>
      </c>
      <c r="AA830">
        <f t="shared" si="25"/>
        <v>1</v>
      </c>
      <c r="AB830">
        <v>66045</v>
      </c>
      <c r="AC830" t="s">
        <v>555</v>
      </c>
      <c r="AD830" t="s">
        <v>556</v>
      </c>
      <c r="AE830">
        <v>0.70040100000000005</v>
      </c>
      <c r="AF830" t="s">
        <v>63</v>
      </c>
      <c r="AG830">
        <v>30.780612999999999</v>
      </c>
      <c r="AH830" t="s">
        <v>555</v>
      </c>
      <c r="AI830" t="s">
        <v>557</v>
      </c>
      <c r="AJ830">
        <v>1.5474349999999999</v>
      </c>
      <c r="AK830" t="s">
        <v>76</v>
      </c>
      <c r="AL830">
        <v>64.141125000000002</v>
      </c>
      <c r="AM830" s="4" t="s">
        <v>65</v>
      </c>
      <c r="AN830" s="5">
        <v>7844.9986607449828</v>
      </c>
      <c r="AO830" s="4" t="s">
        <v>65</v>
      </c>
      <c r="AP830" s="6">
        <v>2308</v>
      </c>
      <c r="AQ830">
        <v>4</v>
      </c>
      <c r="AR830">
        <v>11356.300034</v>
      </c>
      <c r="AS830" t="s">
        <v>66</v>
      </c>
      <c r="AT830" t="s">
        <v>53</v>
      </c>
    </row>
    <row r="831" spans="1:46">
      <c r="A831">
        <v>269</v>
      </c>
      <c r="B831" t="s">
        <v>46</v>
      </c>
      <c r="C831">
        <v>66</v>
      </c>
      <c r="D831">
        <v>75</v>
      </c>
      <c r="E831" t="s">
        <v>616</v>
      </c>
      <c r="F831" t="s">
        <v>578</v>
      </c>
      <c r="G831">
        <v>66075</v>
      </c>
      <c r="H831">
        <v>66075</v>
      </c>
      <c r="I831" t="s">
        <v>49</v>
      </c>
      <c r="J831">
        <v>6602</v>
      </c>
      <c r="K831" t="s">
        <v>1175</v>
      </c>
      <c r="L831" t="s">
        <v>80</v>
      </c>
      <c r="M831" t="s">
        <v>53</v>
      </c>
      <c r="N831">
        <v>6510</v>
      </c>
      <c r="O831" t="s">
        <v>53</v>
      </c>
      <c r="P831" t="s">
        <v>70</v>
      </c>
      <c r="Q831" t="s">
        <v>71</v>
      </c>
      <c r="R831" t="s">
        <v>105</v>
      </c>
      <c r="S831" t="s">
        <v>57</v>
      </c>
      <c r="T831" t="s">
        <v>73</v>
      </c>
      <c r="U831" t="s">
        <v>59</v>
      </c>
      <c r="V831">
        <v>0.32612099999999999</v>
      </c>
      <c r="W831" t="s">
        <v>53</v>
      </c>
      <c r="X831" t="s">
        <v>53</v>
      </c>
      <c r="Y831" t="s">
        <v>102</v>
      </c>
      <c r="Z831" t="str">
        <f t="shared" si="24"/>
        <v>Mayor que 20 - hasta 30</v>
      </c>
      <c r="AA831">
        <f t="shared" si="25"/>
        <v>1</v>
      </c>
      <c r="AB831">
        <v>66075</v>
      </c>
      <c r="AC831" t="s">
        <v>555</v>
      </c>
      <c r="AD831" t="s">
        <v>556</v>
      </c>
      <c r="AE831">
        <v>0.44183499999999998</v>
      </c>
      <c r="AF831" t="s">
        <v>63</v>
      </c>
      <c r="AG831">
        <v>14.968124</v>
      </c>
      <c r="AH831" t="s">
        <v>555</v>
      </c>
      <c r="AI831" t="s">
        <v>557</v>
      </c>
      <c r="AJ831">
        <v>1.288869</v>
      </c>
      <c r="AK831" t="s">
        <v>76</v>
      </c>
      <c r="AL831">
        <v>48.328636000000003</v>
      </c>
      <c r="AM831" s="4" t="s">
        <v>65</v>
      </c>
      <c r="AN831" s="5">
        <v>5236.6811517412716</v>
      </c>
      <c r="AO831" s="4" t="s">
        <v>65</v>
      </c>
      <c r="AP831" s="6">
        <v>1041</v>
      </c>
      <c r="AQ831">
        <v>4</v>
      </c>
      <c r="AR831">
        <v>4869.2439969999996</v>
      </c>
      <c r="AS831" t="s">
        <v>66</v>
      </c>
      <c r="AT831" t="s">
        <v>53</v>
      </c>
    </row>
    <row r="832" spans="1:46">
      <c r="A832">
        <v>270</v>
      </c>
      <c r="B832" t="s">
        <v>46</v>
      </c>
      <c r="C832">
        <v>66</v>
      </c>
      <c r="D832">
        <v>88</v>
      </c>
      <c r="E832" t="s">
        <v>1176</v>
      </c>
      <c r="F832" t="s">
        <v>578</v>
      </c>
      <c r="G832">
        <v>66088</v>
      </c>
      <c r="H832">
        <v>66088</v>
      </c>
      <c r="I832" t="s">
        <v>49</v>
      </c>
      <c r="J832">
        <v>6602</v>
      </c>
      <c r="K832" t="s">
        <v>1175</v>
      </c>
      <c r="L832" t="s">
        <v>91</v>
      </c>
      <c r="M832" t="s">
        <v>53</v>
      </c>
      <c r="N832">
        <v>25276</v>
      </c>
      <c r="O832" t="s">
        <v>53</v>
      </c>
      <c r="P832" t="s">
        <v>70</v>
      </c>
      <c r="Q832" t="s">
        <v>71</v>
      </c>
      <c r="R832" t="s">
        <v>93</v>
      </c>
      <c r="S832" t="s">
        <v>57</v>
      </c>
      <c r="T832" t="s">
        <v>58</v>
      </c>
      <c r="U832" t="s">
        <v>81</v>
      </c>
      <c r="V832">
        <v>0.39386700000000002</v>
      </c>
      <c r="W832" t="s">
        <v>53</v>
      </c>
      <c r="X832" t="s">
        <v>53</v>
      </c>
      <c r="Y832" t="s">
        <v>87</v>
      </c>
      <c r="Z832" t="str">
        <f t="shared" si="24"/>
        <v>Mayor que 40 - hasta 50</v>
      </c>
      <c r="AA832">
        <f t="shared" si="25"/>
        <v>1</v>
      </c>
      <c r="AB832">
        <v>66088</v>
      </c>
      <c r="AC832" t="s">
        <v>555</v>
      </c>
      <c r="AD832" t="s">
        <v>556</v>
      </c>
      <c r="AE832">
        <v>1.082735</v>
      </c>
      <c r="AF832" t="s">
        <v>76</v>
      </c>
      <c r="AG832">
        <v>40.211984000000001</v>
      </c>
      <c r="AH832" t="s">
        <v>555</v>
      </c>
      <c r="AI832" t="s">
        <v>557</v>
      </c>
      <c r="AJ832">
        <v>1.871399</v>
      </c>
      <c r="AK832" t="s">
        <v>76</v>
      </c>
      <c r="AL832">
        <v>70.602648000000002</v>
      </c>
      <c r="AM832" s="4" t="s">
        <v>65</v>
      </c>
      <c r="AN832" s="5">
        <v>10631.151160911841</v>
      </c>
      <c r="AO832" s="4" t="s">
        <v>65</v>
      </c>
      <c r="AP832" s="6">
        <v>3443</v>
      </c>
      <c r="AQ832">
        <v>4</v>
      </c>
      <c r="AR832">
        <v>8815.6095179999993</v>
      </c>
      <c r="AS832" t="s">
        <v>66</v>
      </c>
      <c r="AT832" t="s">
        <v>53</v>
      </c>
    </row>
    <row r="833" spans="1:46">
      <c r="A833">
        <v>271</v>
      </c>
      <c r="B833" t="s">
        <v>46</v>
      </c>
      <c r="C833">
        <v>66</v>
      </c>
      <c r="D833">
        <v>170</v>
      </c>
      <c r="E833" t="s">
        <v>1177</v>
      </c>
      <c r="F833" t="s">
        <v>578</v>
      </c>
      <c r="G833">
        <v>66170</v>
      </c>
      <c r="H833">
        <v>66170</v>
      </c>
      <c r="I833" t="s">
        <v>49</v>
      </c>
      <c r="J833">
        <v>6601</v>
      </c>
      <c r="K833" t="s">
        <v>1173</v>
      </c>
      <c r="L833" t="s">
        <v>51</v>
      </c>
      <c r="M833" t="s">
        <v>53</v>
      </c>
      <c r="N833">
        <v>225540</v>
      </c>
      <c r="O833" t="s">
        <v>53</v>
      </c>
      <c r="P833" t="s">
        <v>54</v>
      </c>
      <c r="Q833" t="s">
        <v>210</v>
      </c>
      <c r="R833" t="s">
        <v>56</v>
      </c>
      <c r="S833" t="s">
        <v>57</v>
      </c>
      <c r="T833" t="s">
        <v>58</v>
      </c>
      <c r="U833" t="s">
        <v>81</v>
      </c>
      <c r="V833">
        <v>0.328067</v>
      </c>
      <c r="W833" t="s">
        <v>53</v>
      </c>
      <c r="X833" t="s">
        <v>53</v>
      </c>
      <c r="Y833" t="s">
        <v>136</v>
      </c>
      <c r="Z833" t="str">
        <f t="shared" si="24"/>
        <v>Mayor que 100 - hasta 120</v>
      </c>
      <c r="AA833">
        <f t="shared" si="25"/>
        <v>1</v>
      </c>
      <c r="AB833">
        <v>66170</v>
      </c>
      <c r="AC833" t="s">
        <v>555</v>
      </c>
      <c r="AD833" t="s">
        <v>1177</v>
      </c>
      <c r="AE833">
        <v>0</v>
      </c>
      <c r="AF833" t="s">
        <v>63</v>
      </c>
      <c r="AG833">
        <v>0</v>
      </c>
      <c r="AH833" t="s">
        <v>555</v>
      </c>
      <c r="AI833" t="s">
        <v>557</v>
      </c>
      <c r="AJ833">
        <v>0.14895</v>
      </c>
      <c r="AK833" t="s">
        <v>63</v>
      </c>
      <c r="AL833">
        <v>3.4970560000000002</v>
      </c>
      <c r="AM833" s="4" t="s">
        <v>65</v>
      </c>
      <c r="AN833" s="5">
        <v>4592.1001607725548</v>
      </c>
      <c r="AO833" s="4" t="s">
        <v>65</v>
      </c>
      <c r="AP833" s="6">
        <v>2286</v>
      </c>
      <c r="AQ833">
        <v>4</v>
      </c>
      <c r="AR833">
        <v>3220.9302870000001</v>
      </c>
      <c r="AS833" t="s">
        <v>66</v>
      </c>
      <c r="AT833" t="s">
        <v>53</v>
      </c>
    </row>
    <row r="834" spans="1:46">
      <c r="A834">
        <v>272</v>
      </c>
      <c r="B834" t="s">
        <v>46</v>
      </c>
      <c r="C834">
        <v>66</v>
      </c>
      <c r="D834">
        <v>318</v>
      </c>
      <c r="E834" t="s">
        <v>1178</v>
      </c>
      <c r="F834" t="s">
        <v>578</v>
      </c>
      <c r="G834">
        <v>66318</v>
      </c>
      <c r="H834">
        <v>66318</v>
      </c>
      <c r="I834" t="s">
        <v>49</v>
      </c>
      <c r="J834">
        <v>6602</v>
      </c>
      <c r="K834" t="s">
        <v>1175</v>
      </c>
      <c r="L834" t="s">
        <v>91</v>
      </c>
      <c r="M834" t="s">
        <v>53</v>
      </c>
      <c r="N834">
        <v>12423</v>
      </c>
      <c r="O834" t="s">
        <v>53</v>
      </c>
      <c r="P834" t="s">
        <v>70</v>
      </c>
      <c r="Q834" t="s">
        <v>71</v>
      </c>
      <c r="R834" t="s">
        <v>93</v>
      </c>
      <c r="S834" t="s">
        <v>57</v>
      </c>
      <c r="T834" t="s">
        <v>58</v>
      </c>
      <c r="U834" t="s">
        <v>59</v>
      </c>
      <c r="V834">
        <v>0.52193000000000001</v>
      </c>
      <c r="W834" t="s">
        <v>53</v>
      </c>
      <c r="X834" t="s">
        <v>53</v>
      </c>
      <c r="Y834" t="s">
        <v>102</v>
      </c>
      <c r="Z834" t="str">
        <f t="shared" si="24"/>
        <v>Mayor que 20 - hasta 30</v>
      </c>
      <c r="AA834">
        <f t="shared" si="25"/>
        <v>1</v>
      </c>
      <c r="AB834">
        <v>66318</v>
      </c>
      <c r="AC834" t="s">
        <v>555</v>
      </c>
      <c r="AD834" t="s">
        <v>556</v>
      </c>
      <c r="AE834">
        <v>1.5362579999999999</v>
      </c>
      <c r="AF834" t="s">
        <v>76</v>
      </c>
      <c r="AG834">
        <v>55.551681000000002</v>
      </c>
      <c r="AH834" t="s">
        <v>161</v>
      </c>
      <c r="AI834" t="s">
        <v>163</v>
      </c>
      <c r="AJ834">
        <v>2.186029</v>
      </c>
      <c r="AK834" t="s">
        <v>77</v>
      </c>
      <c r="AL834">
        <v>77.343564000000001</v>
      </c>
      <c r="AM834" s="4" t="s">
        <v>65</v>
      </c>
      <c r="AN834" s="5">
        <v>7285.8444005845349</v>
      </c>
      <c r="AO834" s="4" t="s">
        <v>65</v>
      </c>
      <c r="AP834" s="6">
        <v>3217</v>
      </c>
      <c r="AQ834">
        <v>4</v>
      </c>
      <c r="AR834">
        <v>5446.1590059999999</v>
      </c>
      <c r="AS834" t="s">
        <v>66</v>
      </c>
      <c r="AT834" t="s">
        <v>53</v>
      </c>
    </row>
    <row r="835" spans="1:46">
      <c r="A835">
        <v>273</v>
      </c>
      <c r="B835" t="s">
        <v>46</v>
      </c>
      <c r="C835">
        <v>66</v>
      </c>
      <c r="D835">
        <v>383</v>
      </c>
      <c r="E835" t="s">
        <v>1179</v>
      </c>
      <c r="F835" t="s">
        <v>578</v>
      </c>
      <c r="G835">
        <v>66383</v>
      </c>
      <c r="H835">
        <v>66383</v>
      </c>
      <c r="I835" t="s">
        <v>49</v>
      </c>
      <c r="J835">
        <v>6602</v>
      </c>
      <c r="K835" t="s">
        <v>1175</v>
      </c>
      <c r="L835" t="s">
        <v>91</v>
      </c>
      <c r="M835" t="s">
        <v>53</v>
      </c>
      <c r="N835">
        <v>7642</v>
      </c>
      <c r="O835" t="s">
        <v>53</v>
      </c>
      <c r="P835" t="s">
        <v>70</v>
      </c>
      <c r="Q835" t="s">
        <v>71</v>
      </c>
      <c r="R835" t="s">
        <v>105</v>
      </c>
      <c r="S835" t="s">
        <v>57</v>
      </c>
      <c r="T835" t="s">
        <v>58</v>
      </c>
      <c r="U835" t="s">
        <v>59</v>
      </c>
      <c r="V835">
        <v>0.35932199999999997</v>
      </c>
      <c r="W835" t="s">
        <v>53</v>
      </c>
      <c r="X835" t="s">
        <v>53</v>
      </c>
      <c r="Y835" t="s">
        <v>102</v>
      </c>
      <c r="Z835" t="str">
        <f t="shared" ref="Z835:Z898" si="26">IF(LEFT(Y835,10)="Irradiado_",
   RIGHT(Y835, LEN(Y835)-10),   Y835)</f>
        <v>Mayor que 20 - hasta 30</v>
      </c>
      <c r="AA835">
        <f t="shared" ref="AA835:AA898" si="27">IF(LEFT(Y835,10)="Irradiado_", 1, 0)</f>
        <v>1</v>
      </c>
      <c r="AB835">
        <v>66383</v>
      </c>
      <c r="AC835" t="s">
        <v>555</v>
      </c>
      <c r="AD835" t="s">
        <v>556</v>
      </c>
      <c r="AE835">
        <v>0.83102200000000004</v>
      </c>
      <c r="AF835" t="s">
        <v>63</v>
      </c>
      <c r="AG835">
        <v>23.917871999999999</v>
      </c>
      <c r="AH835" t="s">
        <v>555</v>
      </c>
      <c r="AI835" t="s">
        <v>557</v>
      </c>
      <c r="AJ835">
        <v>1.678056</v>
      </c>
      <c r="AK835" t="s">
        <v>76</v>
      </c>
      <c r="AL835">
        <v>57.278384000000003</v>
      </c>
      <c r="AM835" s="4" t="s">
        <v>65</v>
      </c>
      <c r="AN835" s="5">
        <v>5612.4057586237668</v>
      </c>
      <c r="AO835" s="4" t="s">
        <v>65</v>
      </c>
      <c r="AP835" s="6">
        <v>1203</v>
      </c>
      <c r="AQ835">
        <v>4</v>
      </c>
      <c r="AR835">
        <v>7902.5619269999997</v>
      </c>
      <c r="AS835" t="s">
        <v>66</v>
      </c>
      <c r="AT835" t="s">
        <v>53</v>
      </c>
    </row>
    <row r="836" spans="1:46">
      <c r="A836">
        <v>274</v>
      </c>
      <c r="B836" t="s">
        <v>46</v>
      </c>
      <c r="C836">
        <v>66</v>
      </c>
      <c r="D836">
        <v>400</v>
      </c>
      <c r="E836" t="s">
        <v>556</v>
      </c>
      <c r="F836" t="s">
        <v>578</v>
      </c>
      <c r="G836">
        <v>66400</v>
      </c>
      <c r="H836">
        <v>66400</v>
      </c>
      <c r="I836" t="s">
        <v>49</v>
      </c>
      <c r="J836">
        <v>6601</v>
      </c>
      <c r="K836" t="s">
        <v>1173</v>
      </c>
      <c r="L836" t="s">
        <v>91</v>
      </c>
      <c r="M836" t="s">
        <v>53</v>
      </c>
      <c r="N836">
        <v>28488</v>
      </c>
      <c r="O836" t="s">
        <v>53</v>
      </c>
      <c r="P836" t="s">
        <v>70</v>
      </c>
      <c r="Q836" t="s">
        <v>71</v>
      </c>
      <c r="R836" t="s">
        <v>105</v>
      </c>
      <c r="S836" t="s">
        <v>57</v>
      </c>
      <c r="T836" t="s">
        <v>58</v>
      </c>
      <c r="U836" t="s">
        <v>59</v>
      </c>
      <c r="V836">
        <v>0.80844199999999999</v>
      </c>
      <c r="W836" t="s">
        <v>53</v>
      </c>
      <c r="X836" t="s">
        <v>53</v>
      </c>
      <c r="Y836" t="s">
        <v>187</v>
      </c>
      <c r="Z836" t="str">
        <f t="shared" si="26"/>
        <v>Mayor que 80 - hasta 100</v>
      </c>
      <c r="AA836">
        <f t="shared" si="27"/>
        <v>1</v>
      </c>
      <c r="AB836">
        <v>66400</v>
      </c>
      <c r="AC836" t="s">
        <v>555</v>
      </c>
      <c r="AD836" t="s">
        <v>556</v>
      </c>
      <c r="AE836">
        <v>0</v>
      </c>
      <c r="AF836" t="s">
        <v>63</v>
      </c>
      <c r="AG836">
        <v>0</v>
      </c>
      <c r="AH836" t="s">
        <v>555</v>
      </c>
      <c r="AI836" t="s">
        <v>557</v>
      </c>
      <c r="AJ836">
        <v>0.92208999999999997</v>
      </c>
      <c r="AK836" t="s">
        <v>63</v>
      </c>
      <c r="AL836">
        <v>32.677669999999999</v>
      </c>
      <c r="AM836" s="4" t="s">
        <v>64</v>
      </c>
      <c r="AN836" s="5">
        <v>1740.3889214645665</v>
      </c>
      <c r="AO836" s="4" t="s">
        <v>65</v>
      </c>
      <c r="AP836" s="6">
        <v>115</v>
      </c>
      <c r="AQ836">
        <v>3</v>
      </c>
      <c r="AR836">
        <v>2135.1947789999999</v>
      </c>
      <c r="AS836" t="s">
        <v>66</v>
      </c>
      <c r="AT836" t="s">
        <v>53</v>
      </c>
    </row>
    <row r="837" spans="1:46">
      <c r="A837">
        <v>275</v>
      </c>
      <c r="B837" t="s">
        <v>46</v>
      </c>
      <c r="C837">
        <v>66</v>
      </c>
      <c r="D837">
        <v>440</v>
      </c>
      <c r="E837" t="s">
        <v>1180</v>
      </c>
      <c r="F837" t="s">
        <v>578</v>
      </c>
      <c r="G837">
        <v>66440</v>
      </c>
      <c r="H837">
        <v>66440</v>
      </c>
      <c r="I837" t="s">
        <v>49</v>
      </c>
      <c r="J837">
        <v>6601</v>
      </c>
      <c r="K837" t="s">
        <v>1173</v>
      </c>
      <c r="L837" t="s">
        <v>91</v>
      </c>
      <c r="M837" t="s">
        <v>53</v>
      </c>
      <c r="N837">
        <v>17208</v>
      </c>
      <c r="O837" t="s">
        <v>53</v>
      </c>
      <c r="P837" t="s">
        <v>70</v>
      </c>
      <c r="Q837" t="s">
        <v>71</v>
      </c>
      <c r="R837" t="s">
        <v>122</v>
      </c>
      <c r="S837" t="s">
        <v>57</v>
      </c>
      <c r="T837" t="s">
        <v>58</v>
      </c>
      <c r="U837" t="s">
        <v>81</v>
      </c>
      <c r="V837">
        <v>0.48823499999999997</v>
      </c>
      <c r="W837" t="s">
        <v>53</v>
      </c>
      <c r="X837" t="s">
        <v>53</v>
      </c>
      <c r="Y837" t="s">
        <v>167</v>
      </c>
      <c r="Z837" t="str">
        <f t="shared" si="26"/>
        <v>Mayor que 50 - hasta 60</v>
      </c>
      <c r="AA837">
        <f t="shared" si="27"/>
        <v>1</v>
      </c>
      <c r="AB837">
        <v>66440</v>
      </c>
      <c r="AC837" t="s">
        <v>161</v>
      </c>
      <c r="AD837" t="s">
        <v>162</v>
      </c>
      <c r="AE837">
        <v>0.86594700000000002</v>
      </c>
      <c r="AF837" t="s">
        <v>63</v>
      </c>
      <c r="AG837">
        <v>22.417871999999999</v>
      </c>
      <c r="AH837" t="s">
        <v>555</v>
      </c>
      <c r="AI837" t="s">
        <v>557</v>
      </c>
      <c r="AJ837">
        <v>0.96526500000000004</v>
      </c>
      <c r="AK837" t="s">
        <v>63</v>
      </c>
      <c r="AL837">
        <v>25.410765000000001</v>
      </c>
      <c r="AM837" s="4" t="s">
        <v>65</v>
      </c>
      <c r="AN837" s="5">
        <v>7110.2278749231682</v>
      </c>
      <c r="AO837" s="4" t="s">
        <v>65</v>
      </c>
      <c r="AP837" s="6">
        <v>2016</v>
      </c>
      <c r="AQ837">
        <v>4</v>
      </c>
      <c r="AR837">
        <v>7670.4825650000002</v>
      </c>
      <c r="AS837" t="s">
        <v>66</v>
      </c>
      <c r="AT837" t="s">
        <v>53</v>
      </c>
    </row>
    <row r="838" spans="1:46">
      <c r="A838">
        <v>276</v>
      </c>
      <c r="B838" t="s">
        <v>46</v>
      </c>
      <c r="C838">
        <v>66</v>
      </c>
      <c r="D838">
        <v>456</v>
      </c>
      <c r="E838" t="s">
        <v>1181</v>
      </c>
      <c r="F838" t="s">
        <v>578</v>
      </c>
      <c r="G838">
        <v>66456</v>
      </c>
      <c r="H838">
        <v>66456</v>
      </c>
      <c r="I838" t="s">
        <v>49</v>
      </c>
      <c r="J838">
        <v>6603</v>
      </c>
      <c r="K838" t="s">
        <v>1182</v>
      </c>
      <c r="L838" t="s">
        <v>80</v>
      </c>
      <c r="M838" t="s">
        <v>53</v>
      </c>
      <c r="N838">
        <v>17527</v>
      </c>
      <c r="O838" t="s">
        <v>53</v>
      </c>
      <c r="P838" t="s">
        <v>70</v>
      </c>
      <c r="Q838" t="s">
        <v>71</v>
      </c>
      <c r="R838" t="s">
        <v>56</v>
      </c>
      <c r="S838" t="s">
        <v>57</v>
      </c>
      <c r="T838" t="s">
        <v>73</v>
      </c>
      <c r="U838" t="s">
        <v>119</v>
      </c>
      <c r="V838">
        <v>0.45974399999999999</v>
      </c>
      <c r="W838" t="s">
        <v>53</v>
      </c>
      <c r="X838" t="s">
        <v>53</v>
      </c>
      <c r="Y838" t="s">
        <v>277</v>
      </c>
      <c r="Z838" t="str">
        <f t="shared" si="26"/>
        <v>Mayor que 10 - hasta 15</v>
      </c>
      <c r="AA838">
        <f t="shared" si="27"/>
        <v>1</v>
      </c>
      <c r="AB838">
        <v>66456</v>
      </c>
      <c r="AC838" t="s">
        <v>555</v>
      </c>
      <c r="AD838" t="s">
        <v>556</v>
      </c>
      <c r="AE838">
        <v>1.4986200000000001</v>
      </c>
      <c r="AF838" t="s">
        <v>76</v>
      </c>
      <c r="AG838">
        <v>57.365895000000002</v>
      </c>
      <c r="AH838" t="s">
        <v>555</v>
      </c>
      <c r="AI838" t="s">
        <v>557</v>
      </c>
      <c r="AJ838">
        <v>2.2872840000000001</v>
      </c>
      <c r="AK838" t="s">
        <v>77</v>
      </c>
      <c r="AL838">
        <v>87.756557999999998</v>
      </c>
      <c r="AM838" s="4" t="s">
        <v>64</v>
      </c>
      <c r="AN838" s="5">
        <v>3992.2520780402756</v>
      </c>
      <c r="AO838" s="4" t="s">
        <v>65</v>
      </c>
      <c r="AP838" s="6">
        <v>1579</v>
      </c>
      <c r="AQ838">
        <v>4</v>
      </c>
      <c r="AR838">
        <v>8136.3551989999996</v>
      </c>
      <c r="AS838" t="s">
        <v>66</v>
      </c>
      <c r="AT838" t="s">
        <v>53</v>
      </c>
    </row>
    <row r="839" spans="1:46">
      <c r="A839">
        <v>277</v>
      </c>
      <c r="B839" t="s">
        <v>46</v>
      </c>
      <c r="C839">
        <v>66</v>
      </c>
      <c r="D839">
        <v>572</v>
      </c>
      <c r="E839" t="s">
        <v>1183</v>
      </c>
      <c r="F839" t="s">
        <v>578</v>
      </c>
      <c r="G839">
        <v>66572</v>
      </c>
      <c r="H839">
        <v>66572</v>
      </c>
      <c r="I839" t="s">
        <v>49</v>
      </c>
      <c r="J839">
        <v>6603</v>
      </c>
      <c r="K839" t="s">
        <v>1182</v>
      </c>
      <c r="L839" t="s">
        <v>80</v>
      </c>
      <c r="M839" t="s">
        <v>53</v>
      </c>
      <c r="N839">
        <v>16753</v>
      </c>
      <c r="O839" t="s">
        <v>53</v>
      </c>
      <c r="P839" t="s">
        <v>70</v>
      </c>
      <c r="Q839" t="s">
        <v>71</v>
      </c>
      <c r="R839" t="s">
        <v>105</v>
      </c>
      <c r="S839" t="s">
        <v>57</v>
      </c>
      <c r="T839" t="s">
        <v>73</v>
      </c>
      <c r="U839" t="s">
        <v>115</v>
      </c>
      <c r="V839">
        <v>0.41809000000000002</v>
      </c>
      <c r="W839" t="s">
        <v>53</v>
      </c>
      <c r="X839" t="s">
        <v>53</v>
      </c>
      <c r="Y839" t="s">
        <v>102</v>
      </c>
      <c r="Z839" t="str">
        <f t="shared" si="26"/>
        <v>Mayor que 20 - hasta 30</v>
      </c>
      <c r="AA839">
        <f t="shared" si="27"/>
        <v>1</v>
      </c>
      <c r="AB839">
        <v>66572</v>
      </c>
      <c r="AC839" t="s">
        <v>555</v>
      </c>
      <c r="AD839" t="s">
        <v>556</v>
      </c>
      <c r="AE839">
        <v>1.4011960000000001</v>
      </c>
      <c r="AF839" t="s">
        <v>76</v>
      </c>
      <c r="AG839">
        <v>50.477164000000002</v>
      </c>
      <c r="AH839" t="s">
        <v>555</v>
      </c>
      <c r="AI839" t="s">
        <v>557</v>
      </c>
      <c r="AJ839">
        <v>2.24823</v>
      </c>
      <c r="AK839" t="s">
        <v>77</v>
      </c>
      <c r="AL839">
        <v>83.837676999999999</v>
      </c>
      <c r="AM839" s="4" t="s">
        <v>64</v>
      </c>
      <c r="AN839" s="5">
        <v>1291.2008395938353</v>
      </c>
      <c r="AO839" s="4" t="s">
        <v>64</v>
      </c>
      <c r="AP839" s="6">
        <v>21</v>
      </c>
      <c r="AQ839">
        <v>4</v>
      </c>
      <c r="AR839">
        <v>1468.08842</v>
      </c>
      <c r="AS839" t="s">
        <v>66</v>
      </c>
      <c r="AT839" t="s">
        <v>53</v>
      </c>
    </row>
    <row r="840" spans="1:46">
      <c r="A840">
        <v>278</v>
      </c>
      <c r="B840" t="s">
        <v>46</v>
      </c>
      <c r="C840">
        <v>66</v>
      </c>
      <c r="D840">
        <v>594</v>
      </c>
      <c r="E840" t="s">
        <v>1184</v>
      </c>
      <c r="F840" t="s">
        <v>578</v>
      </c>
      <c r="G840">
        <v>66594</v>
      </c>
      <c r="H840">
        <v>66594</v>
      </c>
      <c r="I840" t="s">
        <v>49</v>
      </c>
      <c r="J840">
        <v>6602</v>
      </c>
      <c r="K840" t="s">
        <v>1175</v>
      </c>
      <c r="L840" t="s">
        <v>91</v>
      </c>
      <c r="M840" t="s">
        <v>53</v>
      </c>
      <c r="N840">
        <v>27890</v>
      </c>
      <c r="O840" t="s">
        <v>53</v>
      </c>
      <c r="P840" t="s">
        <v>70</v>
      </c>
      <c r="Q840" t="s">
        <v>71</v>
      </c>
      <c r="R840" t="s">
        <v>122</v>
      </c>
      <c r="S840" t="s">
        <v>57</v>
      </c>
      <c r="T840" t="s">
        <v>73</v>
      </c>
      <c r="U840" t="s">
        <v>59</v>
      </c>
      <c r="V840">
        <v>0.72075800000000001</v>
      </c>
      <c r="W840" t="s">
        <v>53</v>
      </c>
      <c r="X840" t="s">
        <v>53</v>
      </c>
      <c r="Y840" t="s">
        <v>102</v>
      </c>
      <c r="Z840" t="str">
        <f t="shared" si="26"/>
        <v>Mayor que 20 - hasta 30</v>
      </c>
      <c r="AA840">
        <f t="shared" si="27"/>
        <v>1</v>
      </c>
      <c r="AB840">
        <v>66594</v>
      </c>
      <c r="AC840" t="s">
        <v>161</v>
      </c>
      <c r="AD840" t="s">
        <v>162</v>
      </c>
      <c r="AE840">
        <v>1.6655340000000001</v>
      </c>
      <c r="AF840" t="s">
        <v>76</v>
      </c>
      <c r="AG840">
        <v>60.129855999999997</v>
      </c>
      <c r="AH840" t="s">
        <v>161</v>
      </c>
      <c r="AI840" t="s">
        <v>163</v>
      </c>
      <c r="AJ840">
        <v>1.834225</v>
      </c>
      <c r="AK840" t="s">
        <v>76</v>
      </c>
      <c r="AL840">
        <v>66.196759999999998</v>
      </c>
      <c r="AM840" s="4" t="s">
        <v>65</v>
      </c>
      <c r="AN840" s="5">
        <v>11023.814679934549</v>
      </c>
      <c r="AO840" s="4" t="s">
        <v>65</v>
      </c>
      <c r="AP840" s="6">
        <v>6029</v>
      </c>
      <c r="AQ840">
        <v>4</v>
      </c>
      <c r="AR840">
        <v>10980.852362</v>
      </c>
      <c r="AS840" t="s">
        <v>66</v>
      </c>
      <c r="AT840" t="s">
        <v>53</v>
      </c>
    </row>
    <row r="841" spans="1:46">
      <c r="A841">
        <v>279</v>
      </c>
      <c r="B841" t="s">
        <v>46</v>
      </c>
      <c r="C841">
        <v>66</v>
      </c>
      <c r="D841">
        <v>682</v>
      </c>
      <c r="E841" t="s">
        <v>1185</v>
      </c>
      <c r="F841" t="s">
        <v>578</v>
      </c>
      <c r="G841">
        <v>66682</v>
      </c>
      <c r="H841">
        <v>66682</v>
      </c>
      <c r="I841" t="s">
        <v>49</v>
      </c>
      <c r="J841">
        <v>6601</v>
      </c>
      <c r="K841" t="s">
        <v>1173</v>
      </c>
      <c r="L841" t="s">
        <v>51</v>
      </c>
      <c r="M841" t="s">
        <v>53</v>
      </c>
      <c r="N841">
        <v>79840</v>
      </c>
      <c r="O841" t="s">
        <v>53</v>
      </c>
      <c r="P841" t="s">
        <v>92</v>
      </c>
      <c r="Q841" t="s">
        <v>118</v>
      </c>
      <c r="R841" t="s">
        <v>122</v>
      </c>
      <c r="S841" t="s">
        <v>57</v>
      </c>
      <c r="T841" t="s">
        <v>58</v>
      </c>
      <c r="U841" t="s">
        <v>81</v>
      </c>
      <c r="V841">
        <v>0.50042500000000001</v>
      </c>
      <c r="W841" t="s">
        <v>53</v>
      </c>
      <c r="X841" t="s">
        <v>53</v>
      </c>
      <c r="Y841" t="s">
        <v>136</v>
      </c>
      <c r="Z841" t="str">
        <f t="shared" si="26"/>
        <v>Mayor que 100 - hasta 120</v>
      </c>
      <c r="AA841">
        <f t="shared" si="27"/>
        <v>1</v>
      </c>
      <c r="AB841">
        <v>66682</v>
      </c>
      <c r="AC841" t="s">
        <v>555</v>
      </c>
      <c r="AD841" t="s">
        <v>1185</v>
      </c>
      <c r="AE841">
        <v>0</v>
      </c>
      <c r="AF841" t="s">
        <v>63</v>
      </c>
      <c r="AG841">
        <v>0</v>
      </c>
      <c r="AH841" t="s">
        <v>555</v>
      </c>
      <c r="AI841" t="s">
        <v>557</v>
      </c>
      <c r="AJ841">
        <v>0.34490500000000002</v>
      </c>
      <c r="AK841" t="s">
        <v>63</v>
      </c>
      <c r="AL841">
        <v>13.302439</v>
      </c>
      <c r="AM841" s="4" t="s">
        <v>64</v>
      </c>
      <c r="AN841" s="5">
        <v>14194.573516806136</v>
      </c>
      <c r="AO841" s="4" t="s">
        <v>65</v>
      </c>
      <c r="AP841" s="6">
        <v>3336</v>
      </c>
      <c r="AQ841">
        <v>4</v>
      </c>
      <c r="AR841">
        <v>25055.373709</v>
      </c>
      <c r="AS841" t="s">
        <v>66</v>
      </c>
      <c r="AT841" t="s">
        <v>53</v>
      </c>
    </row>
    <row r="842" spans="1:46">
      <c r="A842">
        <v>280</v>
      </c>
      <c r="B842" t="s">
        <v>46</v>
      </c>
      <c r="C842">
        <v>66</v>
      </c>
      <c r="D842">
        <v>687</v>
      </c>
      <c r="E842" t="s">
        <v>259</v>
      </c>
      <c r="F842" t="s">
        <v>578</v>
      </c>
      <c r="G842">
        <v>66687</v>
      </c>
      <c r="H842">
        <v>66687</v>
      </c>
      <c r="I842" t="s">
        <v>49</v>
      </c>
      <c r="J842">
        <v>6602</v>
      </c>
      <c r="K842" t="s">
        <v>1175</v>
      </c>
      <c r="L842" t="s">
        <v>91</v>
      </c>
      <c r="M842" t="s">
        <v>53</v>
      </c>
      <c r="N842">
        <v>12826</v>
      </c>
      <c r="O842" t="s">
        <v>53</v>
      </c>
      <c r="P842" t="s">
        <v>70</v>
      </c>
      <c r="Q842" t="s">
        <v>71</v>
      </c>
      <c r="R842" t="s">
        <v>93</v>
      </c>
      <c r="S842" t="s">
        <v>57</v>
      </c>
      <c r="T842" t="s">
        <v>58</v>
      </c>
      <c r="U842" t="s">
        <v>119</v>
      </c>
      <c r="V842">
        <v>0.39234400000000003</v>
      </c>
      <c r="W842" t="s">
        <v>53</v>
      </c>
      <c r="X842" t="s">
        <v>53</v>
      </c>
      <c r="Y842" t="s">
        <v>87</v>
      </c>
      <c r="Z842" t="str">
        <f t="shared" si="26"/>
        <v>Mayor que 40 - hasta 50</v>
      </c>
      <c r="AA842">
        <f t="shared" si="27"/>
        <v>1</v>
      </c>
      <c r="AB842">
        <v>66687</v>
      </c>
      <c r="AC842" t="s">
        <v>555</v>
      </c>
      <c r="AD842" t="s">
        <v>556</v>
      </c>
      <c r="AE842">
        <v>0.62371699999999997</v>
      </c>
      <c r="AF842" t="s">
        <v>63</v>
      </c>
      <c r="AG842">
        <v>25.97645</v>
      </c>
      <c r="AH842" t="s">
        <v>555</v>
      </c>
      <c r="AI842" t="s">
        <v>557</v>
      </c>
      <c r="AJ842">
        <v>1.4707509999999999</v>
      </c>
      <c r="AK842" t="s">
        <v>76</v>
      </c>
      <c r="AL842">
        <v>59.336962</v>
      </c>
      <c r="AM842" s="4" t="s">
        <v>65</v>
      </c>
      <c r="AN842" s="5">
        <v>7608.6050786490969</v>
      </c>
      <c r="AO842" s="4" t="s">
        <v>65</v>
      </c>
      <c r="AP842" s="6">
        <v>1699</v>
      </c>
      <c r="AQ842">
        <v>4</v>
      </c>
      <c r="AR842">
        <v>10339.530907</v>
      </c>
      <c r="AS842" t="s">
        <v>66</v>
      </c>
      <c r="AT842" t="s">
        <v>53</v>
      </c>
    </row>
    <row r="843" spans="1:46">
      <c r="A843">
        <v>1057</v>
      </c>
      <c r="B843" t="s">
        <v>46</v>
      </c>
      <c r="C843">
        <v>68</v>
      </c>
      <c r="D843">
        <v>1</v>
      </c>
      <c r="E843" t="s">
        <v>284</v>
      </c>
      <c r="F843" t="s">
        <v>1186</v>
      </c>
      <c r="G843">
        <v>68001</v>
      </c>
      <c r="H843">
        <v>68001</v>
      </c>
      <c r="I843" t="s">
        <v>49</v>
      </c>
      <c r="J843">
        <v>6805</v>
      </c>
      <c r="K843" t="s">
        <v>1187</v>
      </c>
      <c r="L843" t="s">
        <v>51</v>
      </c>
      <c r="M843" t="s">
        <v>52</v>
      </c>
      <c r="N843">
        <v>614860</v>
      </c>
      <c r="O843" t="s">
        <v>53</v>
      </c>
      <c r="P843" t="s">
        <v>54</v>
      </c>
      <c r="Q843" t="s">
        <v>55</v>
      </c>
      <c r="R843" t="s">
        <v>93</v>
      </c>
      <c r="S843" t="s">
        <v>57</v>
      </c>
      <c r="T843" t="s">
        <v>58</v>
      </c>
      <c r="U843" t="s">
        <v>59</v>
      </c>
      <c r="V843">
        <v>0.52532999999999996</v>
      </c>
      <c r="W843" t="s">
        <v>53</v>
      </c>
      <c r="X843" t="s">
        <v>53</v>
      </c>
      <c r="Y843" t="s">
        <v>437</v>
      </c>
      <c r="Z843" t="str">
        <f t="shared" si="26"/>
        <v>Mayor que 160 - hasta 180</v>
      </c>
      <c r="AA843">
        <f t="shared" si="27"/>
        <v>1</v>
      </c>
      <c r="AB843">
        <v>68001</v>
      </c>
      <c r="AC843" t="s">
        <v>282</v>
      </c>
      <c r="AD843" t="s">
        <v>284</v>
      </c>
      <c r="AE843">
        <v>0</v>
      </c>
      <c r="AF843" t="s">
        <v>63</v>
      </c>
      <c r="AG843">
        <v>0</v>
      </c>
      <c r="AH843" t="s">
        <v>282</v>
      </c>
      <c r="AI843" t="s">
        <v>284</v>
      </c>
      <c r="AJ843">
        <v>0</v>
      </c>
      <c r="AK843" t="s">
        <v>63</v>
      </c>
      <c r="AL843">
        <v>0</v>
      </c>
      <c r="AM843" s="4" t="s">
        <v>65</v>
      </c>
      <c r="AN843" s="5">
        <v>4498.0059969273925</v>
      </c>
      <c r="AO843" s="4" t="s">
        <v>65</v>
      </c>
      <c r="AP843" s="6">
        <v>1182</v>
      </c>
      <c r="AQ843">
        <v>4</v>
      </c>
      <c r="AR843">
        <v>6976.4363880000001</v>
      </c>
      <c r="AS843" t="s">
        <v>66</v>
      </c>
      <c r="AT843" t="s">
        <v>53</v>
      </c>
    </row>
    <row r="844" spans="1:46">
      <c r="A844">
        <v>971</v>
      </c>
      <c r="B844" t="s">
        <v>46</v>
      </c>
      <c r="C844">
        <v>68</v>
      </c>
      <c r="D844">
        <v>13</v>
      </c>
      <c r="E844" t="s">
        <v>1188</v>
      </c>
      <c r="F844" t="s">
        <v>1186</v>
      </c>
      <c r="G844">
        <v>68013</v>
      </c>
      <c r="H844">
        <v>68013</v>
      </c>
      <c r="I844" t="s">
        <v>49</v>
      </c>
      <c r="J844">
        <v>6806</v>
      </c>
      <c r="K844" t="s">
        <v>1189</v>
      </c>
      <c r="L844" t="s">
        <v>80</v>
      </c>
      <c r="M844" t="s">
        <v>53</v>
      </c>
      <c r="N844">
        <v>1938</v>
      </c>
      <c r="O844" t="s">
        <v>53</v>
      </c>
      <c r="P844" t="s">
        <v>70</v>
      </c>
      <c r="Q844" t="s">
        <v>71</v>
      </c>
      <c r="R844" t="s">
        <v>93</v>
      </c>
      <c r="S844" t="s">
        <v>57</v>
      </c>
      <c r="T844" t="s">
        <v>58</v>
      </c>
      <c r="U844" t="s">
        <v>81</v>
      </c>
      <c r="V844">
        <v>0.78426799999999997</v>
      </c>
      <c r="W844" t="s">
        <v>53</v>
      </c>
      <c r="X844" t="s">
        <v>53</v>
      </c>
      <c r="Y844" t="s">
        <v>116</v>
      </c>
      <c r="Z844" t="str">
        <f t="shared" si="26"/>
        <v>Mayor que 30 - hasta 40</v>
      </c>
      <c r="AA844">
        <f t="shared" si="27"/>
        <v>1</v>
      </c>
      <c r="AB844">
        <v>68013</v>
      </c>
      <c r="AC844" t="s">
        <v>282</v>
      </c>
      <c r="AD844" t="s">
        <v>88</v>
      </c>
      <c r="AE844">
        <v>1.74777</v>
      </c>
      <c r="AF844" t="s">
        <v>76</v>
      </c>
      <c r="AG844">
        <v>39.393101999999999</v>
      </c>
      <c r="AH844" t="s">
        <v>234</v>
      </c>
      <c r="AI844" t="s">
        <v>407</v>
      </c>
      <c r="AJ844">
        <v>4.3263610000000003</v>
      </c>
      <c r="AK844" t="s">
        <v>85</v>
      </c>
      <c r="AL844">
        <v>106.56265500000001</v>
      </c>
      <c r="AM844" s="4" t="s">
        <v>65</v>
      </c>
      <c r="AN844" s="5">
        <v>5052.344520725188</v>
      </c>
      <c r="AO844" s="4" t="s">
        <v>65</v>
      </c>
      <c r="AP844" s="6">
        <v>1213</v>
      </c>
      <c r="AQ844">
        <v>3</v>
      </c>
      <c r="AR844">
        <v>3761.9935129999999</v>
      </c>
      <c r="AS844" t="s">
        <v>66</v>
      </c>
      <c r="AT844" t="s">
        <v>53</v>
      </c>
    </row>
    <row r="845" spans="1:46">
      <c r="A845">
        <v>972</v>
      </c>
      <c r="B845" t="s">
        <v>46</v>
      </c>
      <c r="C845">
        <v>68</v>
      </c>
      <c r="D845">
        <v>20</v>
      </c>
      <c r="E845" t="s">
        <v>593</v>
      </c>
      <c r="F845" t="s">
        <v>1186</v>
      </c>
      <c r="G845">
        <v>68020</v>
      </c>
      <c r="H845">
        <v>68020</v>
      </c>
      <c r="I845" t="s">
        <v>49</v>
      </c>
      <c r="J845">
        <v>6806</v>
      </c>
      <c r="K845" t="s">
        <v>1189</v>
      </c>
      <c r="L845" t="s">
        <v>80</v>
      </c>
      <c r="M845" t="s">
        <v>53</v>
      </c>
      <c r="N845">
        <v>4263</v>
      </c>
      <c r="O845" t="s">
        <v>53</v>
      </c>
      <c r="P845" t="s">
        <v>70</v>
      </c>
      <c r="Q845" t="s">
        <v>71</v>
      </c>
      <c r="R845" t="s">
        <v>93</v>
      </c>
      <c r="S845" t="s">
        <v>57</v>
      </c>
      <c r="T845" t="s">
        <v>58</v>
      </c>
      <c r="U845" t="s">
        <v>81</v>
      </c>
      <c r="V845">
        <v>0.71534299999999995</v>
      </c>
      <c r="W845" t="s">
        <v>53</v>
      </c>
      <c r="X845" t="s">
        <v>53</v>
      </c>
      <c r="Y845" t="s">
        <v>87</v>
      </c>
      <c r="Z845" t="str">
        <f t="shared" si="26"/>
        <v>Mayor que 40 - hasta 50</v>
      </c>
      <c r="AA845">
        <f t="shared" si="27"/>
        <v>1</v>
      </c>
      <c r="AB845">
        <v>68020</v>
      </c>
      <c r="AC845" t="s">
        <v>234</v>
      </c>
      <c r="AD845" t="s">
        <v>428</v>
      </c>
      <c r="AE845">
        <v>1.7780009999999999</v>
      </c>
      <c r="AF845" t="s">
        <v>76</v>
      </c>
      <c r="AG845">
        <v>41.741630999999998</v>
      </c>
      <c r="AH845" t="s">
        <v>234</v>
      </c>
      <c r="AI845" t="s">
        <v>407</v>
      </c>
      <c r="AJ845">
        <v>3.78565</v>
      </c>
      <c r="AK845" t="s">
        <v>84</v>
      </c>
      <c r="AL845">
        <v>113.66387400000001</v>
      </c>
      <c r="AM845" s="4" t="s">
        <v>65</v>
      </c>
      <c r="AN845" s="5">
        <v>11889.989535727296</v>
      </c>
      <c r="AO845" s="4" t="s">
        <v>65</v>
      </c>
      <c r="AP845" s="6">
        <v>2756</v>
      </c>
      <c r="AQ845">
        <v>3</v>
      </c>
      <c r="AR845">
        <v>9075.9987369999999</v>
      </c>
      <c r="AS845" t="s">
        <v>66</v>
      </c>
      <c r="AT845" t="s">
        <v>53</v>
      </c>
    </row>
    <row r="846" spans="1:46">
      <c r="A846">
        <v>973</v>
      </c>
      <c r="B846" t="s">
        <v>46</v>
      </c>
      <c r="C846">
        <v>68</v>
      </c>
      <c r="D846">
        <v>51</v>
      </c>
      <c r="E846" t="s">
        <v>1190</v>
      </c>
      <c r="F846" t="s">
        <v>1186</v>
      </c>
      <c r="G846">
        <v>68051</v>
      </c>
      <c r="H846">
        <v>68051</v>
      </c>
      <c r="I846" t="s">
        <v>49</v>
      </c>
      <c r="J846">
        <v>6803</v>
      </c>
      <c r="K846" t="s">
        <v>1191</v>
      </c>
      <c r="L846" t="s">
        <v>80</v>
      </c>
      <c r="M846" t="s">
        <v>53</v>
      </c>
      <c r="N846">
        <v>8678</v>
      </c>
      <c r="O846" t="s">
        <v>53</v>
      </c>
      <c r="P846" t="s">
        <v>70</v>
      </c>
      <c r="Q846" t="s">
        <v>71</v>
      </c>
      <c r="R846" t="s">
        <v>56</v>
      </c>
      <c r="S846" t="s">
        <v>57</v>
      </c>
      <c r="T846" t="s">
        <v>58</v>
      </c>
      <c r="U846" t="s">
        <v>81</v>
      </c>
      <c r="V846">
        <v>0.39311000000000001</v>
      </c>
      <c r="W846" t="s">
        <v>53</v>
      </c>
      <c r="X846" t="s">
        <v>53</v>
      </c>
      <c r="Y846" t="s">
        <v>127</v>
      </c>
      <c r="Z846" t="str">
        <f t="shared" si="26"/>
        <v>Mayor que 70 - hasta 80</v>
      </c>
      <c r="AA846">
        <f t="shared" si="27"/>
        <v>1</v>
      </c>
      <c r="AB846">
        <v>68051</v>
      </c>
      <c r="AC846" t="s">
        <v>282</v>
      </c>
      <c r="AD846" t="s">
        <v>1192</v>
      </c>
      <c r="AE846">
        <v>0.90605899999999995</v>
      </c>
      <c r="AF846" t="s">
        <v>63</v>
      </c>
      <c r="AG846">
        <v>25.139192000000001</v>
      </c>
      <c r="AH846" t="s">
        <v>282</v>
      </c>
      <c r="AI846" t="s">
        <v>284</v>
      </c>
      <c r="AJ846">
        <v>1.9934080000000001</v>
      </c>
      <c r="AK846" t="s">
        <v>76</v>
      </c>
      <c r="AL846">
        <v>61.765389999999996</v>
      </c>
      <c r="AM846" s="4" t="s">
        <v>97</v>
      </c>
      <c r="AN846" s="5">
        <v>6366.5020679348681</v>
      </c>
      <c r="AO846" s="4" t="s">
        <v>65</v>
      </c>
      <c r="AP846" s="6">
        <v>1320</v>
      </c>
      <c r="AQ846">
        <v>4</v>
      </c>
      <c r="AR846">
        <v>11769.778533999999</v>
      </c>
      <c r="AS846" t="s">
        <v>66</v>
      </c>
      <c r="AT846" t="s">
        <v>53</v>
      </c>
    </row>
    <row r="847" spans="1:46">
      <c r="A847">
        <v>974</v>
      </c>
      <c r="B847" t="s">
        <v>46</v>
      </c>
      <c r="C847">
        <v>68</v>
      </c>
      <c r="D847">
        <v>77</v>
      </c>
      <c r="E847" t="s">
        <v>88</v>
      </c>
      <c r="F847" t="s">
        <v>1186</v>
      </c>
      <c r="G847">
        <v>68077</v>
      </c>
      <c r="H847">
        <v>68077</v>
      </c>
      <c r="I847" t="s">
        <v>49</v>
      </c>
      <c r="J847">
        <v>6806</v>
      </c>
      <c r="K847" t="s">
        <v>1189</v>
      </c>
      <c r="L847" t="s">
        <v>91</v>
      </c>
      <c r="M847" t="s">
        <v>53</v>
      </c>
      <c r="N847">
        <v>32861</v>
      </c>
      <c r="O847" t="s">
        <v>53</v>
      </c>
      <c r="P847" t="s">
        <v>92</v>
      </c>
      <c r="Q847" t="s">
        <v>71</v>
      </c>
      <c r="R847" t="s">
        <v>105</v>
      </c>
      <c r="S847" t="s">
        <v>57</v>
      </c>
      <c r="T847" t="s">
        <v>58</v>
      </c>
      <c r="U847" t="s">
        <v>81</v>
      </c>
      <c r="V847">
        <v>0.39289099999999999</v>
      </c>
      <c r="W847" t="s">
        <v>53</v>
      </c>
      <c r="X847" t="s">
        <v>53</v>
      </c>
      <c r="Y847" t="s">
        <v>127</v>
      </c>
      <c r="Z847" t="str">
        <f t="shared" si="26"/>
        <v>Mayor que 70 - hasta 80</v>
      </c>
      <c r="AA847">
        <f t="shared" si="27"/>
        <v>1</v>
      </c>
      <c r="AB847">
        <v>68077</v>
      </c>
      <c r="AC847" t="s">
        <v>282</v>
      </c>
      <c r="AD847" t="s">
        <v>88</v>
      </c>
      <c r="AE847">
        <v>0</v>
      </c>
      <c r="AF847" t="s">
        <v>63</v>
      </c>
      <c r="AG847">
        <v>0</v>
      </c>
      <c r="AH847" t="s">
        <v>234</v>
      </c>
      <c r="AI847" t="s">
        <v>407</v>
      </c>
      <c r="AJ847">
        <v>2.59815</v>
      </c>
      <c r="AK847" t="s">
        <v>77</v>
      </c>
      <c r="AL847">
        <v>67.818081000000006</v>
      </c>
      <c r="AM847" s="4" t="s">
        <v>65</v>
      </c>
      <c r="AN847" s="5">
        <v>3630.2057409561912</v>
      </c>
      <c r="AO847" s="4" t="s">
        <v>65</v>
      </c>
      <c r="AP847" s="6">
        <v>1956</v>
      </c>
      <c r="AQ847">
        <v>3</v>
      </c>
      <c r="AR847">
        <v>2442.4182879999998</v>
      </c>
      <c r="AS847" t="s">
        <v>66</v>
      </c>
      <c r="AT847" t="s">
        <v>53</v>
      </c>
    </row>
    <row r="848" spans="1:46">
      <c r="A848">
        <v>975</v>
      </c>
      <c r="B848" t="s">
        <v>46</v>
      </c>
      <c r="C848">
        <v>68</v>
      </c>
      <c r="D848">
        <v>79</v>
      </c>
      <c r="E848" t="s">
        <v>1193</v>
      </c>
      <c r="F848" t="s">
        <v>1186</v>
      </c>
      <c r="G848">
        <v>68079</v>
      </c>
      <c r="H848">
        <v>68079</v>
      </c>
      <c r="I848" t="s">
        <v>49</v>
      </c>
      <c r="J848">
        <v>6803</v>
      </c>
      <c r="K848" t="s">
        <v>1191</v>
      </c>
      <c r="L848" t="s">
        <v>91</v>
      </c>
      <c r="M848" t="s">
        <v>53</v>
      </c>
      <c r="N848">
        <v>11092</v>
      </c>
      <c r="O848" t="s">
        <v>53</v>
      </c>
      <c r="P848" t="s">
        <v>70</v>
      </c>
      <c r="Q848" t="s">
        <v>71</v>
      </c>
      <c r="R848" t="s">
        <v>105</v>
      </c>
      <c r="S848" t="s">
        <v>57</v>
      </c>
      <c r="T848" t="s">
        <v>58</v>
      </c>
      <c r="U848" t="s">
        <v>81</v>
      </c>
      <c r="V848">
        <v>0.19237299999999999</v>
      </c>
      <c r="W848" t="s">
        <v>53</v>
      </c>
      <c r="X848" t="s">
        <v>53</v>
      </c>
      <c r="Y848" t="s">
        <v>136</v>
      </c>
      <c r="Z848" t="str">
        <f t="shared" si="26"/>
        <v>Mayor que 100 - hasta 120</v>
      </c>
      <c r="AA848">
        <f t="shared" si="27"/>
        <v>1</v>
      </c>
      <c r="AB848">
        <v>68079</v>
      </c>
      <c r="AC848" t="s">
        <v>282</v>
      </c>
      <c r="AD848" t="s">
        <v>1192</v>
      </c>
      <c r="AE848">
        <v>0.92673700000000003</v>
      </c>
      <c r="AF848" t="s">
        <v>63</v>
      </c>
      <c r="AG848">
        <v>18.299495</v>
      </c>
      <c r="AH848" t="s">
        <v>282</v>
      </c>
      <c r="AI848" t="s">
        <v>284</v>
      </c>
      <c r="AJ848">
        <v>3.4835560000000001</v>
      </c>
      <c r="AK848" t="s">
        <v>84</v>
      </c>
      <c r="AL848">
        <v>92.446003000000005</v>
      </c>
      <c r="AM848" s="4" t="s">
        <v>65</v>
      </c>
      <c r="AN848" s="5">
        <v>7969.6888940175841</v>
      </c>
      <c r="AO848" s="4" t="s">
        <v>65</v>
      </c>
      <c r="AP848" s="6">
        <v>3122</v>
      </c>
      <c r="AQ848">
        <v>2</v>
      </c>
      <c r="AR848">
        <v>5800.8265510000001</v>
      </c>
      <c r="AS848" t="s">
        <v>66</v>
      </c>
      <c r="AT848" t="s">
        <v>53</v>
      </c>
    </row>
    <row r="849" spans="1:46">
      <c r="A849">
        <v>976</v>
      </c>
      <c r="B849" t="s">
        <v>46</v>
      </c>
      <c r="C849">
        <v>68</v>
      </c>
      <c r="D849">
        <v>81</v>
      </c>
      <c r="E849" t="s">
        <v>283</v>
      </c>
      <c r="F849" t="s">
        <v>1186</v>
      </c>
      <c r="G849">
        <v>68081</v>
      </c>
      <c r="H849">
        <v>68081</v>
      </c>
      <c r="I849" t="s">
        <v>49</v>
      </c>
      <c r="J849">
        <v>6804</v>
      </c>
      <c r="K849" t="s">
        <v>1194</v>
      </c>
      <c r="L849" t="s">
        <v>51</v>
      </c>
      <c r="M849" t="s">
        <v>53</v>
      </c>
      <c r="N849">
        <v>214571</v>
      </c>
      <c r="O849" t="s">
        <v>53</v>
      </c>
      <c r="P849" t="s">
        <v>54</v>
      </c>
      <c r="Q849" t="s">
        <v>138</v>
      </c>
      <c r="R849" t="s">
        <v>56</v>
      </c>
      <c r="S849" t="s">
        <v>57</v>
      </c>
      <c r="T849" t="s">
        <v>58</v>
      </c>
      <c r="U849" t="s">
        <v>119</v>
      </c>
      <c r="V849">
        <v>0.55790099999999998</v>
      </c>
      <c r="W849">
        <v>2024</v>
      </c>
      <c r="X849" t="s">
        <v>176</v>
      </c>
      <c r="Y849" t="s">
        <v>187</v>
      </c>
      <c r="Z849" t="str">
        <f t="shared" si="26"/>
        <v>Mayor que 80 - hasta 100</v>
      </c>
      <c r="AA849">
        <f t="shared" si="27"/>
        <v>1</v>
      </c>
      <c r="AB849">
        <v>68081</v>
      </c>
      <c r="AC849" t="s">
        <v>282</v>
      </c>
      <c r="AD849" t="s">
        <v>283</v>
      </c>
      <c r="AE849">
        <v>0</v>
      </c>
      <c r="AF849" t="s">
        <v>63</v>
      </c>
      <c r="AG849">
        <v>0</v>
      </c>
      <c r="AH849" t="s">
        <v>282</v>
      </c>
      <c r="AI849" t="s">
        <v>284</v>
      </c>
      <c r="AJ849">
        <v>3.3671090000000001</v>
      </c>
      <c r="AK849" t="s">
        <v>84</v>
      </c>
      <c r="AL849">
        <v>110.86021599999999</v>
      </c>
      <c r="AM849" s="4" t="s">
        <v>64</v>
      </c>
      <c r="AN849" s="5">
        <v>60105.403151186154</v>
      </c>
      <c r="AO849" s="4" t="s">
        <v>64</v>
      </c>
      <c r="AP849" s="6">
        <v>945</v>
      </c>
      <c r="AQ849">
        <v>3</v>
      </c>
      <c r="AR849">
        <v>64968.373681999998</v>
      </c>
      <c r="AS849" t="s">
        <v>66</v>
      </c>
      <c r="AT849" t="s">
        <v>53</v>
      </c>
    </row>
    <row r="850" spans="1:46">
      <c r="A850">
        <v>977</v>
      </c>
      <c r="B850" t="s">
        <v>46</v>
      </c>
      <c r="C850">
        <v>68</v>
      </c>
      <c r="D850">
        <v>92</v>
      </c>
      <c r="E850" t="s">
        <v>143</v>
      </c>
      <c r="F850" t="s">
        <v>1186</v>
      </c>
      <c r="G850">
        <v>68092</v>
      </c>
      <c r="H850">
        <v>68092</v>
      </c>
      <c r="I850" t="s">
        <v>49</v>
      </c>
      <c r="J850">
        <v>6804</v>
      </c>
      <c r="K850" t="s">
        <v>1194</v>
      </c>
      <c r="L850" t="s">
        <v>80</v>
      </c>
      <c r="M850" t="s">
        <v>53</v>
      </c>
      <c r="N850">
        <v>6241</v>
      </c>
      <c r="O850" t="s">
        <v>53</v>
      </c>
      <c r="P850" t="s">
        <v>70</v>
      </c>
      <c r="Q850" t="s">
        <v>71</v>
      </c>
      <c r="R850" t="s">
        <v>72</v>
      </c>
      <c r="S850" t="s">
        <v>57</v>
      </c>
      <c r="T850" t="s">
        <v>58</v>
      </c>
      <c r="U850" t="s">
        <v>81</v>
      </c>
      <c r="V850">
        <v>0.20041200000000001</v>
      </c>
      <c r="W850" t="s">
        <v>53</v>
      </c>
      <c r="X850" t="s">
        <v>53</v>
      </c>
      <c r="Y850" t="s">
        <v>87</v>
      </c>
      <c r="Z850" t="str">
        <f t="shared" si="26"/>
        <v>Mayor que 40 - hasta 50</v>
      </c>
      <c r="AA850">
        <f t="shared" si="27"/>
        <v>1</v>
      </c>
      <c r="AB850">
        <v>68092</v>
      </c>
      <c r="AC850" t="s">
        <v>282</v>
      </c>
      <c r="AD850" t="s">
        <v>1195</v>
      </c>
      <c r="AE850">
        <v>3.463546</v>
      </c>
      <c r="AF850" t="s">
        <v>84</v>
      </c>
      <c r="AG850">
        <v>59.678384000000001</v>
      </c>
      <c r="AH850" t="s">
        <v>282</v>
      </c>
      <c r="AI850" t="s">
        <v>284</v>
      </c>
      <c r="AJ850">
        <v>3.9865119999999998</v>
      </c>
      <c r="AK850" t="s">
        <v>84</v>
      </c>
      <c r="AL850">
        <v>75.222244000000003</v>
      </c>
      <c r="AM850" s="4" t="s">
        <v>64</v>
      </c>
      <c r="AN850" s="5">
        <v>25885.064081952361</v>
      </c>
      <c r="AO850" s="4" t="s">
        <v>65</v>
      </c>
      <c r="AP850" s="6">
        <v>774</v>
      </c>
      <c r="AQ850">
        <v>4</v>
      </c>
      <c r="AR850">
        <v>20520.565261</v>
      </c>
      <c r="AS850" t="s">
        <v>66</v>
      </c>
      <c r="AT850" t="s">
        <v>53</v>
      </c>
    </row>
    <row r="851" spans="1:46">
      <c r="A851">
        <v>1054</v>
      </c>
      <c r="B851" t="s">
        <v>46</v>
      </c>
      <c r="C851">
        <v>68</v>
      </c>
      <c r="D851">
        <v>101</v>
      </c>
      <c r="E851" t="s">
        <v>334</v>
      </c>
      <c r="F851" t="s">
        <v>1186</v>
      </c>
      <c r="G851">
        <v>68101</v>
      </c>
      <c r="H851">
        <v>68101</v>
      </c>
      <c r="I851" t="s">
        <v>49</v>
      </c>
      <c r="J851">
        <v>6806</v>
      </c>
      <c r="K851" t="s">
        <v>1189</v>
      </c>
      <c r="L851" t="s">
        <v>80</v>
      </c>
      <c r="M851" t="s">
        <v>53</v>
      </c>
      <c r="N851">
        <v>11803</v>
      </c>
      <c r="O851" t="s">
        <v>53</v>
      </c>
      <c r="P851" t="s">
        <v>70</v>
      </c>
      <c r="Q851" t="s">
        <v>71</v>
      </c>
      <c r="R851" t="s">
        <v>122</v>
      </c>
      <c r="S851" t="s">
        <v>57</v>
      </c>
      <c r="T851" t="s">
        <v>73</v>
      </c>
      <c r="U851" t="s">
        <v>59</v>
      </c>
      <c r="V851">
        <v>0.86263500000000004</v>
      </c>
      <c r="W851" t="s">
        <v>53</v>
      </c>
      <c r="X851" t="s">
        <v>53</v>
      </c>
      <c r="Y851" t="s">
        <v>167</v>
      </c>
      <c r="Z851" t="str">
        <f t="shared" si="26"/>
        <v>Mayor que 50 - hasta 60</v>
      </c>
      <c r="AA851">
        <f t="shared" si="27"/>
        <v>1</v>
      </c>
      <c r="AB851">
        <v>68101</v>
      </c>
      <c r="AC851" t="s">
        <v>282</v>
      </c>
      <c r="AD851" t="s">
        <v>88</v>
      </c>
      <c r="AE851">
        <v>0.78912199999999999</v>
      </c>
      <c r="AF851" t="s">
        <v>63</v>
      </c>
      <c r="AG851">
        <v>22.945079</v>
      </c>
      <c r="AH851" t="s">
        <v>234</v>
      </c>
      <c r="AI851" t="s">
        <v>407</v>
      </c>
      <c r="AJ851">
        <v>3.3515030000000001</v>
      </c>
      <c r="AK851" t="s">
        <v>84</v>
      </c>
      <c r="AL851">
        <v>89.656053</v>
      </c>
      <c r="AM851" s="4" t="s">
        <v>64</v>
      </c>
      <c r="AN851" s="5">
        <v>28070.032932924958</v>
      </c>
      <c r="AO851" s="4" t="s">
        <v>65</v>
      </c>
      <c r="AP851" s="6">
        <v>5159</v>
      </c>
      <c r="AQ851">
        <v>3</v>
      </c>
      <c r="AR851">
        <v>34189.778200000001</v>
      </c>
      <c r="AS851" t="s">
        <v>66</v>
      </c>
      <c r="AT851" t="s">
        <v>53</v>
      </c>
    </row>
    <row r="852" spans="1:46">
      <c r="A852">
        <v>978</v>
      </c>
      <c r="B852" t="s">
        <v>46</v>
      </c>
      <c r="C852">
        <v>68</v>
      </c>
      <c r="D852">
        <v>121</v>
      </c>
      <c r="E852" t="s">
        <v>770</v>
      </c>
      <c r="F852" t="s">
        <v>1186</v>
      </c>
      <c r="G852">
        <v>68121</v>
      </c>
      <c r="H852">
        <v>68121</v>
      </c>
      <c r="I852" t="s">
        <v>49</v>
      </c>
      <c r="J852">
        <v>6803</v>
      </c>
      <c r="K852" t="s">
        <v>1191</v>
      </c>
      <c r="L852" t="s">
        <v>80</v>
      </c>
      <c r="M852" t="s">
        <v>53</v>
      </c>
      <c r="N852">
        <v>2022</v>
      </c>
      <c r="O852" t="s">
        <v>53</v>
      </c>
      <c r="P852" t="s">
        <v>70</v>
      </c>
      <c r="Q852" t="s">
        <v>71</v>
      </c>
      <c r="R852" t="s">
        <v>93</v>
      </c>
      <c r="S852" t="s">
        <v>57</v>
      </c>
      <c r="T852" t="s">
        <v>58</v>
      </c>
      <c r="U852" t="s">
        <v>81</v>
      </c>
      <c r="V852">
        <v>0.43473699999999998</v>
      </c>
      <c r="W852" t="s">
        <v>53</v>
      </c>
      <c r="X852" t="s">
        <v>53</v>
      </c>
      <c r="Y852" t="s">
        <v>116</v>
      </c>
      <c r="Z852" t="str">
        <f t="shared" si="26"/>
        <v>Mayor que 30 - hasta 40</v>
      </c>
      <c r="AA852">
        <f t="shared" si="27"/>
        <v>1</v>
      </c>
      <c r="AB852">
        <v>68121</v>
      </c>
      <c r="AC852" t="s">
        <v>282</v>
      </c>
      <c r="AD852" t="s">
        <v>1192</v>
      </c>
      <c r="AE852">
        <v>0.86055000000000004</v>
      </c>
      <c r="AF852" t="s">
        <v>63</v>
      </c>
      <c r="AG852">
        <v>19.609545000000001</v>
      </c>
      <c r="AH852" t="s">
        <v>282</v>
      </c>
      <c r="AI852" t="s">
        <v>284</v>
      </c>
      <c r="AJ852">
        <v>3.728259</v>
      </c>
      <c r="AK852" t="s">
        <v>84</v>
      </c>
      <c r="AL852">
        <v>106.314127</v>
      </c>
      <c r="AM852" s="4" t="s">
        <v>65</v>
      </c>
      <c r="AN852" s="5">
        <v>3517.1450499241009</v>
      </c>
      <c r="AO852" s="4" t="s">
        <v>65</v>
      </c>
      <c r="AP852" s="6">
        <v>789</v>
      </c>
      <c r="AQ852">
        <v>3</v>
      </c>
      <c r="AR852">
        <v>5371.7777900000001</v>
      </c>
      <c r="AS852" t="s">
        <v>66</v>
      </c>
      <c r="AT852" t="s">
        <v>53</v>
      </c>
    </row>
    <row r="853" spans="1:46">
      <c r="A853">
        <v>979</v>
      </c>
      <c r="B853" t="s">
        <v>46</v>
      </c>
      <c r="C853">
        <v>68</v>
      </c>
      <c r="D853">
        <v>132</v>
      </c>
      <c r="E853" t="s">
        <v>1196</v>
      </c>
      <c r="F853" t="s">
        <v>1186</v>
      </c>
      <c r="G853">
        <v>68132</v>
      </c>
      <c r="H853">
        <v>68132</v>
      </c>
      <c r="I853" t="s">
        <v>49</v>
      </c>
      <c r="J853">
        <v>6805</v>
      </c>
      <c r="K853" t="s">
        <v>1187</v>
      </c>
      <c r="L853" t="s">
        <v>69</v>
      </c>
      <c r="M853" t="s">
        <v>53</v>
      </c>
      <c r="N853">
        <v>2246</v>
      </c>
      <c r="O853" t="s">
        <v>53</v>
      </c>
      <c r="P853" t="s">
        <v>70</v>
      </c>
      <c r="Q853" t="s">
        <v>71</v>
      </c>
      <c r="R853" t="s">
        <v>122</v>
      </c>
      <c r="S853" t="s">
        <v>57</v>
      </c>
      <c r="T853" t="s">
        <v>58</v>
      </c>
      <c r="U853" t="s">
        <v>81</v>
      </c>
      <c r="V853">
        <v>0.545045</v>
      </c>
      <c r="W853" t="s">
        <v>53</v>
      </c>
      <c r="X853" t="s">
        <v>53</v>
      </c>
      <c r="Y853" t="s">
        <v>102</v>
      </c>
      <c r="Z853" t="str">
        <f t="shared" si="26"/>
        <v>Mayor que 20 - hasta 30</v>
      </c>
      <c r="AA853">
        <f t="shared" si="27"/>
        <v>1</v>
      </c>
      <c r="AB853">
        <v>68132</v>
      </c>
      <c r="AC853" t="s">
        <v>685</v>
      </c>
      <c r="AD853" t="s">
        <v>1127</v>
      </c>
      <c r="AE853">
        <v>2.9293939999999998</v>
      </c>
      <c r="AF853" t="s">
        <v>77</v>
      </c>
      <c r="AG853">
        <v>65.525188</v>
      </c>
      <c r="AH853" t="s">
        <v>282</v>
      </c>
      <c r="AI853" t="s">
        <v>284</v>
      </c>
      <c r="AJ853">
        <v>3.1895570000000002</v>
      </c>
      <c r="AK853" t="s">
        <v>84</v>
      </c>
      <c r="AL853">
        <v>48.614423000000002</v>
      </c>
      <c r="AM853" s="4" t="s">
        <v>64</v>
      </c>
      <c r="AN853" s="5">
        <v>2029.6503740634616</v>
      </c>
      <c r="AO853" s="4" t="s">
        <v>65</v>
      </c>
      <c r="AP853" s="6">
        <v>307</v>
      </c>
      <c r="AQ853">
        <v>4</v>
      </c>
      <c r="AR853">
        <v>2821.113319</v>
      </c>
      <c r="AS853" t="s">
        <v>66</v>
      </c>
      <c r="AT853" t="s">
        <v>53</v>
      </c>
    </row>
    <row r="854" spans="1:46">
      <c r="A854">
        <v>980</v>
      </c>
      <c r="B854" t="s">
        <v>46</v>
      </c>
      <c r="C854">
        <v>68</v>
      </c>
      <c r="D854">
        <v>147</v>
      </c>
      <c r="E854" t="s">
        <v>1197</v>
      </c>
      <c r="F854" t="s">
        <v>1186</v>
      </c>
      <c r="G854">
        <v>68147</v>
      </c>
      <c r="H854">
        <v>68147</v>
      </c>
      <c r="I854" t="s">
        <v>49</v>
      </c>
      <c r="J854">
        <v>6802</v>
      </c>
      <c r="K854" t="s">
        <v>1198</v>
      </c>
      <c r="L854" t="s">
        <v>91</v>
      </c>
      <c r="M854" t="s">
        <v>53</v>
      </c>
      <c r="N854">
        <v>5687</v>
      </c>
      <c r="O854" t="s">
        <v>53</v>
      </c>
      <c r="P854" t="s">
        <v>70</v>
      </c>
      <c r="Q854" t="s">
        <v>71</v>
      </c>
      <c r="R854" t="s">
        <v>56</v>
      </c>
      <c r="S854" t="s">
        <v>57</v>
      </c>
      <c r="T854" t="s">
        <v>58</v>
      </c>
      <c r="U854" t="s">
        <v>81</v>
      </c>
      <c r="V854">
        <v>0.67089600000000005</v>
      </c>
      <c r="W854" t="s">
        <v>53</v>
      </c>
      <c r="X854" t="s">
        <v>53</v>
      </c>
      <c r="Y854" t="s">
        <v>87</v>
      </c>
      <c r="Z854" t="str">
        <f t="shared" si="26"/>
        <v>Mayor que 40 - hasta 50</v>
      </c>
      <c r="AA854">
        <f t="shared" si="27"/>
        <v>1</v>
      </c>
      <c r="AB854">
        <v>68147</v>
      </c>
      <c r="AC854" t="s">
        <v>234</v>
      </c>
      <c r="AD854" t="s">
        <v>421</v>
      </c>
      <c r="AE854">
        <v>3.7573059999999998</v>
      </c>
      <c r="AF854" t="s">
        <v>84</v>
      </c>
      <c r="AG854">
        <v>120.809459</v>
      </c>
      <c r="AH854" t="s">
        <v>282</v>
      </c>
      <c r="AI854" t="s">
        <v>284</v>
      </c>
      <c r="AJ854">
        <v>4.8236129999999999</v>
      </c>
      <c r="AK854" t="s">
        <v>85</v>
      </c>
      <c r="AL854">
        <v>140.03027399999999</v>
      </c>
      <c r="AM854" s="4" t="s">
        <v>65</v>
      </c>
      <c r="AN854" s="5">
        <v>3858.0122732655027</v>
      </c>
      <c r="AO854" s="4" t="s">
        <v>65</v>
      </c>
      <c r="AP854" s="6">
        <v>1171</v>
      </c>
      <c r="AQ854">
        <v>4</v>
      </c>
      <c r="AR854">
        <v>4493.1442159999997</v>
      </c>
      <c r="AS854" t="s">
        <v>66</v>
      </c>
      <c r="AT854" t="s">
        <v>53</v>
      </c>
    </row>
    <row r="855" spans="1:46">
      <c r="A855">
        <v>981</v>
      </c>
      <c r="B855" t="s">
        <v>46</v>
      </c>
      <c r="C855">
        <v>68</v>
      </c>
      <c r="D855">
        <v>152</v>
      </c>
      <c r="E855" t="s">
        <v>1199</v>
      </c>
      <c r="F855" t="s">
        <v>1186</v>
      </c>
      <c r="G855">
        <v>68152</v>
      </c>
      <c r="H855">
        <v>68152</v>
      </c>
      <c r="I855" t="s">
        <v>49</v>
      </c>
      <c r="J855">
        <v>6802</v>
      </c>
      <c r="K855" t="s">
        <v>1198</v>
      </c>
      <c r="L855" t="s">
        <v>80</v>
      </c>
      <c r="M855" t="s">
        <v>53</v>
      </c>
      <c r="N855">
        <v>4427</v>
      </c>
      <c r="O855" t="s">
        <v>53</v>
      </c>
      <c r="P855" t="s">
        <v>70</v>
      </c>
      <c r="Q855" t="s">
        <v>71</v>
      </c>
      <c r="R855" t="s">
        <v>56</v>
      </c>
      <c r="S855" t="s">
        <v>57</v>
      </c>
      <c r="T855" t="s">
        <v>58</v>
      </c>
      <c r="U855" t="s">
        <v>81</v>
      </c>
      <c r="V855">
        <v>0.66434300000000002</v>
      </c>
      <c r="W855" t="s">
        <v>53</v>
      </c>
      <c r="X855" t="s">
        <v>53</v>
      </c>
      <c r="Y855" t="s">
        <v>102</v>
      </c>
      <c r="Z855" t="str">
        <f t="shared" si="26"/>
        <v>Mayor que 20 - hasta 30</v>
      </c>
      <c r="AA855">
        <f t="shared" si="27"/>
        <v>1</v>
      </c>
      <c r="AB855">
        <v>68152</v>
      </c>
      <c r="AC855" t="s">
        <v>685</v>
      </c>
      <c r="AD855" t="s">
        <v>1127</v>
      </c>
      <c r="AE855">
        <v>5.0047899999999998</v>
      </c>
      <c r="AF855" t="s">
        <v>211</v>
      </c>
      <c r="AG855">
        <v>121.355548</v>
      </c>
      <c r="AH855" t="s">
        <v>282</v>
      </c>
      <c r="AI855" t="s">
        <v>284</v>
      </c>
      <c r="AJ855">
        <v>5.6387179999999999</v>
      </c>
      <c r="AK855" t="s">
        <v>181</v>
      </c>
      <c r="AL855">
        <v>140.913117</v>
      </c>
      <c r="AM855" s="4" t="s">
        <v>65</v>
      </c>
      <c r="AN855" s="5">
        <v>9617.2667789627412</v>
      </c>
      <c r="AO855" s="4" t="s">
        <v>65</v>
      </c>
      <c r="AP855" s="6">
        <v>2484</v>
      </c>
      <c r="AQ855">
        <v>3</v>
      </c>
      <c r="AR855">
        <v>7751.0131259999998</v>
      </c>
      <c r="AS855" t="s">
        <v>66</v>
      </c>
      <c r="AT855" t="s">
        <v>53</v>
      </c>
    </row>
    <row r="856" spans="1:46">
      <c r="A856">
        <v>982</v>
      </c>
      <c r="B856" t="s">
        <v>46</v>
      </c>
      <c r="C856">
        <v>68</v>
      </c>
      <c r="D856">
        <v>160</v>
      </c>
      <c r="E856" t="s">
        <v>1200</v>
      </c>
      <c r="F856" t="s">
        <v>1186</v>
      </c>
      <c r="G856">
        <v>68160</v>
      </c>
      <c r="H856">
        <v>68160</v>
      </c>
      <c r="I856" t="s">
        <v>49</v>
      </c>
      <c r="J856">
        <v>6802</v>
      </c>
      <c r="K856" t="s">
        <v>1198</v>
      </c>
      <c r="L856" t="s">
        <v>80</v>
      </c>
      <c r="M856" t="s">
        <v>53</v>
      </c>
      <c r="N856">
        <v>2100</v>
      </c>
      <c r="O856" t="s">
        <v>53</v>
      </c>
      <c r="P856" t="s">
        <v>70</v>
      </c>
      <c r="Q856" t="s">
        <v>71</v>
      </c>
      <c r="R856" t="s">
        <v>56</v>
      </c>
      <c r="S856" t="s">
        <v>57</v>
      </c>
      <c r="T856" t="s">
        <v>58</v>
      </c>
      <c r="U856" t="s">
        <v>81</v>
      </c>
      <c r="V856">
        <v>0.84204299999999999</v>
      </c>
      <c r="W856" t="s">
        <v>53</v>
      </c>
      <c r="X856" t="s">
        <v>53</v>
      </c>
      <c r="Y856" t="s">
        <v>102</v>
      </c>
      <c r="Z856" t="str">
        <f t="shared" si="26"/>
        <v>Mayor que 20 - hasta 30</v>
      </c>
      <c r="AA856">
        <f t="shared" si="27"/>
        <v>1</v>
      </c>
      <c r="AB856">
        <v>68160</v>
      </c>
      <c r="AC856" t="s">
        <v>282</v>
      </c>
      <c r="AD856" t="s">
        <v>1195</v>
      </c>
      <c r="AE856">
        <v>1.228604</v>
      </c>
      <c r="AF856" t="s">
        <v>76</v>
      </c>
      <c r="AG856">
        <v>39.937468000000003</v>
      </c>
      <c r="AH856" t="s">
        <v>282</v>
      </c>
      <c r="AI856" t="s">
        <v>284</v>
      </c>
      <c r="AJ856">
        <v>1.768332</v>
      </c>
      <c r="AK856" t="s">
        <v>76</v>
      </c>
      <c r="AL856">
        <v>56.447012999999998</v>
      </c>
      <c r="AM856" s="4" t="s">
        <v>97</v>
      </c>
      <c r="AN856" s="5">
        <v>4547.3941387842569</v>
      </c>
      <c r="AO856" s="4" t="s">
        <v>65</v>
      </c>
      <c r="AP856" s="6">
        <v>724</v>
      </c>
      <c r="AQ856">
        <v>4</v>
      </c>
      <c r="AR856">
        <v>9835.6302269999996</v>
      </c>
      <c r="AS856" t="s">
        <v>66</v>
      </c>
      <c r="AT856" t="s">
        <v>53</v>
      </c>
    </row>
    <row r="857" spans="1:46">
      <c r="A857">
        <v>983</v>
      </c>
      <c r="B857" t="s">
        <v>46</v>
      </c>
      <c r="C857">
        <v>68</v>
      </c>
      <c r="D857">
        <v>162</v>
      </c>
      <c r="E857" t="s">
        <v>1201</v>
      </c>
      <c r="F857" t="s">
        <v>1186</v>
      </c>
      <c r="G857">
        <v>68162</v>
      </c>
      <c r="H857">
        <v>68162</v>
      </c>
      <c r="I857" t="s">
        <v>49</v>
      </c>
      <c r="J857">
        <v>6802</v>
      </c>
      <c r="K857" t="s">
        <v>1198</v>
      </c>
      <c r="L857" t="s">
        <v>69</v>
      </c>
      <c r="M857" t="s">
        <v>53</v>
      </c>
      <c r="N857">
        <v>7062</v>
      </c>
      <c r="O857" t="s">
        <v>53</v>
      </c>
      <c r="P857" t="s">
        <v>70</v>
      </c>
      <c r="Q857" t="s">
        <v>71</v>
      </c>
      <c r="R857" t="s">
        <v>122</v>
      </c>
      <c r="S857" t="s">
        <v>57</v>
      </c>
      <c r="T857" t="s">
        <v>58</v>
      </c>
      <c r="U857" t="s">
        <v>81</v>
      </c>
      <c r="V857">
        <v>0.31239299999999998</v>
      </c>
      <c r="W857" t="s">
        <v>53</v>
      </c>
      <c r="X857" t="s">
        <v>53</v>
      </c>
      <c r="Y857" t="s">
        <v>87</v>
      </c>
      <c r="Z857" t="str">
        <f t="shared" si="26"/>
        <v>Mayor que 40 - hasta 50</v>
      </c>
      <c r="AA857">
        <f t="shared" si="27"/>
        <v>1</v>
      </c>
      <c r="AB857">
        <v>68162</v>
      </c>
      <c r="AC857" t="s">
        <v>685</v>
      </c>
      <c r="AD857" t="s">
        <v>1127</v>
      </c>
      <c r="AE857">
        <v>2.6763490000000001</v>
      </c>
      <c r="AF857" t="s">
        <v>77</v>
      </c>
      <c r="AG857">
        <v>86.660720999999995</v>
      </c>
      <c r="AH857" t="s">
        <v>282</v>
      </c>
      <c r="AI857" t="s">
        <v>284</v>
      </c>
      <c r="AJ857">
        <v>4.672301</v>
      </c>
      <c r="AK857" t="s">
        <v>85</v>
      </c>
      <c r="AL857">
        <v>135.14621199999999</v>
      </c>
      <c r="AM857" s="4" t="s">
        <v>64</v>
      </c>
      <c r="AN857" s="5">
        <v>7006.0484419520417</v>
      </c>
      <c r="AO857" s="4" t="s">
        <v>65</v>
      </c>
      <c r="AP857" s="6">
        <v>1181</v>
      </c>
      <c r="AQ857">
        <v>3</v>
      </c>
      <c r="AR857">
        <v>8064.9367499999998</v>
      </c>
      <c r="AS857" t="s">
        <v>66</v>
      </c>
      <c r="AT857" t="s">
        <v>53</v>
      </c>
    </row>
    <row r="858" spans="1:46">
      <c r="A858">
        <v>984</v>
      </c>
      <c r="B858" t="s">
        <v>46</v>
      </c>
      <c r="C858">
        <v>68</v>
      </c>
      <c r="D858">
        <v>167</v>
      </c>
      <c r="E858" t="s">
        <v>1202</v>
      </c>
      <c r="F858" t="s">
        <v>1186</v>
      </c>
      <c r="G858">
        <v>68167</v>
      </c>
      <c r="H858">
        <v>68167</v>
      </c>
      <c r="I858" t="s">
        <v>49</v>
      </c>
      <c r="J858">
        <v>6803</v>
      </c>
      <c r="K858" t="s">
        <v>1191</v>
      </c>
      <c r="L858" t="s">
        <v>69</v>
      </c>
      <c r="M858" t="s">
        <v>53</v>
      </c>
      <c r="N858">
        <v>12734</v>
      </c>
      <c r="O858" t="s">
        <v>53</v>
      </c>
      <c r="P858" t="s">
        <v>70</v>
      </c>
      <c r="Q858" t="s">
        <v>71</v>
      </c>
      <c r="R858" t="s">
        <v>105</v>
      </c>
      <c r="S858" t="s">
        <v>57</v>
      </c>
      <c r="T858" t="s">
        <v>58</v>
      </c>
      <c r="U858" t="s">
        <v>81</v>
      </c>
      <c r="V858">
        <v>0.407806</v>
      </c>
      <c r="W858" t="s">
        <v>53</v>
      </c>
      <c r="X858" t="s">
        <v>53</v>
      </c>
      <c r="Y858" t="s">
        <v>87</v>
      </c>
      <c r="Z858" t="str">
        <f t="shared" si="26"/>
        <v>Mayor que 40 - hasta 50</v>
      </c>
      <c r="AA858">
        <f t="shared" si="27"/>
        <v>1</v>
      </c>
      <c r="AB858">
        <v>68167</v>
      </c>
      <c r="AC858" t="s">
        <v>282</v>
      </c>
      <c r="AD858" t="s">
        <v>1192</v>
      </c>
      <c r="AE858">
        <v>1.4260360000000001</v>
      </c>
      <c r="AF858" t="s">
        <v>76</v>
      </c>
      <c r="AG858">
        <v>36.901933999999997</v>
      </c>
      <c r="AH858" t="s">
        <v>282</v>
      </c>
      <c r="AI858" t="s">
        <v>284</v>
      </c>
      <c r="AJ858">
        <v>4.2537940000000001</v>
      </c>
      <c r="AK858" t="s">
        <v>85</v>
      </c>
      <c r="AL858">
        <v>121.733723</v>
      </c>
      <c r="AM858" s="4" t="s">
        <v>64</v>
      </c>
      <c r="AN858" s="5">
        <v>15006.142938652141</v>
      </c>
      <c r="AO858" s="4" t="s">
        <v>65</v>
      </c>
      <c r="AP858" s="6">
        <v>3551</v>
      </c>
      <c r="AQ858">
        <v>3</v>
      </c>
      <c r="AR858">
        <v>16677.86491</v>
      </c>
      <c r="AS858" t="s">
        <v>66</v>
      </c>
      <c r="AT858" t="s">
        <v>53</v>
      </c>
    </row>
    <row r="859" spans="1:46">
      <c r="A859">
        <v>985</v>
      </c>
      <c r="B859" t="s">
        <v>46</v>
      </c>
      <c r="C859">
        <v>68</v>
      </c>
      <c r="D859">
        <v>169</v>
      </c>
      <c r="E859" t="s">
        <v>1203</v>
      </c>
      <c r="F859" t="s">
        <v>1186</v>
      </c>
      <c r="G859">
        <v>68169</v>
      </c>
      <c r="H859">
        <v>68169</v>
      </c>
      <c r="I859" t="s">
        <v>49</v>
      </c>
      <c r="J859">
        <v>6805</v>
      </c>
      <c r="K859" t="s">
        <v>1187</v>
      </c>
      <c r="L859" t="s">
        <v>80</v>
      </c>
      <c r="M859" t="s">
        <v>53</v>
      </c>
      <c r="N859">
        <v>3007</v>
      </c>
      <c r="O859" t="s">
        <v>53</v>
      </c>
      <c r="P859" t="s">
        <v>70</v>
      </c>
      <c r="Q859" t="s">
        <v>71</v>
      </c>
      <c r="R859" t="s">
        <v>105</v>
      </c>
      <c r="S859" t="s">
        <v>57</v>
      </c>
      <c r="T859" t="s">
        <v>73</v>
      </c>
      <c r="U859" t="s">
        <v>81</v>
      </c>
      <c r="V859">
        <v>0.13614000000000001</v>
      </c>
      <c r="W859" t="s">
        <v>53</v>
      </c>
      <c r="X859" t="s">
        <v>53</v>
      </c>
      <c r="Y859" t="s">
        <v>102</v>
      </c>
      <c r="Z859" t="str">
        <f t="shared" si="26"/>
        <v>Mayor que 20 - hasta 30</v>
      </c>
      <c r="AA859">
        <f t="shared" si="27"/>
        <v>1</v>
      </c>
      <c r="AB859">
        <v>68169</v>
      </c>
      <c r="AC859" t="s">
        <v>282</v>
      </c>
      <c r="AD859" t="s">
        <v>284</v>
      </c>
      <c r="AE859">
        <v>2.874549</v>
      </c>
      <c r="AF859" t="s">
        <v>77</v>
      </c>
      <c r="AG859">
        <v>36.733303999999997</v>
      </c>
      <c r="AH859" t="s">
        <v>282</v>
      </c>
      <c r="AI859" t="s">
        <v>284</v>
      </c>
      <c r="AJ859">
        <v>2.8533729999999999</v>
      </c>
      <c r="AK859" t="s">
        <v>77</v>
      </c>
      <c r="AL859">
        <v>37.433304</v>
      </c>
      <c r="AM859" s="4" t="s">
        <v>65</v>
      </c>
      <c r="AN859" s="5">
        <v>6669.6978441695192</v>
      </c>
      <c r="AO859" s="4" t="s">
        <v>65</v>
      </c>
      <c r="AP859" s="6">
        <v>1224</v>
      </c>
      <c r="AQ859">
        <v>4</v>
      </c>
      <c r="AR859">
        <v>6654.3197579999996</v>
      </c>
      <c r="AS859" t="s">
        <v>66</v>
      </c>
      <c r="AT859" t="s">
        <v>53</v>
      </c>
    </row>
    <row r="860" spans="1:46">
      <c r="A860">
        <v>986</v>
      </c>
      <c r="B860" t="s">
        <v>46</v>
      </c>
      <c r="C860">
        <v>68</v>
      </c>
      <c r="D860">
        <v>176</v>
      </c>
      <c r="E860" t="s">
        <v>712</v>
      </c>
      <c r="F860" t="s">
        <v>1186</v>
      </c>
      <c r="G860">
        <v>68176</v>
      </c>
      <c r="H860">
        <v>68176</v>
      </c>
      <c r="I860" t="s">
        <v>49</v>
      </c>
      <c r="J860">
        <v>6801</v>
      </c>
      <c r="K860" t="s">
        <v>1204</v>
      </c>
      <c r="L860" t="s">
        <v>80</v>
      </c>
      <c r="M860" t="s">
        <v>53</v>
      </c>
      <c r="N860">
        <v>2977</v>
      </c>
      <c r="O860" t="s">
        <v>53</v>
      </c>
      <c r="P860" t="s">
        <v>70</v>
      </c>
      <c r="Q860" t="s">
        <v>71</v>
      </c>
      <c r="R860" t="s">
        <v>294</v>
      </c>
      <c r="S860" t="s">
        <v>57</v>
      </c>
      <c r="T860" t="s">
        <v>58</v>
      </c>
      <c r="U860" t="s">
        <v>59</v>
      </c>
      <c r="V860">
        <v>0.47611599999999998</v>
      </c>
      <c r="W860" t="s">
        <v>53</v>
      </c>
      <c r="X860" t="s">
        <v>53</v>
      </c>
      <c r="Y860" t="s">
        <v>102</v>
      </c>
      <c r="Z860" t="str">
        <f t="shared" si="26"/>
        <v>Mayor que 20 - hasta 30</v>
      </c>
      <c r="AA860">
        <f t="shared" si="27"/>
        <v>1</v>
      </c>
      <c r="AB860">
        <v>68176</v>
      </c>
      <c r="AC860" t="s">
        <v>282</v>
      </c>
      <c r="AD860" t="s">
        <v>1205</v>
      </c>
      <c r="AE860">
        <v>1.157597</v>
      </c>
      <c r="AF860" t="s">
        <v>76</v>
      </c>
      <c r="AG860">
        <v>26.697770999999999</v>
      </c>
      <c r="AH860" t="s">
        <v>282</v>
      </c>
      <c r="AI860" t="s">
        <v>284</v>
      </c>
      <c r="AJ860">
        <v>4.7270989999999999</v>
      </c>
      <c r="AK860" t="s">
        <v>85</v>
      </c>
      <c r="AL860">
        <v>134.17463900000001</v>
      </c>
      <c r="AM860" s="4" t="s">
        <v>64</v>
      </c>
      <c r="AN860" s="5">
        <v>7227.9946008379184</v>
      </c>
      <c r="AO860" s="4" t="s">
        <v>65</v>
      </c>
      <c r="AP860" s="6">
        <v>1064</v>
      </c>
      <c r="AQ860">
        <v>4</v>
      </c>
      <c r="AR860">
        <v>10680.053773</v>
      </c>
      <c r="AS860" t="s">
        <v>66</v>
      </c>
      <c r="AT860" t="s">
        <v>53</v>
      </c>
    </row>
    <row r="861" spans="1:46">
      <c r="A861">
        <v>987</v>
      </c>
      <c r="B861" t="s">
        <v>46</v>
      </c>
      <c r="C861">
        <v>68</v>
      </c>
      <c r="D861">
        <v>179</v>
      </c>
      <c r="E861" t="s">
        <v>1206</v>
      </c>
      <c r="F861" t="s">
        <v>1186</v>
      </c>
      <c r="G861">
        <v>68179</v>
      </c>
      <c r="H861">
        <v>68179</v>
      </c>
      <c r="I861" t="s">
        <v>49</v>
      </c>
      <c r="J861">
        <v>6806</v>
      </c>
      <c r="K861" t="s">
        <v>1189</v>
      </c>
      <c r="L861" t="s">
        <v>69</v>
      </c>
      <c r="M861" t="s">
        <v>53</v>
      </c>
      <c r="N861">
        <v>5309</v>
      </c>
      <c r="O861" t="s">
        <v>53</v>
      </c>
      <c r="P861" t="s">
        <v>70</v>
      </c>
      <c r="Q861" t="s">
        <v>71</v>
      </c>
      <c r="R861" t="s">
        <v>105</v>
      </c>
      <c r="S861" t="s">
        <v>57</v>
      </c>
      <c r="T861" t="s">
        <v>58</v>
      </c>
      <c r="U861" t="s">
        <v>81</v>
      </c>
      <c r="V861">
        <v>0.64852100000000001</v>
      </c>
      <c r="W861" t="s">
        <v>53</v>
      </c>
      <c r="X861" t="s">
        <v>53</v>
      </c>
      <c r="Y861" t="s">
        <v>165</v>
      </c>
      <c r="Z861" t="str">
        <f t="shared" si="26"/>
        <v>Mayor que 60 - hasta 70</v>
      </c>
      <c r="AA861">
        <f t="shared" si="27"/>
        <v>1</v>
      </c>
      <c r="AB861">
        <v>68179</v>
      </c>
      <c r="AC861" t="s">
        <v>282</v>
      </c>
      <c r="AD861" t="s">
        <v>88</v>
      </c>
      <c r="AE861">
        <v>0.805705</v>
      </c>
      <c r="AF861" t="s">
        <v>63</v>
      </c>
      <c r="AG861">
        <v>23.927921999999999</v>
      </c>
      <c r="AH861" t="s">
        <v>234</v>
      </c>
      <c r="AI861" t="s">
        <v>407</v>
      </c>
      <c r="AJ861">
        <v>3.3680859999999999</v>
      </c>
      <c r="AK861" t="s">
        <v>84</v>
      </c>
      <c r="AL861">
        <v>90.638896000000003</v>
      </c>
      <c r="AM861" s="4" t="s">
        <v>65</v>
      </c>
      <c r="AN861" s="5">
        <v>8249.0198355140383</v>
      </c>
      <c r="AO861" s="4" t="s">
        <v>65</v>
      </c>
      <c r="AP861" s="6">
        <v>3879</v>
      </c>
      <c r="AQ861">
        <v>2</v>
      </c>
      <c r="AR861">
        <v>3933.4876330000002</v>
      </c>
      <c r="AS861" t="s">
        <v>66</v>
      </c>
      <c r="AT861" t="s">
        <v>53</v>
      </c>
    </row>
    <row r="862" spans="1:46">
      <c r="A862">
        <v>988</v>
      </c>
      <c r="B862" t="s">
        <v>46</v>
      </c>
      <c r="C862">
        <v>68</v>
      </c>
      <c r="D862">
        <v>190</v>
      </c>
      <c r="E862" t="s">
        <v>1207</v>
      </c>
      <c r="F862" t="s">
        <v>1186</v>
      </c>
      <c r="G862">
        <v>68190</v>
      </c>
      <c r="H862">
        <v>68190</v>
      </c>
      <c r="I862" t="s">
        <v>49</v>
      </c>
      <c r="J862">
        <v>6806</v>
      </c>
      <c r="K862" t="s">
        <v>1189</v>
      </c>
      <c r="L862" t="s">
        <v>69</v>
      </c>
      <c r="M862" t="s">
        <v>53</v>
      </c>
      <c r="N862">
        <v>35464</v>
      </c>
      <c r="O862" t="s">
        <v>53</v>
      </c>
      <c r="P862" t="s">
        <v>92</v>
      </c>
      <c r="Q862" t="s">
        <v>71</v>
      </c>
      <c r="R862" t="s">
        <v>122</v>
      </c>
      <c r="S862" t="s">
        <v>57</v>
      </c>
      <c r="T862" t="s">
        <v>58</v>
      </c>
      <c r="U862" t="s">
        <v>59</v>
      </c>
      <c r="V862">
        <v>0.54653399999999996</v>
      </c>
      <c r="W862" t="s">
        <v>53</v>
      </c>
      <c r="X862" t="s">
        <v>53</v>
      </c>
      <c r="Y862" t="s">
        <v>167</v>
      </c>
      <c r="Z862" t="str">
        <f t="shared" si="26"/>
        <v>Mayor que 50 - hasta 60</v>
      </c>
      <c r="AA862">
        <f t="shared" si="27"/>
        <v>1</v>
      </c>
      <c r="AB862">
        <v>68190</v>
      </c>
      <c r="AC862" t="s">
        <v>61</v>
      </c>
      <c r="AD862" t="s">
        <v>159</v>
      </c>
      <c r="AE862">
        <v>1.577788</v>
      </c>
      <c r="AF862" t="s">
        <v>76</v>
      </c>
      <c r="AG862">
        <v>72.708029999999994</v>
      </c>
      <c r="AH862" t="s">
        <v>282</v>
      </c>
      <c r="AI862" t="s">
        <v>284</v>
      </c>
      <c r="AJ862">
        <v>4.5821379999999996</v>
      </c>
      <c r="AK862" t="s">
        <v>85</v>
      </c>
      <c r="AL862">
        <v>197.43069199999999</v>
      </c>
      <c r="AM862" s="4" t="s">
        <v>64</v>
      </c>
      <c r="AN862" s="5">
        <v>154642.72858735474</v>
      </c>
      <c r="AO862" s="4" t="s">
        <v>64</v>
      </c>
      <c r="AP862" s="6">
        <v>2267</v>
      </c>
      <c r="AQ862">
        <v>3</v>
      </c>
      <c r="AR862">
        <v>205662.31761999999</v>
      </c>
      <c r="AS862" t="s">
        <v>66</v>
      </c>
      <c r="AT862" t="s">
        <v>53</v>
      </c>
    </row>
    <row r="863" spans="1:46">
      <c r="A863">
        <v>989</v>
      </c>
      <c r="B863" t="s">
        <v>46</v>
      </c>
      <c r="C863">
        <v>68</v>
      </c>
      <c r="D863">
        <v>207</v>
      </c>
      <c r="E863" t="s">
        <v>175</v>
      </c>
      <c r="F863" t="s">
        <v>1186</v>
      </c>
      <c r="G863">
        <v>68207</v>
      </c>
      <c r="H863">
        <v>68207</v>
      </c>
      <c r="I863" t="s">
        <v>49</v>
      </c>
      <c r="J863">
        <v>6802</v>
      </c>
      <c r="K863" t="s">
        <v>1198</v>
      </c>
      <c r="L863" t="s">
        <v>69</v>
      </c>
      <c r="M863" t="s">
        <v>53</v>
      </c>
      <c r="N863">
        <v>6016</v>
      </c>
      <c r="O863" t="s">
        <v>53</v>
      </c>
      <c r="P863" t="s">
        <v>70</v>
      </c>
      <c r="Q863" t="s">
        <v>71</v>
      </c>
      <c r="R863" t="s">
        <v>56</v>
      </c>
      <c r="S863" t="s">
        <v>57</v>
      </c>
      <c r="T863" t="s">
        <v>58</v>
      </c>
      <c r="U863" t="s">
        <v>59</v>
      </c>
      <c r="V863">
        <v>0.37735800000000003</v>
      </c>
      <c r="W863" t="s">
        <v>53</v>
      </c>
      <c r="X863" t="s">
        <v>53</v>
      </c>
      <c r="Y863" t="s">
        <v>116</v>
      </c>
      <c r="Z863" t="str">
        <f t="shared" si="26"/>
        <v>Mayor que 30 - hasta 40</v>
      </c>
      <c r="AA863">
        <f t="shared" si="27"/>
        <v>1</v>
      </c>
      <c r="AB863">
        <v>68207</v>
      </c>
      <c r="AC863" t="s">
        <v>685</v>
      </c>
      <c r="AD863" t="s">
        <v>1127</v>
      </c>
      <c r="AE863">
        <v>3.0288400000000002</v>
      </c>
      <c r="AF863" t="s">
        <v>84</v>
      </c>
      <c r="AG863">
        <v>95.796255000000002</v>
      </c>
      <c r="AH863" t="s">
        <v>282</v>
      </c>
      <c r="AI863" t="s">
        <v>284</v>
      </c>
      <c r="AJ863">
        <v>4.3217059999999998</v>
      </c>
      <c r="AK863" t="s">
        <v>85</v>
      </c>
      <c r="AL863">
        <v>125.644993</v>
      </c>
      <c r="AM863" s="4" t="s">
        <v>65</v>
      </c>
      <c r="AN863" s="5">
        <v>7406.3057686612874</v>
      </c>
      <c r="AO863" s="4" t="s">
        <v>65</v>
      </c>
      <c r="AP863" s="6">
        <v>2060</v>
      </c>
      <c r="AQ863">
        <v>3</v>
      </c>
      <c r="AR863">
        <v>8061.5728310000004</v>
      </c>
      <c r="AS863" t="s">
        <v>66</v>
      </c>
      <c r="AT863" t="s">
        <v>53</v>
      </c>
    </row>
    <row r="864" spans="1:46">
      <c r="A864">
        <v>990</v>
      </c>
      <c r="B864" t="s">
        <v>46</v>
      </c>
      <c r="C864">
        <v>68</v>
      </c>
      <c r="D864">
        <v>209</v>
      </c>
      <c r="E864" t="s">
        <v>1208</v>
      </c>
      <c r="F864" t="s">
        <v>1186</v>
      </c>
      <c r="G864">
        <v>68209</v>
      </c>
      <c r="H864">
        <v>68209</v>
      </c>
      <c r="I864" t="s">
        <v>49</v>
      </c>
      <c r="J864">
        <v>6801</v>
      </c>
      <c r="K864" t="s">
        <v>1204</v>
      </c>
      <c r="L864" t="s">
        <v>80</v>
      </c>
      <c r="M864" t="s">
        <v>53</v>
      </c>
      <c r="N864">
        <v>3235</v>
      </c>
      <c r="O864" t="s">
        <v>53</v>
      </c>
      <c r="P864" t="s">
        <v>70</v>
      </c>
      <c r="Q864" t="s">
        <v>71</v>
      </c>
      <c r="R864" t="s">
        <v>122</v>
      </c>
      <c r="S864" t="s">
        <v>57</v>
      </c>
      <c r="T864" t="s">
        <v>58</v>
      </c>
      <c r="U864" t="s">
        <v>81</v>
      </c>
      <c r="V864">
        <v>0.27773300000000001</v>
      </c>
      <c r="W864" t="s">
        <v>53</v>
      </c>
      <c r="X864" t="s">
        <v>53</v>
      </c>
      <c r="Y864" t="s">
        <v>87</v>
      </c>
      <c r="Z864" t="str">
        <f t="shared" si="26"/>
        <v>Mayor que 40 - hasta 50</v>
      </c>
      <c r="AA864">
        <f t="shared" si="27"/>
        <v>1</v>
      </c>
      <c r="AB864">
        <v>68209</v>
      </c>
      <c r="AC864" t="s">
        <v>282</v>
      </c>
      <c r="AD864" t="s">
        <v>1205</v>
      </c>
      <c r="AE864">
        <v>0.73610399999999998</v>
      </c>
      <c r="AF864" t="s">
        <v>63</v>
      </c>
      <c r="AG864">
        <v>15.605382000000001</v>
      </c>
      <c r="AH864" t="s">
        <v>282</v>
      </c>
      <c r="AI864" t="s">
        <v>284</v>
      </c>
      <c r="AJ864">
        <v>4.305606</v>
      </c>
      <c r="AK864" t="s">
        <v>85</v>
      </c>
      <c r="AL864">
        <v>123.082251</v>
      </c>
      <c r="AM864" s="4" t="s">
        <v>65</v>
      </c>
      <c r="AN864" s="5">
        <v>4720.7584115633799</v>
      </c>
      <c r="AO864" s="4" t="s">
        <v>65</v>
      </c>
      <c r="AP864" s="6">
        <v>1079</v>
      </c>
      <c r="AQ864">
        <v>3</v>
      </c>
      <c r="AR864">
        <v>2182.0271299999999</v>
      </c>
      <c r="AS864" t="s">
        <v>66</v>
      </c>
      <c r="AT864" t="s">
        <v>53</v>
      </c>
    </row>
    <row r="865" spans="1:46">
      <c r="A865">
        <v>1034</v>
      </c>
      <c r="B865" t="s">
        <v>46</v>
      </c>
      <c r="C865">
        <v>68</v>
      </c>
      <c r="D865">
        <v>211</v>
      </c>
      <c r="E865" t="s">
        <v>1209</v>
      </c>
      <c r="F865" t="s">
        <v>1186</v>
      </c>
      <c r="G865">
        <v>68211</v>
      </c>
      <c r="H865">
        <v>68211</v>
      </c>
      <c r="I865" t="s">
        <v>49</v>
      </c>
      <c r="J865">
        <v>6801</v>
      </c>
      <c r="K865" t="s">
        <v>1204</v>
      </c>
      <c r="L865" t="s">
        <v>69</v>
      </c>
      <c r="M865" t="s">
        <v>53</v>
      </c>
      <c r="N865">
        <v>3834</v>
      </c>
      <c r="O865" t="s">
        <v>53</v>
      </c>
      <c r="P865" t="s">
        <v>70</v>
      </c>
      <c r="Q865" t="s">
        <v>71</v>
      </c>
      <c r="R865" t="s">
        <v>93</v>
      </c>
      <c r="S865" t="s">
        <v>57</v>
      </c>
      <c r="T865" t="s">
        <v>58</v>
      </c>
      <c r="U865" t="s">
        <v>81</v>
      </c>
      <c r="V865">
        <v>0.21701100000000001</v>
      </c>
      <c r="W865" t="s">
        <v>53</v>
      </c>
      <c r="X865" t="s">
        <v>53</v>
      </c>
      <c r="Y865" t="s">
        <v>102</v>
      </c>
      <c r="Z865" t="str">
        <f t="shared" si="26"/>
        <v>Mayor que 20 - hasta 30</v>
      </c>
      <c r="AA865">
        <f t="shared" si="27"/>
        <v>1</v>
      </c>
      <c r="AB865">
        <v>68211</v>
      </c>
      <c r="AC865" t="s">
        <v>282</v>
      </c>
      <c r="AD865" t="s">
        <v>1205</v>
      </c>
      <c r="AE865">
        <v>2.422072</v>
      </c>
      <c r="AF865" t="s">
        <v>77</v>
      </c>
      <c r="AG865">
        <v>42.490158999999998</v>
      </c>
      <c r="AH865" t="s">
        <v>234</v>
      </c>
      <c r="AI865" t="s">
        <v>407</v>
      </c>
      <c r="AJ865">
        <v>5.6560879999999996</v>
      </c>
      <c r="AK865" t="s">
        <v>181</v>
      </c>
      <c r="AL865">
        <v>146.85575700000001</v>
      </c>
      <c r="AM865" s="4" t="s">
        <v>64</v>
      </c>
      <c r="AN865" s="5">
        <v>4741.5198002279121</v>
      </c>
      <c r="AO865" s="4" t="s">
        <v>65</v>
      </c>
      <c r="AP865" s="6">
        <v>1001</v>
      </c>
      <c r="AQ865">
        <v>4</v>
      </c>
      <c r="AR865">
        <v>9038.8945910000002</v>
      </c>
      <c r="AS865" t="s">
        <v>66</v>
      </c>
      <c r="AT865" t="s">
        <v>53</v>
      </c>
    </row>
    <row r="866" spans="1:46">
      <c r="A866">
        <v>1035</v>
      </c>
      <c r="B866" t="s">
        <v>46</v>
      </c>
      <c r="C866">
        <v>68</v>
      </c>
      <c r="D866">
        <v>217</v>
      </c>
      <c r="E866" t="s">
        <v>1210</v>
      </c>
      <c r="F866" t="s">
        <v>1186</v>
      </c>
      <c r="G866">
        <v>68217</v>
      </c>
      <c r="H866">
        <v>68217</v>
      </c>
      <c r="I866" t="s">
        <v>49</v>
      </c>
      <c r="J866">
        <v>6803</v>
      </c>
      <c r="K866" t="s">
        <v>1191</v>
      </c>
      <c r="L866" t="s">
        <v>80</v>
      </c>
      <c r="M866" t="s">
        <v>53</v>
      </c>
      <c r="N866">
        <v>5250</v>
      </c>
      <c r="O866" t="s">
        <v>53</v>
      </c>
      <c r="P866" t="s">
        <v>70</v>
      </c>
      <c r="Q866" t="s">
        <v>71</v>
      </c>
      <c r="R866" t="s">
        <v>72</v>
      </c>
      <c r="S866" t="s">
        <v>57</v>
      </c>
      <c r="T866" t="s">
        <v>58</v>
      </c>
      <c r="U866" t="s">
        <v>81</v>
      </c>
      <c r="V866">
        <v>0.46956999999999999</v>
      </c>
      <c r="W866" t="s">
        <v>53</v>
      </c>
      <c r="X866" t="s">
        <v>53</v>
      </c>
      <c r="Y866" t="s">
        <v>116</v>
      </c>
      <c r="Z866" t="str">
        <f t="shared" si="26"/>
        <v>Mayor que 30 - hasta 40</v>
      </c>
      <c r="AA866">
        <f t="shared" si="27"/>
        <v>1</v>
      </c>
      <c r="AB866">
        <v>68217</v>
      </c>
      <c r="AC866" t="s">
        <v>282</v>
      </c>
      <c r="AD866" t="s">
        <v>1192</v>
      </c>
      <c r="AE866">
        <v>2.7121729999999999</v>
      </c>
      <c r="AF866" t="s">
        <v>77</v>
      </c>
      <c r="AG866">
        <v>48.848737</v>
      </c>
      <c r="AH866" t="s">
        <v>282</v>
      </c>
      <c r="AI866" t="s">
        <v>284</v>
      </c>
      <c r="AJ866">
        <v>5.5399310000000002</v>
      </c>
      <c r="AK866" t="s">
        <v>181</v>
      </c>
      <c r="AL866">
        <v>133.68052700000001</v>
      </c>
      <c r="AM866" s="4" t="s">
        <v>64</v>
      </c>
      <c r="AN866" s="5">
        <v>17411.503093112016</v>
      </c>
      <c r="AO866" s="4" t="s">
        <v>65</v>
      </c>
      <c r="AP866" s="6">
        <v>2980</v>
      </c>
      <c r="AQ866">
        <v>4</v>
      </c>
      <c r="AR866">
        <v>24491.146268</v>
      </c>
      <c r="AS866" t="s">
        <v>66</v>
      </c>
      <c r="AT866" t="s">
        <v>53</v>
      </c>
    </row>
    <row r="867" spans="1:46">
      <c r="A867">
        <v>1036</v>
      </c>
      <c r="B867" t="s">
        <v>46</v>
      </c>
      <c r="C867">
        <v>68</v>
      </c>
      <c r="D867">
        <v>229</v>
      </c>
      <c r="E867" t="s">
        <v>1211</v>
      </c>
      <c r="F867" t="s">
        <v>1186</v>
      </c>
      <c r="G867">
        <v>68229</v>
      </c>
      <c r="H867">
        <v>68229</v>
      </c>
      <c r="I867" t="s">
        <v>49</v>
      </c>
      <c r="J867">
        <v>6803</v>
      </c>
      <c r="K867" t="s">
        <v>1191</v>
      </c>
      <c r="L867" t="s">
        <v>91</v>
      </c>
      <c r="M867" t="s">
        <v>53</v>
      </c>
      <c r="N867">
        <v>13227</v>
      </c>
      <c r="O867" t="s">
        <v>53</v>
      </c>
      <c r="P867" t="s">
        <v>70</v>
      </c>
      <c r="Q867" t="s">
        <v>71</v>
      </c>
      <c r="R867" t="s">
        <v>122</v>
      </c>
      <c r="S867" t="s">
        <v>57</v>
      </c>
      <c r="T867" t="s">
        <v>58</v>
      </c>
      <c r="U867" t="s">
        <v>81</v>
      </c>
      <c r="V867">
        <v>0.35331400000000002</v>
      </c>
      <c r="W867" t="s">
        <v>53</v>
      </c>
      <c r="X867" t="s">
        <v>53</v>
      </c>
      <c r="Y867" t="s">
        <v>127</v>
      </c>
      <c r="Z867" t="str">
        <f t="shared" si="26"/>
        <v>Mayor que 70 - hasta 80</v>
      </c>
      <c r="AA867">
        <f t="shared" si="27"/>
        <v>1</v>
      </c>
      <c r="AB867">
        <v>68229</v>
      </c>
      <c r="AC867" t="s">
        <v>282</v>
      </c>
      <c r="AD867" t="s">
        <v>1192</v>
      </c>
      <c r="AE867">
        <v>0.48953000000000002</v>
      </c>
      <c r="AF867" t="s">
        <v>63</v>
      </c>
      <c r="AG867">
        <v>12.236753</v>
      </c>
      <c r="AH867" t="s">
        <v>282</v>
      </c>
      <c r="AI867" t="s">
        <v>284</v>
      </c>
      <c r="AJ867">
        <v>2.5717020000000002</v>
      </c>
      <c r="AK867" t="s">
        <v>77</v>
      </c>
      <c r="AL867">
        <v>76.374934999999994</v>
      </c>
      <c r="AM867" s="4" t="s">
        <v>64</v>
      </c>
      <c r="AN867" s="5">
        <v>11260.208311385713</v>
      </c>
      <c r="AO867" s="4" t="s">
        <v>65</v>
      </c>
      <c r="AP867" s="6">
        <v>2567</v>
      </c>
      <c r="AQ867">
        <v>3</v>
      </c>
      <c r="AR867">
        <v>10539.824784</v>
      </c>
      <c r="AS867" t="s">
        <v>66</v>
      </c>
      <c r="AT867" t="s">
        <v>53</v>
      </c>
    </row>
    <row r="868" spans="1:46">
      <c r="A868">
        <v>1037</v>
      </c>
      <c r="B868" t="s">
        <v>46</v>
      </c>
      <c r="C868">
        <v>68</v>
      </c>
      <c r="D868">
        <v>235</v>
      </c>
      <c r="E868" t="s">
        <v>1212</v>
      </c>
      <c r="F868" t="s">
        <v>1186</v>
      </c>
      <c r="G868">
        <v>68235</v>
      </c>
      <c r="H868">
        <v>68235</v>
      </c>
      <c r="I868" t="s">
        <v>49</v>
      </c>
      <c r="J868">
        <v>6804</v>
      </c>
      <c r="K868" t="s">
        <v>1194</v>
      </c>
      <c r="L868" t="s">
        <v>80</v>
      </c>
      <c r="M868" t="s">
        <v>53</v>
      </c>
      <c r="N868">
        <v>22419</v>
      </c>
      <c r="O868" t="s">
        <v>53</v>
      </c>
      <c r="P868" t="s">
        <v>70</v>
      </c>
      <c r="Q868" t="s">
        <v>71</v>
      </c>
      <c r="R868" t="s">
        <v>122</v>
      </c>
      <c r="S868" t="s">
        <v>57</v>
      </c>
      <c r="T868" t="s">
        <v>58</v>
      </c>
      <c r="U868" t="s">
        <v>59</v>
      </c>
      <c r="V868">
        <v>0.48469899999999999</v>
      </c>
      <c r="W868">
        <v>2024</v>
      </c>
      <c r="X868" t="s">
        <v>217</v>
      </c>
      <c r="Y868" t="s">
        <v>218</v>
      </c>
      <c r="Z868" t="str">
        <f t="shared" si="26"/>
        <v>Mayor que 40 - hasta 50</v>
      </c>
      <c r="AA868">
        <f t="shared" si="27"/>
        <v>0</v>
      </c>
      <c r="AB868">
        <v>68235</v>
      </c>
      <c r="AC868" t="s">
        <v>282</v>
      </c>
      <c r="AD868" t="s">
        <v>283</v>
      </c>
      <c r="AE868">
        <v>3.0736319999999999</v>
      </c>
      <c r="AF868" t="s">
        <v>84</v>
      </c>
      <c r="AG868">
        <v>76.556557999999995</v>
      </c>
      <c r="AH868" t="s">
        <v>282</v>
      </c>
      <c r="AI868" t="s">
        <v>284</v>
      </c>
      <c r="AJ868">
        <v>4.9979259999999996</v>
      </c>
      <c r="AK868" t="s">
        <v>85</v>
      </c>
      <c r="AL868">
        <v>152.74743100000001</v>
      </c>
      <c r="AM868" t="s">
        <v>64</v>
      </c>
      <c r="AN868" s="7">
        <v>763.59094853456156</v>
      </c>
      <c r="AO868" t="s">
        <v>65</v>
      </c>
      <c r="AP868" s="3">
        <v>99</v>
      </c>
      <c r="AQ868">
        <v>1</v>
      </c>
      <c r="AR868">
        <v>1222.581369</v>
      </c>
      <c r="AS868" t="s">
        <v>66</v>
      </c>
      <c r="AT868" t="s">
        <v>53</v>
      </c>
    </row>
    <row r="869" spans="1:46">
      <c r="A869">
        <v>1038</v>
      </c>
      <c r="B869" t="s">
        <v>46</v>
      </c>
      <c r="C869">
        <v>68</v>
      </c>
      <c r="D869">
        <v>245</v>
      </c>
      <c r="E869" t="s">
        <v>1213</v>
      </c>
      <c r="F869" t="s">
        <v>1186</v>
      </c>
      <c r="G869">
        <v>68245</v>
      </c>
      <c r="H869">
        <v>68245</v>
      </c>
      <c r="I869" t="s">
        <v>49</v>
      </c>
      <c r="J869">
        <v>6801</v>
      </c>
      <c r="K869" t="s">
        <v>1204</v>
      </c>
      <c r="L869" t="s">
        <v>80</v>
      </c>
      <c r="M869" t="s">
        <v>53</v>
      </c>
      <c r="N869">
        <v>2266</v>
      </c>
      <c r="O869" t="s">
        <v>53</v>
      </c>
      <c r="P869" t="s">
        <v>70</v>
      </c>
      <c r="Q869" t="s">
        <v>71</v>
      </c>
      <c r="R869" t="s">
        <v>56</v>
      </c>
      <c r="S869" t="s">
        <v>57</v>
      </c>
      <c r="T869" t="s">
        <v>58</v>
      </c>
      <c r="U869" t="s">
        <v>81</v>
      </c>
      <c r="V869">
        <v>0.78135600000000005</v>
      </c>
      <c r="W869" t="s">
        <v>53</v>
      </c>
      <c r="X869" t="s">
        <v>53</v>
      </c>
      <c r="Y869" t="s">
        <v>116</v>
      </c>
      <c r="Z869" t="str">
        <f t="shared" si="26"/>
        <v>Mayor que 30 - hasta 40</v>
      </c>
      <c r="AA869">
        <f t="shared" si="27"/>
        <v>1</v>
      </c>
      <c r="AB869">
        <v>68245</v>
      </c>
      <c r="AC869" t="s">
        <v>282</v>
      </c>
      <c r="AD869" t="s">
        <v>1205</v>
      </c>
      <c r="AE869">
        <v>2.6584819999999998</v>
      </c>
      <c r="AF869" t="s">
        <v>77</v>
      </c>
      <c r="AG869">
        <v>49.757063000000002</v>
      </c>
      <c r="AH869" t="s">
        <v>234</v>
      </c>
      <c r="AI869" t="s">
        <v>407</v>
      </c>
      <c r="AJ869">
        <v>5.5037440000000002</v>
      </c>
      <c r="AK869" t="s">
        <v>181</v>
      </c>
      <c r="AL869">
        <v>128.05504300000001</v>
      </c>
      <c r="AM869" s="4" t="s">
        <v>64</v>
      </c>
      <c r="AN869" s="5">
        <v>5744.0587542064723</v>
      </c>
      <c r="AO869" s="4" t="s">
        <v>65</v>
      </c>
      <c r="AP869" s="6">
        <v>972</v>
      </c>
      <c r="AQ869">
        <v>4</v>
      </c>
      <c r="AR869">
        <v>5251.2049889999998</v>
      </c>
      <c r="AS869" t="s">
        <v>66</v>
      </c>
      <c r="AT869" t="s">
        <v>53</v>
      </c>
    </row>
    <row r="870" spans="1:46">
      <c r="A870">
        <v>1055</v>
      </c>
      <c r="B870" t="s">
        <v>46</v>
      </c>
      <c r="C870">
        <v>68</v>
      </c>
      <c r="D870">
        <v>250</v>
      </c>
      <c r="E870" t="s">
        <v>375</v>
      </c>
      <c r="F870" t="s">
        <v>1186</v>
      </c>
      <c r="G870">
        <v>68250</v>
      </c>
      <c r="H870">
        <v>68250</v>
      </c>
      <c r="I870" t="s">
        <v>49</v>
      </c>
      <c r="J870">
        <v>6806</v>
      </c>
      <c r="K870" t="s">
        <v>1189</v>
      </c>
      <c r="L870" t="s">
        <v>80</v>
      </c>
      <c r="M870" t="s">
        <v>53</v>
      </c>
      <c r="N870">
        <v>5350</v>
      </c>
      <c r="O870" t="s">
        <v>53</v>
      </c>
      <c r="P870" t="s">
        <v>70</v>
      </c>
      <c r="Q870" t="s">
        <v>71</v>
      </c>
      <c r="R870" t="s">
        <v>93</v>
      </c>
      <c r="S870" t="s">
        <v>57</v>
      </c>
      <c r="T870" t="s">
        <v>58</v>
      </c>
      <c r="U870" t="s">
        <v>119</v>
      </c>
      <c r="V870">
        <v>0.72318899999999997</v>
      </c>
      <c r="W870" t="s">
        <v>53</v>
      </c>
      <c r="X870" t="s">
        <v>53</v>
      </c>
      <c r="Y870" t="s">
        <v>116</v>
      </c>
      <c r="Z870" t="str">
        <f t="shared" si="26"/>
        <v>Mayor que 30 - hasta 40</v>
      </c>
      <c r="AA870">
        <f t="shared" si="27"/>
        <v>1</v>
      </c>
      <c r="AB870">
        <v>68250</v>
      </c>
      <c r="AC870" t="s">
        <v>282</v>
      </c>
      <c r="AD870" t="s">
        <v>88</v>
      </c>
      <c r="AE870">
        <v>1.272186</v>
      </c>
      <c r="AF870" t="s">
        <v>76</v>
      </c>
      <c r="AG870">
        <v>34.019091000000003</v>
      </c>
      <c r="AH870" t="s">
        <v>234</v>
      </c>
      <c r="AI870" t="s">
        <v>407</v>
      </c>
      <c r="AJ870">
        <v>3.8345669999999998</v>
      </c>
      <c r="AK870" t="s">
        <v>84</v>
      </c>
      <c r="AL870">
        <v>100.730065</v>
      </c>
      <c r="AM870" s="4" t="s">
        <v>97</v>
      </c>
      <c r="AN870" s="5">
        <v>12458.503858045404</v>
      </c>
      <c r="AO870" s="4" t="s">
        <v>65</v>
      </c>
      <c r="AP870" s="6">
        <v>1778</v>
      </c>
      <c r="AQ870">
        <v>4</v>
      </c>
      <c r="AR870">
        <v>26355.448753000001</v>
      </c>
      <c r="AS870" t="s">
        <v>66</v>
      </c>
      <c r="AT870" t="s">
        <v>53</v>
      </c>
    </row>
    <row r="871" spans="1:46">
      <c r="A871">
        <v>1039</v>
      </c>
      <c r="B871" t="s">
        <v>46</v>
      </c>
      <c r="C871">
        <v>68</v>
      </c>
      <c r="D871">
        <v>255</v>
      </c>
      <c r="E871" t="s">
        <v>1214</v>
      </c>
      <c r="F871" t="s">
        <v>1186</v>
      </c>
      <c r="G871">
        <v>68255</v>
      </c>
      <c r="H871">
        <v>68255</v>
      </c>
      <c r="I871" t="s">
        <v>49</v>
      </c>
      <c r="J871">
        <v>6805</v>
      </c>
      <c r="K871" t="s">
        <v>1187</v>
      </c>
      <c r="L871" t="s">
        <v>69</v>
      </c>
      <c r="M871" t="s">
        <v>53</v>
      </c>
      <c r="N871">
        <v>14107</v>
      </c>
      <c r="O871" t="s">
        <v>53</v>
      </c>
      <c r="P871" t="s">
        <v>70</v>
      </c>
      <c r="Q871" t="s">
        <v>71</v>
      </c>
      <c r="R871" t="s">
        <v>105</v>
      </c>
      <c r="S871" t="s">
        <v>57</v>
      </c>
      <c r="T871" t="s">
        <v>73</v>
      </c>
      <c r="U871" t="s">
        <v>59</v>
      </c>
      <c r="V871">
        <v>0.70111000000000001</v>
      </c>
      <c r="W871" t="s">
        <v>53</v>
      </c>
      <c r="X871" t="s">
        <v>53</v>
      </c>
      <c r="Y871" t="s">
        <v>116</v>
      </c>
      <c r="Z871" t="str">
        <f t="shared" si="26"/>
        <v>Mayor que 30 - hasta 40</v>
      </c>
      <c r="AA871">
        <f t="shared" si="27"/>
        <v>1</v>
      </c>
      <c r="AB871">
        <v>68255</v>
      </c>
      <c r="AC871" t="s">
        <v>282</v>
      </c>
      <c r="AD871" t="s">
        <v>284</v>
      </c>
      <c r="AE871">
        <v>1.6412519999999999</v>
      </c>
      <c r="AF871" t="s">
        <v>76</v>
      </c>
      <c r="AG871">
        <v>47.971781999999997</v>
      </c>
      <c r="AH871" t="s">
        <v>282</v>
      </c>
      <c r="AI871" t="s">
        <v>284</v>
      </c>
      <c r="AJ871">
        <v>1.6200760000000001</v>
      </c>
      <c r="AK871" t="s">
        <v>76</v>
      </c>
      <c r="AL871">
        <v>48.671782</v>
      </c>
      <c r="AM871" s="4" t="s">
        <v>64</v>
      </c>
      <c r="AN871" s="5">
        <v>30719.939196644271</v>
      </c>
      <c r="AO871" s="4" t="s">
        <v>65</v>
      </c>
      <c r="AP871" s="6">
        <v>1265</v>
      </c>
      <c r="AQ871">
        <v>4</v>
      </c>
      <c r="AR871">
        <v>30338.948721000001</v>
      </c>
      <c r="AS871" t="s">
        <v>66</v>
      </c>
      <c r="AT871" t="s">
        <v>53</v>
      </c>
    </row>
    <row r="872" spans="1:46">
      <c r="A872">
        <v>1040</v>
      </c>
      <c r="B872" t="s">
        <v>46</v>
      </c>
      <c r="C872">
        <v>68</v>
      </c>
      <c r="D872">
        <v>264</v>
      </c>
      <c r="E872" t="s">
        <v>1215</v>
      </c>
      <c r="F872" t="s">
        <v>1186</v>
      </c>
      <c r="G872">
        <v>68264</v>
      </c>
      <c r="H872">
        <v>68264</v>
      </c>
      <c r="I872" t="s">
        <v>49</v>
      </c>
      <c r="J872">
        <v>6803</v>
      </c>
      <c r="K872" t="s">
        <v>1191</v>
      </c>
      <c r="L872" t="s">
        <v>80</v>
      </c>
      <c r="M872" t="s">
        <v>53</v>
      </c>
      <c r="N872">
        <v>2717</v>
      </c>
      <c r="O872" t="s">
        <v>53</v>
      </c>
      <c r="P872" t="s">
        <v>70</v>
      </c>
      <c r="Q872" t="s">
        <v>71</v>
      </c>
      <c r="R872" t="s">
        <v>56</v>
      </c>
      <c r="S872" t="s">
        <v>57</v>
      </c>
      <c r="T872" t="s">
        <v>58</v>
      </c>
      <c r="U872" t="s">
        <v>81</v>
      </c>
      <c r="V872">
        <v>0.49308999999999997</v>
      </c>
      <c r="W872" t="s">
        <v>53</v>
      </c>
      <c r="X872" t="s">
        <v>53</v>
      </c>
      <c r="Y872" t="s">
        <v>116</v>
      </c>
      <c r="Z872" t="str">
        <f t="shared" si="26"/>
        <v>Mayor que 30 - hasta 40</v>
      </c>
      <c r="AA872">
        <f t="shared" si="27"/>
        <v>1</v>
      </c>
      <c r="AB872">
        <v>68264</v>
      </c>
      <c r="AC872" t="s">
        <v>282</v>
      </c>
      <c r="AD872" t="s">
        <v>1192</v>
      </c>
      <c r="AE872">
        <v>2.4794100000000001</v>
      </c>
      <c r="AF872" t="s">
        <v>77</v>
      </c>
      <c r="AG872">
        <v>63.861227</v>
      </c>
      <c r="AH872" t="s">
        <v>234</v>
      </c>
      <c r="AI872" t="s">
        <v>407</v>
      </c>
      <c r="AJ872">
        <v>4.413481</v>
      </c>
      <c r="AK872" t="s">
        <v>85</v>
      </c>
      <c r="AL872">
        <v>106.659711</v>
      </c>
      <c r="AM872" s="4" t="s">
        <v>64</v>
      </c>
      <c r="AN872" s="5">
        <v>9453.4725050152592</v>
      </c>
      <c r="AO872" s="4" t="s">
        <v>65</v>
      </c>
      <c r="AP872" s="6">
        <v>1743</v>
      </c>
      <c r="AQ872">
        <v>3</v>
      </c>
      <c r="AR872">
        <v>12715.968080000001</v>
      </c>
      <c r="AS872" t="s">
        <v>66</v>
      </c>
      <c r="AT872" t="s">
        <v>53</v>
      </c>
    </row>
    <row r="873" spans="1:46">
      <c r="A873">
        <v>1041</v>
      </c>
      <c r="B873" t="s">
        <v>46</v>
      </c>
      <c r="C873">
        <v>68</v>
      </c>
      <c r="D873">
        <v>266</v>
      </c>
      <c r="E873" t="s">
        <v>1216</v>
      </c>
      <c r="F873" t="s">
        <v>1186</v>
      </c>
      <c r="G873">
        <v>68266</v>
      </c>
      <c r="H873">
        <v>68266</v>
      </c>
      <c r="I873" t="s">
        <v>49</v>
      </c>
      <c r="J873">
        <v>6802</v>
      </c>
      <c r="K873" t="s">
        <v>1198</v>
      </c>
      <c r="L873" t="s">
        <v>80</v>
      </c>
      <c r="M873" t="s">
        <v>53</v>
      </c>
      <c r="N873">
        <v>3629</v>
      </c>
      <c r="O873" t="s">
        <v>53</v>
      </c>
      <c r="P873" t="s">
        <v>70</v>
      </c>
      <c r="Q873" t="s">
        <v>71</v>
      </c>
      <c r="R873" t="s">
        <v>72</v>
      </c>
      <c r="S873" t="s">
        <v>57</v>
      </c>
      <c r="T873" t="s">
        <v>58</v>
      </c>
      <c r="U873" t="s">
        <v>81</v>
      </c>
      <c r="V873">
        <v>0.42759900000000001</v>
      </c>
      <c r="W873" t="s">
        <v>53</v>
      </c>
      <c r="X873" t="s">
        <v>53</v>
      </c>
      <c r="Y873" t="s">
        <v>116</v>
      </c>
      <c r="Z873" t="str">
        <f t="shared" si="26"/>
        <v>Mayor que 30 - hasta 40</v>
      </c>
      <c r="AA873">
        <f t="shared" si="27"/>
        <v>1</v>
      </c>
      <c r="AB873">
        <v>68266</v>
      </c>
      <c r="AC873" t="s">
        <v>685</v>
      </c>
      <c r="AD873" t="s">
        <v>1127</v>
      </c>
      <c r="AE873">
        <v>3.844617</v>
      </c>
      <c r="AF873" t="s">
        <v>84</v>
      </c>
      <c r="AG873">
        <v>108.304581</v>
      </c>
      <c r="AH873" t="s">
        <v>282</v>
      </c>
      <c r="AI873" t="s">
        <v>284</v>
      </c>
      <c r="AJ873">
        <v>4.4158840000000001</v>
      </c>
      <c r="AK873" t="s">
        <v>85</v>
      </c>
      <c r="AL873">
        <v>120.799408</v>
      </c>
      <c r="AM873" s="4" t="s">
        <v>65</v>
      </c>
      <c r="AN873" s="5">
        <v>5145.5249321670881</v>
      </c>
      <c r="AO873" s="4" t="s">
        <v>65</v>
      </c>
      <c r="AP873" s="6">
        <v>1543</v>
      </c>
      <c r="AQ873">
        <v>3</v>
      </c>
      <c r="AR873">
        <v>2850.7964270000002</v>
      </c>
      <c r="AS873" t="s">
        <v>66</v>
      </c>
      <c r="AT873" t="s">
        <v>53</v>
      </c>
    </row>
    <row r="874" spans="1:46">
      <c r="A874">
        <v>1042</v>
      </c>
      <c r="B874" t="s">
        <v>46</v>
      </c>
      <c r="C874">
        <v>68</v>
      </c>
      <c r="D874">
        <v>271</v>
      </c>
      <c r="E874" t="s">
        <v>1217</v>
      </c>
      <c r="F874" t="s">
        <v>1186</v>
      </c>
      <c r="G874">
        <v>68271</v>
      </c>
      <c r="H874">
        <v>68271</v>
      </c>
      <c r="I874" t="s">
        <v>49</v>
      </c>
      <c r="J874">
        <v>6806</v>
      </c>
      <c r="K874" t="s">
        <v>1189</v>
      </c>
      <c r="L874" t="s">
        <v>80</v>
      </c>
      <c r="M874" t="s">
        <v>53</v>
      </c>
      <c r="N874">
        <v>6021</v>
      </c>
      <c r="O874" t="s">
        <v>53</v>
      </c>
      <c r="P874" t="s">
        <v>70</v>
      </c>
      <c r="Q874" t="s">
        <v>71</v>
      </c>
      <c r="R874" t="s">
        <v>56</v>
      </c>
      <c r="S874" t="s">
        <v>57</v>
      </c>
      <c r="T874" t="s">
        <v>58</v>
      </c>
      <c r="U874" t="s">
        <v>81</v>
      </c>
      <c r="V874">
        <v>0.59393899999999999</v>
      </c>
      <c r="W874" t="s">
        <v>53</v>
      </c>
      <c r="X874" t="s">
        <v>53</v>
      </c>
      <c r="Y874" t="s">
        <v>87</v>
      </c>
      <c r="Z874" t="str">
        <f t="shared" si="26"/>
        <v>Mayor que 40 - hasta 50</v>
      </c>
      <c r="AA874">
        <f t="shared" si="27"/>
        <v>1</v>
      </c>
      <c r="AB874">
        <v>68271</v>
      </c>
      <c r="AC874" t="s">
        <v>234</v>
      </c>
      <c r="AD874" t="s">
        <v>428</v>
      </c>
      <c r="AE874">
        <v>2.174928</v>
      </c>
      <c r="AF874" t="s">
        <v>77</v>
      </c>
      <c r="AG874">
        <v>49.791378000000002</v>
      </c>
      <c r="AH874" t="s">
        <v>234</v>
      </c>
      <c r="AI874" t="s">
        <v>407</v>
      </c>
      <c r="AJ874">
        <v>3.9928680000000001</v>
      </c>
      <c r="AK874" t="s">
        <v>84</v>
      </c>
      <c r="AL874">
        <v>111.525397</v>
      </c>
      <c r="AM874" s="4" t="s">
        <v>65</v>
      </c>
      <c r="AN874" s="5">
        <v>10228.546277838279</v>
      </c>
      <c r="AO874" s="4" t="s">
        <v>65</v>
      </c>
      <c r="AP874" s="6">
        <v>1684</v>
      </c>
      <c r="AQ874">
        <v>4</v>
      </c>
      <c r="AR874">
        <v>6806.504089</v>
      </c>
      <c r="AS874" t="s">
        <v>66</v>
      </c>
      <c r="AT874" t="s">
        <v>53</v>
      </c>
    </row>
    <row r="875" spans="1:46">
      <c r="A875">
        <v>1053</v>
      </c>
      <c r="B875" t="s">
        <v>46</v>
      </c>
      <c r="C875">
        <v>68</v>
      </c>
      <c r="D875">
        <v>276</v>
      </c>
      <c r="E875" t="s">
        <v>1218</v>
      </c>
      <c r="F875" t="s">
        <v>1186</v>
      </c>
      <c r="G875">
        <v>68276</v>
      </c>
      <c r="H875">
        <v>68276</v>
      </c>
      <c r="I875" t="s">
        <v>49</v>
      </c>
      <c r="J875">
        <v>6805</v>
      </c>
      <c r="K875" t="s">
        <v>1187</v>
      </c>
      <c r="L875" t="s">
        <v>51</v>
      </c>
      <c r="M875" t="s">
        <v>53</v>
      </c>
      <c r="N875">
        <v>336155</v>
      </c>
      <c r="O875" t="s">
        <v>53</v>
      </c>
      <c r="P875" t="s">
        <v>54</v>
      </c>
      <c r="Q875" t="s">
        <v>138</v>
      </c>
      <c r="R875" t="s">
        <v>105</v>
      </c>
      <c r="S875" t="s">
        <v>57</v>
      </c>
      <c r="T875" t="s">
        <v>58</v>
      </c>
      <c r="U875" t="s">
        <v>81</v>
      </c>
      <c r="V875">
        <v>0.22000800000000001</v>
      </c>
      <c r="W875" t="s">
        <v>53</v>
      </c>
      <c r="X875" t="s">
        <v>53</v>
      </c>
      <c r="Y875" t="s">
        <v>136</v>
      </c>
      <c r="Z875" t="str">
        <f t="shared" si="26"/>
        <v>Mayor que 100 - hasta 120</v>
      </c>
      <c r="AA875">
        <f t="shared" si="27"/>
        <v>1</v>
      </c>
      <c r="AB875">
        <v>68276</v>
      </c>
      <c r="AC875" t="s">
        <v>282</v>
      </c>
      <c r="AD875" t="s">
        <v>1218</v>
      </c>
      <c r="AE875">
        <v>0</v>
      </c>
      <c r="AF875" t="s">
        <v>63</v>
      </c>
      <c r="AG875">
        <v>0</v>
      </c>
      <c r="AH875" t="s">
        <v>282</v>
      </c>
      <c r="AI875" t="s">
        <v>284</v>
      </c>
      <c r="AJ875">
        <v>0.363566</v>
      </c>
      <c r="AK875" t="s">
        <v>63</v>
      </c>
      <c r="AL875">
        <v>6.6284270000000003</v>
      </c>
      <c r="AM875" s="4" t="s">
        <v>65</v>
      </c>
      <c r="AN875" s="5">
        <v>4479.2574803070584</v>
      </c>
      <c r="AO875" s="4" t="s">
        <v>65</v>
      </c>
      <c r="AP875" s="6">
        <v>2117</v>
      </c>
      <c r="AQ875">
        <v>3</v>
      </c>
      <c r="AR875">
        <v>2748.7768719999999</v>
      </c>
      <c r="AS875" t="s">
        <v>66</v>
      </c>
      <c r="AT875" t="s">
        <v>53</v>
      </c>
    </row>
    <row r="876" spans="1:46">
      <c r="A876">
        <v>1043</v>
      </c>
      <c r="B876" t="s">
        <v>46</v>
      </c>
      <c r="C876">
        <v>68</v>
      </c>
      <c r="D876">
        <v>296</v>
      </c>
      <c r="E876" t="s">
        <v>1219</v>
      </c>
      <c r="F876" t="s">
        <v>1186</v>
      </c>
      <c r="G876">
        <v>68296</v>
      </c>
      <c r="H876">
        <v>68296</v>
      </c>
      <c r="I876" t="s">
        <v>49</v>
      </c>
      <c r="J876">
        <v>6801</v>
      </c>
      <c r="K876" t="s">
        <v>1204</v>
      </c>
      <c r="L876" t="s">
        <v>80</v>
      </c>
      <c r="M876" t="s">
        <v>53</v>
      </c>
      <c r="N876">
        <v>3005</v>
      </c>
      <c r="O876" t="s">
        <v>53</v>
      </c>
      <c r="P876" t="s">
        <v>70</v>
      </c>
      <c r="Q876" t="s">
        <v>71</v>
      </c>
      <c r="R876" t="s">
        <v>105</v>
      </c>
      <c r="S876" t="s">
        <v>57</v>
      </c>
      <c r="T876" t="s">
        <v>58</v>
      </c>
      <c r="U876" t="s">
        <v>81</v>
      </c>
      <c r="V876">
        <v>0.41134199999999999</v>
      </c>
      <c r="W876" t="s">
        <v>53</v>
      </c>
      <c r="X876" t="s">
        <v>53</v>
      </c>
      <c r="Y876" t="s">
        <v>87</v>
      </c>
      <c r="Z876" t="str">
        <f t="shared" si="26"/>
        <v>Mayor que 40 - hasta 50</v>
      </c>
      <c r="AA876">
        <f t="shared" si="27"/>
        <v>1</v>
      </c>
      <c r="AB876">
        <v>68296</v>
      </c>
      <c r="AC876" t="s">
        <v>282</v>
      </c>
      <c r="AD876" t="s">
        <v>1205</v>
      </c>
      <c r="AE876">
        <v>1.54725</v>
      </c>
      <c r="AF876" t="s">
        <v>76</v>
      </c>
      <c r="AG876">
        <v>27.369343000000001</v>
      </c>
      <c r="AH876" t="s">
        <v>282</v>
      </c>
      <c r="AI876" t="s">
        <v>284</v>
      </c>
      <c r="AJ876">
        <v>4.4015230000000001</v>
      </c>
      <c r="AK876" t="s">
        <v>85</v>
      </c>
      <c r="AL876">
        <v>106.534228</v>
      </c>
      <c r="AM876" s="4" t="s">
        <v>64</v>
      </c>
      <c r="AN876" s="5">
        <v>11912.175208097602</v>
      </c>
      <c r="AO876" s="4" t="s">
        <v>65</v>
      </c>
      <c r="AP876" s="6">
        <v>1131</v>
      </c>
      <c r="AQ876">
        <v>4</v>
      </c>
      <c r="AR876">
        <v>11984.121744</v>
      </c>
      <c r="AS876" t="s">
        <v>66</v>
      </c>
      <c r="AT876" t="s">
        <v>53</v>
      </c>
    </row>
    <row r="877" spans="1:46">
      <c r="A877">
        <v>1044</v>
      </c>
      <c r="B877" t="s">
        <v>46</v>
      </c>
      <c r="C877">
        <v>68</v>
      </c>
      <c r="D877">
        <v>298</v>
      </c>
      <c r="E877" t="s">
        <v>1220</v>
      </c>
      <c r="F877" t="s">
        <v>1186</v>
      </c>
      <c r="G877">
        <v>68298</v>
      </c>
      <c r="H877">
        <v>68298</v>
      </c>
      <c r="I877" t="s">
        <v>49</v>
      </c>
      <c r="J877">
        <v>6801</v>
      </c>
      <c r="K877" t="s">
        <v>1204</v>
      </c>
      <c r="L877" t="s">
        <v>80</v>
      </c>
      <c r="M877" t="s">
        <v>53</v>
      </c>
      <c r="N877">
        <v>4190</v>
      </c>
      <c r="O877" t="s">
        <v>53</v>
      </c>
      <c r="P877" t="s">
        <v>70</v>
      </c>
      <c r="Q877" t="s">
        <v>71</v>
      </c>
      <c r="R877" t="s">
        <v>105</v>
      </c>
      <c r="S877" t="s">
        <v>57</v>
      </c>
      <c r="T877" t="s">
        <v>58</v>
      </c>
      <c r="U877" t="s">
        <v>81</v>
      </c>
      <c r="V877">
        <v>0.78640399999999999</v>
      </c>
      <c r="W877" t="s">
        <v>53</v>
      </c>
      <c r="X877" t="s">
        <v>53</v>
      </c>
      <c r="Y877" t="s">
        <v>102</v>
      </c>
      <c r="Z877" t="str">
        <f t="shared" si="26"/>
        <v>Mayor que 20 - hasta 30</v>
      </c>
      <c r="AA877">
        <f t="shared" si="27"/>
        <v>1</v>
      </c>
      <c r="AB877">
        <v>68298</v>
      </c>
      <c r="AC877" t="s">
        <v>282</v>
      </c>
      <c r="AD877" t="s">
        <v>88</v>
      </c>
      <c r="AE877">
        <v>2.047482</v>
      </c>
      <c r="AF877" t="s">
        <v>77</v>
      </c>
      <c r="AG877">
        <v>53.257063000000002</v>
      </c>
      <c r="AH877" t="s">
        <v>234</v>
      </c>
      <c r="AI877" t="s">
        <v>407</v>
      </c>
      <c r="AJ877">
        <v>2.4467720000000002</v>
      </c>
      <c r="AK877" t="s">
        <v>77</v>
      </c>
      <c r="AL877">
        <v>65.182547</v>
      </c>
      <c r="AM877" s="4" t="s">
        <v>64</v>
      </c>
      <c r="AN877" s="5">
        <v>29263.90966041253</v>
      </c>
      <c r="AO877" s="4" t="s">
        <v>65</v>
      </c>
      <c r="AP877" s="6">
        <v>2263</v>
      </c>
      <c r="AQ877">
        <v>3</v>
      </c>
      <c r="AR877">
        <v>20908.352105000002</v>
      </c>
      <c r="AS877" t="s">
        <v>66</v>
      </c>
      <c r="AT877" t="s">
        <v>53</v>
      </c>
    </row>
    <row r="878" spans="1:46">
      <c r="A878">
        <v>1052</v>
      </c>
      <c r="B878" t="s">
        <v>46</v>
      </c>
      <c r="C878">
        <v>68</v>
      </c>
      <c r="D878">
        <v>307</v>
      </c>
      <c r="E878" t="s">
        <v>1221</v>
      </c>
      <c r="F878" t="s">
        <v>1186</v>
      </c>
      <c r="G878">
        <v>68307</v>
      </c>
      <c r="H878">
        <v>68307</v>
      </c>
      <c r="I878" t="s">
        <v>49</v>
      </c>
      <c r="J878">
        <v>6805</v>
      </c>
      <c r="K878" t="s">
        <v>1187</v>
      </c>
      <c r="L878" t="s">
        <v>51</v>
      </c>
      <c r="M878" t="s">
        <v>53</v>
      </c>
      <c r="N878">
        <v>174465</v>
      </c>
      <c r="O878" t="s">
        <v>53</v>
      </c>
      <c r="P878" t="s">
        <v>54</v>
      </c>
      <c r="Q878" t="s">
        <v>210</v>
      </c>
      <c r="R878" t="s">
        <v>105</v>
      </c>
      <c r="S878" t="s">
        <v>57</v>
      </c>
      <c r="T878" t="s">
        <v>58</v>
      </c>
      <c r="U878" t="s">
        <v>81</v>
      </c>
      <c r="V878">
        <v>0.23593900000000001</v>
      </c>
      <c r="W878" t="s">
        <v>53</v>
      </c>
      <c r="X878" t="s">
        <v>53</v>
      </c>
      <c r="Y878" t="s">
        <v>74</v>
      </c>
      <c r="Z878" t="str">
        <f t="shared" si="26"/>
        <v>Mayor que 140 - hasta 160</v>
      </c>
      <c r="AA878">
        <f t="shared" si="27"/>
        <v>1</v>
      </c>
      <c r="AB878">
        <v>68307</v>
      </c>
      <c r="AC878" t="s">
        <v>282</v>
      </c>
      <c r="AD878" t="s">
        <v>1222</v>
      </c>
      <c r="AE878">
        <v>0</v>
      </c>
      <c r="AF878" t="s">
        <v>63</v>
      </c>
      <c r="AG878">
        <v>0</v>
      </c>
      <c r="AH878" t="s">
        <v>282</v>
      </c>
      <c r="AI878" t="s">
        <v>284</v>
      </c>
      <c r="AJ878">
        <v>0.473881</v>
      </c>
      <c r="AK878" t="s">
        <v>63</v>
      </c>
      <c r="AL878">
        <v>10.484062</v>
      </c>
      <c r="AM878" s="4" t="s">
        <v>64</v>
      </c>
      <c r="AN878" s="5">
        <v>22302.060791401262</v>
      </c>
      <c r="AO878" s="4" t="s">
        <v>65</v>
      </c>
      <c r="AP878" s="6">
        <v>3421</v>
      </c>
      <c r="AQ878">
        <v>3</v>
      </c>
      <c r="AR878">
        <v>15254.878882000001</v>
      </c>
      <c r="AS878" t="s">
        <v>66</v>
      </c>
      <c r="AT878" t="s">
        <v>53</v>
      </c>
    </row>
    <row r="879" spans="1:46">
      <c r="A879">
        <v>1045</v>
      </c>
      <c r="B879" t="s">
        <v>46</v>
      </c>
      <c r="C879">
        <v>68</v>
      </c>
      <c r="D879">
        <v>318</v>
      </c>
      <c r="E879" t="s">
        <v>1223</v>
      </c>
      <c r="F879" t="s">
        <v>1186</v>
      </c>
      <c r="G879">
        <v>68318</v>
      </c>
      <c r="H879">
        <v>68318</v>
      </c>
      <c r="I879" t="s">
        <v>49</v>
      </c>
      <c r="J879">
        <v>6802</v>
      </c>
      <c r="K879" t="s">
        <v>1198</v>
      </c>
      <c r="L879" t="s">
        <v>69</v>
      </c>
      <c r="M879" t="s">
        <v>53</v>
      </c>
      <c r="N879">
        <v>6243</v>
      </c>
      <c r="O879" t="s">
        <v>53</v>
      </c>
      <c r="P879" t="s">
        <v>70</v>
      </c>
      <c r="Q879" t="s">
        <v>71</v>
      </c>
      <c r="R879" t="s">
        <v>72</v>
      </c>
      <c r="S879" t="s">
        <v>57</v>
      </c>
      <c r="T879" t="s">
        <v>58</v>
      </c>
      <c r="U879" t="s">
        <v>81</v>
      </c>
      <c r="V879">
        <v>0.54753300000000005</v>
      </c>
      <c r="W879" t="s">
        <v>53</v>
      </c>
      <c r="X879" t="s">
        <v>53</v>
      </c>
      <c r="Y879" t="s">
        <v>87</v>
      </c>
      <c r="Z879" t="str">
        <f t="shared" si="26"/>
        <v>Mayor que 40 - hasta 50</v>
      </c>
      <c r="AA879">
        <f t="shared" si="27"/>
        <v>1</v>
      </c>
      <c r="AB879">
        <v>68318</v>
      </c>
      <c r="AC879" t="s">
        <v>282</v>
      </c>
      <c r="AD879" t="s">
        <v>1195</v>
      </c>
      <c r="AE879">
        <v>1.932002</v>
      </c>
      <c r="AF879" t="s">
        <v>76</v>
      </c>
      <c r="AG879">
        <v>51.536962000000003</v>
      </c>
      <c r="AH879" t="s">
        <v>282</v>
      </c>
      <c r="AI879" t="s">
        <v>284</v>
      </c>
      <c r="AJ879">
        <v>2.4717289999999998</v>
      </c>
      <c r="AK879" t="s">
        <v>77</v>
      </c>
      <c r="AL879">
        <v>68.046508000000003</v>
      </c>
      <c r="AM879" s="4" t="s">
        <v>65</v>
      </c>
      <c r="AN879" s="5">
        <v>9091.5851711219784</v>
      </c>
      <c r="AO879" s="4" t="s">
        <v>65</v>
      </c>
      <c r="AP879" s="6">
        <v>2023</v>
      </c>
      <c r="AQ879">
        <v>4</v>
      </c>
      <c r="AR879">
        <v>7804.499675</v>
      </c>
      <c r="AS879" t="s">
        <v>66</v>
      </c>
      <c r="AT879" t="s">
        <v>53</v>
      </c>
    </row>
    <row r="880" spans="1:46">
      <c r="A880">
        <v>1046</v>
      </c>
      <c r="B880" t="s">
        <v>46</v>
      </c>
      <c r="C880">
        <v>68</v>
      </c>
      <c r="D880">
        <v>320</v>
      </c>
      <c r="E880" t="s">
        <v>198</v>
      </c>
      <c r="F880" t="s">
        <v>1186</v>
      </c>
      <c r="G880">
        <v>68320</v>
      </c>
      <c r="H880">
        <v>68320</v>
      </c>
      <c r="I880" t="s">
        <v>49</v>
      </c>
      <c r="J880">
        <v>6801</v>
      </c>
      <c r="K880" t="s">
        <v>1204</v>
      </c>
      <c r="L880" t="s">
        <v>69</v>
      </c>
      <c r="M880" t="s">
        <v>53</v>
      </c>
      <c r="N880">
        <v>4719</v>
      </c>
      <c r="O880" t="s">
        <v>53</v>
      </c>
      <c r="P880" t="s">
        <v>70</v>
      </c>
      <c r="Q880" t="s">
        <v>71</v>
      </c>
      <c r="R880" t="s">
        <v>122</v>
      </c>
      <c r="S880" t="s">
        <v>57</v>
      </c>
      <c r="T880" t="s">
        <v>58</v>
      </c>
      <c r="U880" t="s">
        <v>81</v>
      </c>
      <c r="V880">
        <v>0.45295099999999999</v>
      </c>
      <c r="W880" t="s">
        <v>53</v>
      </c>
      <c r="X880" t="s">
        <v>53</v>
      </c>
      <c r="Y880" t="s">
        <v>102</v>
      </c>
      <c r="Z880" t="str">
        <f t="shared" si="26"/>
        <v>Mayor que 20 - hasta 30</v>
      </c>
      <c r="AA880">
        <f t="shared" si="27"/>
        <v>1</v>
      </c>
      <c r="AB880">
        <v>68320</v>
      </c>
      <c r="AC880" t="s">
        <v>282</v>
      </c>
      <c r="AD880" t="s">
        <v>1205</v>
      </c>
      <c r="AE880">
        <v>1.8148580000000001</v>
      </c>
      <c r="AF880" t="s">
        <v>76</v>
      </c>
      <c r="AG880">
        <v>43.185996000000003</v>
      </c>
      <c r="AH880" t="s">
        <v>234</v>
      </c>
      <c r="AI880" t="s">
        <v>407</v>
      </c>
      <c r="AJ880">
        <v>4.7325480000000004</v>
      </c>
      <c r="AK880" t="s">
        <v>85</v>
      </c>
      <c r="AL880">
        <v>134.308954</v>
      </c>
      <c r="AM880" s="4" t="s">
        <v>65</v>
      </c>
      <c r="AN880" s="5">
        <v>10708.109486120527</v>
      </c>
      <c r="AO880" s="4" t="s">
        <v>65</v>
      </c>
      <c r="AP880" s="6">
        <v>2138</v>
      </c>
      <c r="AQ880">
        <v>2</v>
      </c>
      <c r="AR880">
        <v>6562.1540269999996</v>
      </c>
      <c r="AS880" t="s">
        <v>66</v>
      </c>
      <c r="AT880" t="s">
        <v>53</v>
      </c>
    </row>
    <row r="881" spans="1:46">
      <c r="A881">
        <v>1047</v>
      </c>
      <c r="B881" t="s">
        <v>46</v>
      </c>
      <c r="C881">
        <v>68</v>
      </c>
      <c r="D881">
        <v>322</v>
      </c>
      <c r="E881" t="s">
        <v>1224</v>
      </c>
      <c r="F881" t="s">
        <v>1186</v>
      </c>
      <c r="G881">
        <v>68322</v>
      </c>
      <c r="H881">
        <v>68322</v>
      </c>
      <c r="I881" t="s">
        <v>49</v>
      </c>
      <c r="J881">
        <v>6801</v>
      </c>
      <c r="K881" t="s">
        <v>1204</v>
      </c>
      <c r="L881" t="s">
        <v>80</v>
      </c>
      <c r="M881" t="s">
        <v>53</v>
      </c>
      <c r="N881">
        <v>2482</v>
      </c>
      <c r="O881" t="s">
        <v>53</v>
      </c>
      <c r="P881" t="s">
        <v>70</v>
      </c>
      <c r="Q881" t="s">
        <v>71</v>
      </c>
      <c r="R881" t="s">
        <v>105</v>
      </c>
      <c r="S881" t="s">
        <v>57</v>
      </c>
      <c r="T881" t="s">
        <v>58</v>
      </c>
      <c r="U881" t="s">
        <v>81</v>
      </c>
      <c r="V881">
        <v>0.47570299999999999</v>
      </c>
      <c r="W881" t="s">
        <v>53</v>
      </c>
      <c r="X881" t="s">
        <v>53</v>
      </c>
      <c r="Y881" t="s">
        <v>116</v>
      </c>
      <c r="Z881" t="str">
        <f t="shared" si="26"/>
        <v>Mayor que 30 - hasta 40</v>
      </c>
      <c r="AA881">
        <f t="shared" si="27"/>
        <v>1</v>
      </c>
      <c r="AB881">
        <v>68322</v>
      </c>
      <c r="AC881" t="s">
        <v>282</v>
      </c>
      <c r="AD881" t="s">
        <v>1205</v>
      </c>
      <c r="AE881">
        <v>1.2112510000000001</v>
      </c>
      <c r="AF881" t="s">
        <v>76</v>
      </c>
      <c r="AG881">
        <v>27.083556999999999</v>
      </c>
      <c r="AH881" t="s">
        <v>234</v>
      </c>
      <c r="AI881" t="s">
        <v>407</v>
      </c>
      <c r="AJ881">
        <v>4.7431580000000002</v>
      </c>
      <c r="AK881" t="s">
        <v>85</v>
      </c>
      <c r="AL881">
        <v>140.495959</v>
      </c>
      <c r="AM881" s="4" t="s">
        <v>64</v>
      </c>
      <c r="AN881" s="5">
        <v>3789.4554713690677</v>
      </c>
      <c r="AO881" s="4" t="s">
        <v>65</v>
      </c>
      <c r="AP881" s="6">
        <v>676</v>
      </c>
      <c r="AQ881">
        <v>3</v>
      </c>
      <c r="AR881">
        <v>3090.1978469999999</v>
      </c>
      <c r="AS881" t="s">
        <v>66</v>
      </c>
      <c r="AT881" t="s">
        <v>53</v>
      </c>
    </row>
    <row r="882" spans="1:46">
      <c r="A882">
        <v>1048</v>
      </c>
      <c r="B882" t="s">
        <v>46</v>
      </c>
      <c r="C882">
        <v>68</v>
      </c>
      <c r="D882">
        <v>324</v>
      </c>
      <c r="E882" t="s">
        <v>1225</v>
      </c>
      <c r="F882" t="s">
        <v>1186</v>
      </c>
      <c r="G882">
        <v>68324</v>
      </c>
      <c r="H882">
        <v>68324</v>
      </c>
      <c r="I882" t="s">
        <v>49</v>
      </c>
      <c r="J882">
        <v>6806</v>
      </c>
      <c r="K882" t="s">
        <v>1189</v>
      </c>
      <c r="L882" t="s">
        <v>80</v>
      </c>
      <c r="M882" t="s">
        <v>53</v>
      </c>
      <c r="N882">
        <v>4433</v>
      </c>
      <c r="O882" t="s">
        <v>53</v>
      </c>
      <c r="P882" t="s">
        <v>70</v>
      </c>
      <c r="Q882" t="s">
        <v>71</v>
      </c>
      <c r="R882" t="s">
        <v>122</v>
      </c>
      <c r="S882" t="s">
        <v>57</v>
      </c>
      <c r="T882" t="s">
        <v>58</v>
      </c>
      <c r="U882" t="s">
        <v>81</v>
      </c>
      <c r="V882">
        <v>0.68396400000000002</v>
      </c>
      <c r="W882" t="s">
        <v>53</v>
      </c>
      <c r="X882" t="s">
        <v>53</v>
      </c>
      <c r="Y882" t="s">
        <v>87</v>
      </c>
      <c r="Z882" t="str">
        <f t="shared" si="26"/>
        <v>Mayor que 40 - hasta 50</v>
      </c>
      <c r="AA882">
        <f t="shared" si="27"/>
        <v>1</v>
      </c>
      <c r="AB882">
        <v>68324</v>
      </c>
      <c r="AC882" t="s">
        <v>282</v>
      </c>
      <c r="AD882" t="s">
        <v>88</v>
      </c>
      <c r="AE882">
        <v>0.39364900000000003</v>
      </c>
      <c r="AF882" t="s">
        <v>63</v>
      </c>
      <c r="AG882">
        <v>11.529646</v>
      </c>
      <c r="AH882" t="s">
        <v>234</v>
      </c>
      <c r="AI882" t="s">
        <v>407</v>
      </c>
      <c r="AJ882">
        <v>2.9560300000000002</v>
      </c>
      <c r="AK882" t="s">
        <v>77</v>
      </c>
      <c r="AL882">
        <v>78.240620000000007</v>
      </c>
      <c r="AM882" s="4" t="s">
        <v>65</v>
      </c>
      <c r="AN882" s="5">
        <v>7305.7730285946618</v>
      </c>
      <c r="AO882" s="4" t="s">
        <v>65</v>
      </c>
      <c r="AP882" s="6">
        <v>2887</v>
      </c>
      <c r="AQ882">
        <v>4</v>
      </c>
      <c r="AR882">
        <v>4721.1972429999996</v>
      </c>
      <c r="AS882" t="s">
        <v>66</v>
      </c>
      <c r="AT882" t="s">
        <v>53</v>
      </c>
    </row>
    <row r="883" spans="1:46">
      <c r="A883">
        <v>1049</v>
      </c>
      <c r="B883" t="s">
        <v>46</v>
      </c>
      <c r="C883">
        <v>68</v>
      </c>
      <c r="D883">
        <v>327</v>
      </c>
      <c r="E883" t="s">
        <v>1226</v>
      </c>
      <c r="F883" t="s">
        <v>1186</v>
      </c>
      <c r="G883">
        <v>68327</v>
      </c>
      <c r="H883">
        <v>68327</v>
      </c>
      <c r="I883" t="s">
        <v>49</v>
      </c>
      <c r="J883">
        <v>6806</v>
      </c>
      <c r="K883" t="s">
        <v>1189</v>
      </c>
      <c r="L883" t="s">
        <v>91</v>
      </c>
      <c r="M883" t="s">
        <v>53</v>
      </c>
      <c r="N883">
        <v>5353</v>
      </c>
      <c r="O883" t="s">
        <v>53</v>
      </c>
      <c r="P883" t="s">
        <v>70</v>
      </c>
      <c r="Q883" t="s">
        <v>71</v>
      </c>
      <c r="R883" t="s">
        <v>56</v>
      </c>
      <c r="S883" t="s">
        <v>57</v>
      </c>
      <c r="T883" t="s">
        <v>58</v>
      </c>
      <c r="U883" t="s">
        <v>81</v>
      </c>
      <c r="V883">
        <v>0.55910300000000002</v>
      </c>
      <c r="W883" t="s">
        <v>53</v>
      </c>
      <c r="X883" t="s">
        <v>53</v>
      </c>
      <c r="Y883" t="s">
        <v>127</v>
      </c>
      <c r="Z883" t="str">
        <f t="shared" si="26"/>
        <v>Mayor que 70 - hasta 80</v>
      </c>
      <c r="AA883">
        <f t="shared" si="27"/>
        <v>1</v>
      </c>
      <c r="AB883">
        <v>68327</v>
      </c>
      <c r="AC883" t="s">
        <v>282</v>
      </c>
      <c r="AD883" t="s">
        <v>88</v>
      </c>
      <c r="AE883">
        <v>0.25762099999999999</v>
      </c>
      <c r="AF883" t="s">
        <v>63</v>
      </c>
      <c r="AG883">
        <v>12.246803999999999</v>
      </c>
      <c r="AH883" t="s">
        <v>234</v>
      </c>
      <c r="AI883" t="s">
        <v>407</v>
      </c>
      <c r="AJ883">
        <v>2.8362120000000002</v>
      </c>
      <c r="AK883" t="s">
        <v>77</v>
      </c>
      <c r="AL883">
        <v>79.416355999999993</v>
      </c>
      <c r="AM883" s="4" t="s">
        <v>65</v>
      </c>
      <c r="AN883" s="5">
        <v>2416.6548443445718</v>
      </c>
      <c r="AO883" s="4" t="s">
        <v>65</v>
      </c>
      <c r="AP883" s="6">
        <v>933</v>
      </c>
      <c r="AQ883">
        <v>3</v>
      </c>
      <c r="AR883">
        <v>1119.9930979999999</v>
      </c>
      <c r="AS883" t="s">
        <v>66</v>
      </c>
      <c r="AT883" t="s">
        <v>53</v>
      </c>
    </row>
    <row r="884" spans="1:46">
      <c r="A884">
        <v>1050</v>
      </c>
      <c r="B884" t="s">
        <v>46</v>
      </c>
      <c r="C884">
        <v>68</v>
      </c>
      <c r="D884">
        <v>344</v>
      </c>
      <c r="E884" t="s">
        <v>1227</v>
      </c>
      <c r="F884" t="s">
        <v>1186</v>
      </c>
      <c r="G884">
        <v>68344</v>
      </c>
      <c r="H884">
        <v>68344</v>
      </c>
      <c r="I884" t="s">
        <v>49</v>
      </c>
      <c r="J884">
        <v>6801</v>
      </c>
      <c r="K884" t="s">
        <v>1204</v>
      </c>
      <c r="L884" t="s">
        <v>69</v>
      </c>
      <c r="M884" t="s">
        <v>53</v>
      </c>
      <c r="N884">
        <v>2415</v>
      </c>
      <c r="O884" t="s">
        <v>53</v>
      </c>
      <c r="P884" t="s">
        <v>70</v>
      </c>
      <c r="Q884" t="s">
        <v>71</v>
      </c>
      <c r="R884" t="s">
        <v>122</v>
      </c>
      <c r="S884" t="s">
        <v>57</v>
      </c>
      <c r="T884" t="s">
        <v>58</v>
      </c>
      <c r="U884" t="s">
        <v>81</v>
      </c>
      <c r="V884">
        <v>0.45849800000000002</v>
      </c>
      <c r="W884" t="s">
        <v>53</v>
      </c>
      <c r="X884" t="s">
        <v>53</v>
      </c>
      <c r="Y884" t="s">
        <v>116</v>
      </c>
      <c r="Z884" t="str">
        <f t="shared" si="26"/>
        <v>Mayor que 30 - hasta 40</v>
      </c>
      <c r="AA884">
        <f t="shared" si="27"/>
        <v>1</v>
      </c>
      <c r="AB884">
        <v>68344</v>
      </c>
      <c r="AC884" t="s">
        <v>282</v>
      </c>
      <c r="AD884" t="s">
        <v>1205</v>
      </c>
      <c r="AE884">
        <v>1.229857</v>
      </c>
      <c r="AF884" t="s">
        <v>76</v>
      </c>
      <c r="AG884">
        <v>28.314927999999998</v>
      </c>
      <c r="AH884" t="s">
        <v>282</v>
      </c>
      <c r="AI884" t="s">
        <v>284</v>
      </c>
      <c r="AJ884">
        <v>4.236675</v>
      </c>
      <c r="AK884" t="s">
        <v>85</v>
      </c>
      <c r="AL884">
        <v>120.599408</v>
      </c>
      <c r="AM884" s="4" t="s">
        <v>64</v>
      </c>
      <c r="AN884" s="5">
        <v>7970.5237977576799</v>
      </c>
      <c r="AO884" s="4" t="s">
        <v>65</v>
      </c>
      <c r="AP884" s="6">
        <v>785</v>
      </c>
      <c r="AQ884">
        <v>4</v>
      </c>
      <c r="AR884">
        <v>7475.3281029999998</v>
      </c>
      <c r="AS884" t="s">
        <v>66</v>
      </c>
      <c r="AT884" t="s">
        <v>53</v>
      </c>
    </row>
    <row r="885" spans="1:46">
      <c r="A885">
        <v>1051</v>
      </c>
      <c r="B885" t="s">
        <v>46</v>
      </c>
      <c r="C885">
        <v>68</v>
      </c>
      <c r="D885">
        <v>368</v>
      </c>
      <c r="E885" t="s">
        <v>1228</v>
      </c>
      <c r="F885" t="s">
        <v>1186</v>
      </c>
      <c r="G885">
        <v>68368</v>
      </c>
      <c r="H885">
        <v>68368</v>
      </c>
      <c r="I885" t="s">
        <v>49</v>
      </c>
      <c r="J885">
        <v>6806</v>
      </c>
      <c r="K885" t="s">
        <v>1189</v>
      </c>
      <c r="L885" t="s">
        <v>80</v>
      </c>
      <c r="M885" t="s">
        <v>53</v>
      </c>
      <c r="N885">
        <v>3417</v>
      </c>
      <c r="O885" t="s">
        <v>53</v>
      </c>
      <c r="P885" t="s">
        <v>70</v>
      </c>
      <c r="Q885" t="s">
        <v>71</v>
      </c>
      <c r="R885" t="s">
        <v>249</v>
      </c>
      <c r="S885" t="s">
        <v>57</v>
      </c>
      <c r="T885" t="s">
        <v>58</v>
      </c>
      <c r="U885" t="s">
        <v>81</v>
      </c>
      <c r="V885">
        <v>0.67656000000000005</v>
      </c>
      <c r="W885" t="s">
        <v>53</v>
      </c>
      <c r="X885" t="s">
        <v>53</v>
      </c>
      <c r="Y885" t="s">
        <v>116</v>
      </c>
      <c r="Z885" t="str">
        <f t="shared" si="26"/>
        <v>Mayor que 30 - hasta 40</v>
      </c>
      <c r="AA885">
        <f t="shared" si="27"/>
        <v>1</v>
      </c>
      <c r="AB885">
        <v>68368</v>
      </c>
      <c r="AC885" t="s">
        <v>282</v>
      </c>
      <c r="AD885" t="s">
        <v>88</v>
      </c>
      <c r="AE885">
        <v>0.88505699999999998</v>
      </c>
      <c r="AF885" t="s">
        <v>63</v>
      </c>
      <c r="AG885">
        <v>25.756349</v>
      </c>
      <c r="AH885" t="s">
        <v>234</v>
      </c>
      <c r="AI885" t="s">
        <v>407</v>
      </c>
      <c r="AJ885">
        <v>3.447438</v>
      </c>
      <c r="AK885" t="s">
        <v>84</v>
      </c>
      <c r="AL885">
        <v>92.467322999999993</v>
      </c>
      <c r="AM885" s="4" t="s">
        <v>65</v>
      </c>
      <c r="AN885" s="5">
        <v>5912.1294109007313</v>
      </c>
      <c r="AO885" s="4" t="s">
        <v>65</v>
      </c>
      <c r="AP885" s="6">
        <v>1541</v>
      </c>
      <c r="AQ885">
        <v>4</v>
      </c>
      <c r="AR885">
        <v>4842.0191779999996</v>
      </c>
      <c r="AS885" t="s">
        <v>66</v>
      </c>
      <c r="AT885" t="s">
        <v>53</v>
      </c>
    </row>
    <row r="886" spans="1:46">
      <c r="A886">
        <v>1013</v>
      </c>
      <c r="B886" t="s">
        <v>46</v>
      </c>
      <c r="C886">
        <v>68</v>
      </c>
      <c r="D886">
        <v>370</v>
      </c>
      <c r="E886" t="s">
        <v>1229</v>
      </c>
      <c r="F886" t="s">
        <v>1186</v>
      </c>
      <c r="G886">
        <v>68370</v>
      </c>
      <c r="H886">
        <v>68370</v>
      </c>
      <c r="I886" t="s">
        <v>49</v>
      </c>
      <c r="J886">
        <v>6803</v>
      </c>
      <c r="K886" t="s">
        <v>1191</v>
      </c>
      <c r="L886" t="s">
        <v>80</v>
      </c>
      <c r="M886" t="s">
        <v>53</v>
      </c>
      <c r="N886">
        <v>1394</v>
      </c>
      <c r="O886" t="s">
        <v>53</v>
      </c>
      <c r="P886" t="s">
        <v>70</v>
      </c>
      <c r="Q886" t="s">
        <v>71</v>
      </c>
      <c r="R886" t="s">
        <v>56</v>
      </c>
      <c r="S886" t="s">
        <v>57</v>
      </c>
      <c r="T886" t="s">
        <v>58</v>
      </c>
      <c r="U886" t="s">
        <v>81</v>
      </c>
      <c r="V886">
        <v>0.51639299999999999</v>
      </c>
      <c r="W886" t="s">
        <v>53</v>
      </c>
      <c r="X886" t="s">
        <v>53</v>
      </c>
      <c r="Y886" t="s">
        <v>167</v>
      </c>
      <c r="Z886" t="str">
        <f t="shared" si="26"/>
        <v>Mayor que 50 - hasta 60</v>
      </c>
      <c r="AA886">
        <f t="shared" si="27"/>
        <v>1</v>
      </c>
      <c r="AB886">
        <v>68370</v>
      </c>
      <c r="AC886" t="s">
        <v>282</v>
      </c>
      <c r="AD886" t="s">
        <v>1192</v>
      </c>
      <c r="AE886">
        <v>1.5289699999999999</v>
      </c>
      <c r="AF886" t="s">
        <v>76</v>
      </c>
      <c r="AG886">
        <v>33.488939000000002</v>
      </c>
      <c r="AH886" t="s">
        <v>282</v>
      </c>
      <c r="AI886" t="s">
        <v>284</v>
      </c>
      <c r="AJ886">
        <v>2.9924680000000001</v>
      </c>
      <c r="AK886" t="s">
        <v>77</v>
      </c>
      <c r="AL886">
        <v>78.913413000000006</v>
      </c>
      <c r="AM886" s="4" t="s">
        <v>64</v>
      </c>
      <c r="AN886" s="5">
        <v>1534.4866929339967</v>
      </c>
      <c r="AO886" s="4" t="s">
        <v>65</v>
      </c>
      <c r="AP886" s="6">
        <v>204</v>
      </c>
      <c r="AQ886">
        <v>4</v>
      </c>
      <c r="AR886">
        <v>2155.7174359999999</v>
      </c>
      <c r="AS886" t="s">
        <v>66</v>
      </c>
      <c r="AT886" t="s">
        <v>53</v>
      </c>
    </row>
    <row r="887" spans="1:46">
      <c r="A887">
        <v>1014</v>
      </c>
      <c r="B887" t="s">
        <v>46</v>
      </c>
      <c r="C887">
        <v>68</v>
      </c>
      <c r="D887">
        <v>377</v>
      </c>
      <c r="E887" t="s">
        <v>1230</v>
      </c>
      <c r="F887" t="s">
        <v>1186</v>
      </c>
      <c r="G887">
        <v>68377</v>
      </c>
      <c r="H887">
        <v>68377</v>
      </c>
      <c r="I887" t="s">
        <v>49</v>
      </c>
      <c r="J887">
        <v>6806</v>
      </c>
      <c r="K887" t="s">
        <v>1189</v>
      </c>
      <c r="L887" t="s">
        <v>80</v>
      </c>
      <c r="M887" t="s">
        <v>53</v>
      </c>
      <c r="N887">
        <v>6624</v>
      </c>
      <c r="O887" t="s">
        <v>53</v>
      </c>
      <c r="P887" t="s">
        <v>70</v>
      </c>
      <c r="Q887" t="s">
        <v>71</v>
      </c>
      <c r="R887" t="s">
        <v>56</v>
      </c>
      <c r="S887" t="s">
        <v>57</v>
      </c>
      <c r="T887" t="s">
        <v>73</v>
      </c>
      <c r="U887" t="s">
        <v>81</v>
      </c>
      <c r="V887">
        <v>0.54612700000000003</v>
      </c>
      <c r="W887" t="s">
        <v>53</v>
      </c>
      <c r="X887" t="s">
        <v>53</v>
      </c>
      <c r="Y887" t="s">
        <v>116</v>
      </c>
      <c r="Z887" t="str">
        <f t="shared" si="26"/>
        <v>Mayor que 30 - hasta 40</v>
      </c>
      <c r="AA887">
        <f t="shared" si="27"/>
        <v>1</v>
      </c>
      <c r="AB887">
        <v>68377</v>
      </c>
      <c r="AC887" t="s">
        <v>282</v>
      </c>
      <c r="AD887" t="s">
        <v>88</v>
      </c>
      <c r="AE887">
        <v>2.080619</v>
      </c>
      <c r="AF887" t="s">
        <v>77</v>
      </c>
      <c r="AG887">
        <v>52.136961999999997</v>
      </c>
      <c r="AH887" t="s">
        <v>234</v>
      </c>
      <c r="AI887" t="s">
        <v>407</v>
      </c>
      <c r="AJ887">
        <v>4.445856</v>
      </c>
      <c r="AK887" t="s">
        <v>85</v>
      </c>
      <c r="AL887">
        <v>119.585195</v>
      </c>
      <c r="AM887" s="4" t="s">
        <v>65</v>
      </c>
      <c r="AN887" s="5">
        <v>13116.994619819448</v>
      </c>
      <c r="AO887" s="4" t="s">
        <v>65</v>
      </c>
      <c r="AP887" s="6">
        <v>2266</v>
      </c>
      <c r="AQ887">
        <v>4</v>
      </c>
      <c r="AR887">
        <v>14650.485112</v>
      </c>
      <c r="AS887" t="s">
        <v>66</v>
      </c>
      <c r="AT887" t="s">
        <v>53</v>
      </c>
    </row>
    <row r="888" spans="1:46">
      <c r="A888">
        <v>1015</v>
      </c>
      <c r="B888" t="s">
        <v>46</v>
      </c>
      <c r="C888">
        <v>68</v>
      </c>
      <c r="D888">
        <v>385</v>
      </c>
      <c r="E888" t="s">
        <v>1231</v>
      </c>
      <c r="F888" t="s">
        <v>1186</v>
      </c>
      <c r="G888">
        <v>68385</v>
      </c>
      <c r="H888">
        <v>68385</v>
      </c>
      <c r="I888" t="s">
        <v>49</v>
      </c>
      <c r="J888">
        <v>6806</v>
      </c>
      <c r="K888" t="s">
        <v>1189</v>
      </c>
      <c r="L888" t="s">
        <v>80</v>
      </c>
      <c r="M888" t="s">
        <v>53</v>
      </c>
      <c r="N888">
        <v>10624</v>
      </c>
      <c r="O888" t="s">
        <v>53</v>
      </c>
      <c r="P888" t="s">
        <v>70</v>
      </c>
      <c r="Q888" t="s">
        <v>71</v>
      </c>
      <c r="R888" t="s">
        <v>56</v>
      </c>
      <c r="S888" t="s">
        <v>57</v>
      </c>
      <c r="T888" t="s">
        <v>73</v>
      </c>
      <c r="U888" t="s">
        <v>119</v>
      </c>
      <c r="V888">
        <v>0.64011799999999996</v>
      </c>
      <c r="W888" t="s">
        <v>53</v>
      </c>
      <c r="X888" t="s">
        <v>53</v>
      </c>
      <c r="Y888" t="s">
        <v>116</v>
      </c>
      <c r="Z888" t="str">
        <f t="shared" si="26"/>
        <v>Mayor que 30 - hasta 40</v>
      </c>
      <c r="AA888">
        <f t="shared" si="27"/>
        <v>1</v>
      </c>
      <c r="AB888">
        <v>68385</v>
      </c>
      <c r="AC888" t="s">
        <v>61</v>
      </c>
      <c r="AD888" t="s">
        <v>159</v>
      </c>
      <c r="AE888">
        <v>2.053992</v>
      </c>
      <c r="AF888" t="s">
        <v>77</v>
      </c>
      <c r="AG888">
        <v>98.591587000000004</v>
      </c>
      <c r="AH888" t="s">
        <v>234</v>
      </c>
      <c r="AI888" t="s">
        <v>407</v>
      </c>
      <c r="AJ888">
        <v>4.6251420000000003</v>
      </c>
      <c r="AK888" t="s">
        <v>85</v>
      </c>
      <c r="AL888">
        <v>123.83372300000001</v>
      </c>
      <c r="AM888" s="4" t="s">
        <v>64</v>
      </c>
      <c r="AN888" s="5">
        <v>27835.279974243444</v>
      </c>
      <c r="AO888" s="4" t="s">
        <v>65</v>
      </c>
      <c r="AP888" s="6">
        <v>2815</v>
      </c>
      <c r="AQ888">
        <v>4</v>
      </c>
      <c r="AR888">
        <v>35254.474332999998</v>
      </c>
      <c r="AS888" t="s">
        <v>66</v>
      </c>
      <c r="AT888" t="s">
        <v>53</v>
      </c>
    </row>
    <row r="889" spans="1:46">
      <c r="A889">
        <v>1016</v>
      </c>
      <c r="B889" t="s">
        <v>46</v>
      </c>
      <c r="C889">
        <v>68</v>
      </c>
      <c r="D889">
        <v>397</v>
      </c>
      <c r="E889" t="s">
        <v>696</v>
      </c>
      <c r="F889" t="s">
        <v>1186</v>
      </c>
      <c r="G889">
        <v>68397</v>
      </c>
      <c r="H889">
        <v>68397</v>
      </c>
      <c r="I889" t="s">
        <v>49</v>
      </c>
      <c r="J889">
        <v>6806</v>
      </c>
      <c r="K889" t="s">
        <v>1189</v>
      </c>
      <c r="L889" t="s">
        <v>80</v>
      </c>
      <c r="M889" t="s">
        <v>53</v>
      </c>
      <c r="N889">
        <v>5204</v>
      </c>
      <c r="O889" t="s">
        <v>53</v>
      </c>
      <c r="P889" t="s">
        <v>70</v>
      </c>
      <c r="Q889" t="s">
        <v>71</v>
      </c>
      <c r="R889" t="s">
        <v>56</v>
      </c>
      <c r="S889" t="s">
        <v>57</v>
      </c>
      <c r="T889" t="s">
        <v>58</v>
      </c>
      <c r="U889" t="s">
        <v>81</v>
      </c>
      <c r="V889">
        <v>0.65181299999999998</v>
      </c>
      <c r="W889" t="s">
        <v>53</v>
      </c>
      <c r="X889" t="s">
        <v>53</v>
      </c>
      <c r="Y889" t="s">
        <v>167</v>
      </c>
      <c r="Z889" t="str">
        <f t="shared" si="26"/>
        <v>Mayor que 50 - hasta 60</v>
      </c>
      <c r="AA889">
        <f t="shared" si="27"/>
        <v>1</v>
      </c>
      <c r="AB889">
        <v>68397</v>
      </c>
      <c r="AC889" t="s">
        <v>282</v>
      </c>
      <c r="AD889" t="s">
        <v>88</v>
      </c>
      <c r="AE889">
        <v>1.3700479999999999</v>
      </c>
      <c r="AF889" t="s">
        <v>76</v>
      </c>
      <c r="AG889">
        <v>40.806097000000001</v>
      </c>
      <c r="AH889" t="s">
        <v>234</v>
      </c>
      <c r="AI889" t="s">
        <v>407</v>
      </c>
      <c r="AJ889">
        <v>3.932429</v>
      </c>
      <c r="AK889" t="s">
        <v>84</v>
      </c>
      <c r="AL889">
        <v>107.517071</v>
      </c>
      <c r="AM889" s="4" t="s">
        <v>65</v>
      </c>
      <c r="AN889" s="5">
        <v>15007.129400952193</v>
      </c>
      <c r="AO889" s="4" t="s">
        <v>65</v>
      </c>
      <c r="AP889" s="6">
        <v>3465</v>
      </c>
      <c r="AQ889">
        <v>3</v>
      </c>
      <c r="AR889">
        <v>12046.244280000001</v>
      </c>
      <c r="AS889" t="s">
        <v>66</v>
      </c>
      <c r="AT889" t="s">
        <v>53</v>
      </c>
    </row>
    <row r="890" spans="1:46">
      <c r="A890">
        <v>1017</v>
      </c>
      <c r="B890" t="s">
        <v>46</v>
      </c>
      <c r="C890">
        <v>68</v>
      </c>
      <c r="D890">
        <v>406</v>
      </c>
      <c r="E890" t="s">
        <v>1232</v>
      </c>
      <c r="F890" t="s">
        <v>1186</v>
      </c>
      <c r="G890">
        <v>68406</v>
      </c>
      <c r="H890">
        <v>68406</v>
      </c>
      <c r="I890" t="s">
        <v>49</v>
      </c>
      <c r="J890">
        <v>6805</v>
      </c>
      <c r="K890" t="s">
        <v>1187</v>
      </c>
      <c r="L890" t="s">
        <v>91</v>
      </c>
      <c r="M890" t="s">
        <v>53</v>
      </c>
      <c r="N890">
        <v>45667</v>
      </c>
      <c r="O890" t="s">
        <v>53</v>
      </c>
      <c r="P890" t="s">
        <v>92</v>
      </c>
      <c r="Q890" t="s">
        <v>118</v>
      </c>
      <c r="R890" t="s">
        <v>56</v>
      </c>
      <c r="S890" t="s">
        <v>57</v>
      </c>
      <c r="T890" t="s">
        <v>58</v>
      </c>
      <c r="U890" t="s">
        <v>81</v>
      </c>
      <c r="V890">
        <v>0.30225099999999999</v>
      </c>
      <c r="W890" t="s">
        <v>53</v>
      </c>
      <c r="X890" t="s">
        <v>53</v>
      </c>
      <c r="Y890" t="s">
        <v>187</v>
      </c>
      <c r="Z890" t="str">
        <f t="shared" si="26"/>
        <v>Mayor que 80 - hasta 100</v>
      </c>
      <c r="AA890">
        <f t="shared" si="27"/>
        <v>1</v>
      </c>
      <c r="AB890">
        <v>68406</v>
      </c>
      <c r="AC890" t="s">
        <v>282</v>
      </c>
      <c r="AD890" t="s">
        <v>1232</v>
      </c>
      <c r="AE890">
        <v>0</v>
      </c>
      <c r="AF890" t="s">
        <v>63</v>
      </c>
      <c r="AG890">
        <v>0</v>
      </c>
      <c r="AH890" t="s">
        <v>282</v>
      </c>
      <c r="AI890" t="s">
        <v>284</v>
      </c>
      <c r="AJ890">
        <v>0.75059500000000001</v>
      </c>
      <c r="AK890" t="s">
        <v>63</v>
      </c>
      <c r="AL890">
        <v>19.919595999999999</v>
      </c>
      <c r="AM890" s="4" t="s">
        <v>64</v>
      </c>
      <c r="AN890" s="5">
        <v>28741.842553664319</v>
      </c>
      <c r="AO890" s="4" t="s">
        <v>65</v>
      </c>
      <c r="AP890" s="6">
        <v>4906</v>
      </c>
      <c r="AQ890">
        <v>3</v>
      </c>
      <c r="AR890">
        <v>26105.806511999999</v>
      </c>
      <c r="AS890" t="s">
        <v>66</v>
      </c>
      <c r="AT890" t="s">
        <v>53</v>
      </c>
    </row>
    <row r="891" spans="1:46">
      <c r="A891">
        <v>1018</v>
      </c>
      <c r="B891" t="s">
        <v>46</v>
      </c>
      <c r="C891">
        <v>68</v>
      </c>
      <c r="D891">
        <v>418</v>
      </c>
      <c r="E891" t="s">
        <v>1233</v>
      </c>
      <c r="F891" t="s">
        <v>1186</v>
      </c>
      <c r="G891">
        <v>68418</v>
      </c>
      <c r="H891">
        <v>68418</v>
      </c>
      <c r="I891" t="s">
        <v>49</v>
      </c>
      <c r="J891">
        <v>6805</v>
      </c>
      <c r="K891" t="s">
        <v>1187</v>
      </c>
      <c r="L891" t="s">
        <v>80</v>
      </c>
      <c r="M891" t="s">
        <v>53</v>
      </c>
      <c r="N891">
        <v>15371</v>
      </c>
      <c r="O891" t="s">
        <v>53</v>
      </c>
      <c r="P891" t="s">
        <v>70</v>
      </c>
      <c r="Q891" t="s">
        <v>71</v>
      </c>
      <c r="R891" t="s">
        <v>122</v>
      </c>
      <c r="S891" t="s">
        <v>57</v>
      </c>
      <c r="T891" t="s">
        <v>58</v>
      </c>
      <c r="U891" t="s">
        <v>81</v>
      </c>
      <c r="V891">
        <v>0.45557900000000001</v>
      </c>
      <c r="W891" t="s">
        <v>53</v>
      </c>
      <c r="X891" t="s">
        <v>53</v>
      </c>
      <c r="Y891" t="s">
        <v>87</v>
      </c>
      <c r="Z891" t="str">
        <f t="shared" si="26"/>
        <v>Mayor que 40 - hasta 50</v>
      </c>
      <c r="AA891">
        <f t="shared" si="27"/>
        <v>1</v>
      </c>
      <c r="AB891">
        <v>68418</v>
      </c>
      <c r="AC891" t="s">
        <v>282</v>
      </c>
      <c r="AD891" t="s">
        <v>1195</v>
      </c>
      <c r="AE891">
        <v>1.6127750000000001</v>
      </c>
      <c r="AF891" t="s">
        <v>76</v>
      </c>
      <c r="AG891">
        <v>38.151681000000004</v>
      </c>
      <c r="AH891" t="s">
        <v>282</v>
      </c>
      <c r="AI891" t="s">
        <v>284</v>
      </c>
      <c r="AJ891">
        <v>2.1525029999999998</v>
      </c>
      <c r="AK891" t="s">
        <v>77</v>
      </c>
      <c r="AL891">
        <v>54.661226999999997</v>
      </c>
      <c r="AM891" s="4" t="s">
        <v>64</v>
      </c>
      <c r="AN891" s="5">
        <v>12621.037697192865</v>
      </c>
      <c r="AO891" s="4" t="s">
        <v>65</v>
      </c>
      <c r="AP891" s="6">
        <v>7314</v>
      </c>
      <c r="AQ891">
        <v>3</v>
      </c>
      <c r="AR891">
        <v>14677.489554</v>
      </c>
      <c r="AS891" t="s">
        <v>66</v>
      </c>
      <c r="AT891" t="s">
        <v>53</v>
      </c>
    </row>
    <row r="892" spans="1:46">
      <c r="A892">
        <v>1019</v>
      </c>
      <c r="B892" t="s">
        <v>46</v>
      </c>
      <c r="C892">
        <v>68</v>
      </c>
      <c r="D892">
        <v>425</v>
      </c>
      <c r="E892" t="s">
        <v>1234</v>
      </c>
      <c r="F892" t="s">
        <v>1186</v>
      </c>
      <c r="G892">
        <v>68425</v>
      </c>
      <c r="H892">
        <v>68425</v>
      </c>
      <c r="I892" t="s">
        <v>49</v>
      </c>
      <c r="J892">
        <v>6802</v>
      </c>
      <c r="K892" t="s">
        <v>1198</v>
      </c>
      <c r="L892" t="s">
        <v>80</v>
      </c>
      <c r="M892" t="s">
        <v>53</v>
      </c>
      <c r="N892">
        <v>2245</v>
      </c>
      <c r="O892" t="s">
        <v>53</v>
      </c>
      <c r="P892" t="s">
        <v>70</v>
      </c>
      <c r="Q892" t="s">
        <v>71</v>
      </c>
      <c r="R892" t="s">
        <v>72</v>
      </c>
      <c r="S892" t="s">
        <v>57</v>
      </c>
      <c r="T892" t="s">
        <v>58</v>
      </c>
      <c r="U892" t="s">
        <v>81</v>
      </c>
      <c r="V892">
        <v>0.64298699999999998</v>
      </c>
      <c r="W892" t="s">
        <v>53</v>
      </c>
      <c r="X892" t="s">
        <v>53</v>
      </c>
      <c r="Y892" t="s">
        <v>102</v>
      </c>
      <c r="Z892" t="str">
        <f t="shared" si="26"/>
        <v>Mayor que 20 - hasta 30</v>
      </c>
      <c r="AA892">
        <f t="shared" si="27"/>
        <v>1</v>
      </c>
      <c r="AB892">
        <v>68425</v>
      </c>
      <c r="AC892" t="s">
        <v>234</v>
      </c>
      <c r="AD892" t="s">
        <v>421</v>
      </c>
      <c r="AE892">
        <v>5.0930460000000002</v>
      </c>
      <c r="AF892" t="s">
        <v>211</v>
      </c>
      <c r="AG892">
        <v>126.159206</v>
      </c>
      <c r="AH892" t="s">
        <v>234</v>
      </c>
      <c r="AI892" t="s">
        <v>407</v>
      </c>
      <c r="AJ892">
        <v>6.287007</v>
      </c>
      <c r="AK892" t="s">
        <v>354</v>
      </c>
      <c r="AL892">
        <v>181.36896100000001</v>
      </c>
      <c r="AM892" s="4" t="s">
        <v>65</v>
      </c>
      <c r="AN892" s="5">
        <v>6224.9527297123886</v>
      </c>
      <c r="AO892" s="4" t="s">
        <v>65</v>
      </c>
      <c r="AP892" s="6">
        <v>2034</v>
      </c>
      <c r="AQ892">
        <v>4</v>
      </c>
      <c r="AR892">
        <v>4115.0420089999998</v>
      </c>
      <c r="AS892" t="s">
        <v>66</v>
      </c>
      <c r="AT892" t="s">
        <v>53</v>
      </c>
    </row>
    <row r="893" spans="1:46">
      <c r="A893">
        <v>1020</v>
      </c>
      <c r="B893" t="s">
        <v>46</v>
      </c>
      <c r="C893">
        <v>68</v>
      </c>
      <c r="D893">
        <v>432</v>
      </c>
      <c r="E893" t="s">
        <v>1235</v>
      </c>
      <c r="F893" t="s">
        <v>1186</v>
      </c>
      <c r="G893">
        <v>68432</v>
      </c>
      <c r="H893">
        <v>68432</v>
      </c>
      <c r="I893" t="s">
        <v>49</v>
      </c>
      <c r="J893">
        <v>6802</v>
      </c>
      <c r="K893" t="s">
        <v>1198</v>
      </c>
      <c r="L893" t="s">
        <v>51</v>
      </c>
      <c r="M893" t="s">
        <v>53</v>
      </c>
      <c r="N893">
        <v>21586</v>
      </c>
      <c r="O893" t="s">
        <v>53</v>
      </c>
      <c r="P893" t="s">
        <v>70</v>
      </c>
      <c r="Q893" t="s">
        <v>71</v>
      </c>
      <c r="R893" t="s">
        <v>93</v>
      </c>
      <c r="S893" t="s">
        <v>57</v>
      </c>
      <c r="T893" t="s">
        <v>58</v>
      </c>
      <c r="U893" t="s">
        <v>81</v>
      </c>
      <c r="V893">
        <v>0.341221</v>
      </c>
      <c r="W893" t="s">
        <v>53</v>
      </c>
      <c r="X893" t="s">
        <v>53</v>
      </c>
      <c r="Y893" t="s">
        <v>87</v>
      </c>
      <c r="Z893" t="str">
        <f t="shared" si="26"/>
        <v>Mayor que 40 - hasta 50</v>
      </c>
      <c r="AA893">
        <f t="shared" si="27"/>
        <v>1</v>
      </c>
      <c r="AB893">
        <v>68432</v>
      </c>
      <c r="AC893" t="s">
        <v>685</v>
      </c>
      <c r="AD893" t="s">
        <v>1127</v>
      </c>
      <c r="AE893">
        <v>3.3863219999999998</v>
      </c>
      <c r="AF893" t="s">
        <v>84</v>
      </c>
      <c r="AG893">
        <v>106.611688</v>
      </c>
      <c r="AH893" t="s">
        <v>282</v>
      </c>
      <c r="AI893" t="s">
        <v>284</v>
      </c>
      <c r="AJ893">
        <v>3.963689</v>
      </c>
      <c r="AK893" t="s">
        <v>84</v>
      </c>
      <c r="AL893">
        <v>114.97098099999999</v>
      </c>
      <c r="AM893" s="4" t="s">
        <v>65</v>
      </c>
      <c r="AN893" s="5">
        <v>4554.1710922127277</v>
      </c>
      <c r="AO893" s="4" t="s">
        <v>65</v>
      </c>
      <c r="AP893" s="6">
        <v>2020</v>
      </c>
      <c r="AQ893">
        <v>2</v>
      </c>
      <c r="AR893">
        <v>2373.8816940000002</v>
      </c>
      <c r="AS893" t="s">
        <v>66</v>
      </c>
      <c r="AT893" t="s">
        <v>53</v>
      </c>
    </row>
    <row r="894" spans="1:46">
      <c r="A894">
        <v>1021</v>
      </c>
      <c r="B894" t="s">
        <v>46</v>
      </c>
      <c r="C894">
        <v>68</v>
      </c>
      <c r="D894">
        <v>444</v>
      </c>
      <c r="E894" t="s">
        <v>1236</v>
      </c>
      <c r="F894" t="s">
        <v>1186</v>
      </c>
      <c r="G894">
        <v>68444</v>
      </c>
      <c r="H894">
        <v>68444</v>
      </c>
      <c r="I894" t="s">
        <v>49</v>
      </c>
      <c r="J894">
        <v>6805</v>
      </c>
      <c r="K894" t="s">
        <v>1187</v>
      </c>
      <c r="L894" t="s">
        <v>80</v>
      </c>
      <c r="M894" t="s">
        <v>53</v>
      </c>
      <c r="N894">
        <v>5305</v>
      </c>
      <c r="O894" t="s">
        <v>53</v>
      </c>
      <c r="P894" t="s">
        <v>70</v>
      </c>
      <c r="Q894" t="s">
        <v>71</v>
      </c>
      <c r="R894" t="s">
        <v>93</v>
      </c>
      <c r="S894" t="s">
        <v>57</v>
      </c>
      <c r="T894" t="s">
        <v>73</v>
      </c>
      <c r="U894" t="s">
        <v>59</v>
      </c>
      <c r="V894">
        <v>0.11469500000000001</v>
      </c>
      <c r="W894" t="s">
        <v>53</v>
      </c>
      <c r="X894" t="s">
        <v>53</v>
      </c>
      <c r="Y894" t="s">
        <v>87</v>
      </c>
      <c r="Z894" t="str">
        <f t="shared" si="26"/>
        <v>Mayor que 40 - hasta 50</v>
      </c>
      <c r="AA894">
        <f t="shared" si="27"/>
        <v>1</v>
      </c>
      <c r="AB894">
        <v>68444</v>
      </c>
      <c r="AC894" t="s">
        <v>282</v>
      </c>
      <c r="AD894" t="s">
        <v>284</v>
      </c>
      <c r="AE894">
        <v>2.7527050000000002</v>
      </c>
      <c r="AF894" t="s">
        <v>77</v>
      </c>
      <c r="AG894">
        <v>34.360512</v>
      </c>
      <c r="AH894" t="s">
        <v>282</v>
      </c>
      <c r="AI894" t="s">
        <v>284</v>
      </c>
      <c r="AJ894">
        <v>2.7315290000000001</v>
      </c>
      <c r="AK894" t="s">
        <v>77</v>
      </c>
      <c r="AL894">
        <v>35.060512000000003</v>
      </c>
      <c r="AM894" s="4" t="s">
        <v>64</v>
      </c>
      <c r="AN894" s="5">
        <v>10583.623492350003</v>
      </c>
      <c r="AO894" s="4" t="s">
        <v>65</v>
      </c>
      <c r="AP894" s="6">
        <v>1598</v>
      </c>
      <c r="AQ894">
        <v>4</v>
      </c>
      <c r="AR894">
        <v>14751.337593</v>
      </c>
      <c r="AS894" t="s">
        <v>66</v>
      </c>
      <c r="AT894" t="s">
        <v>53</v>
      </c>
    </row>
    <row r="895" spans="1:46">
      <c r="A895">
        <v>1022</v>
      </c>
      <c r="B895" t="s">
        <v>46</v>
      </c>
      <c r="C895">
        <v>68</v>
      </c>
      <c r="D895">
        <v>464</v>
      </c>
      <c r="E895" t="s">
        <v>1237</v>
      </c>
      <c r="F895" t="s">
        <v>1186</v>
      </c>
      <c r="G895">
        <v>68464</v>
      </c>
      <c r="H895">
        <v>68464</v>
      </c>
      <c r="I895" t="s">
        <v>49</v>
      </c>
      <c r="J895">
        <v>6803</v>
      </c>
      <c r="K895" t="s">
        <v>1191</v>
      </c>
      <c r="L895" t="s">
        <v>69</v>
      </c>
      <c r="M895" t="s">
        <v>53</v>
      </c>
      <c r="N895">
        <v>10788</v>
      </c>
      <c r="O895" t="s">
        <v>53</v>
      </c>
      <c r="P895" t="s">
        <v>70</v>
      </c>
      <c r="Q895" t="s">
        <v>71</v>
      </c>
      <c r="R895" t="s">
        <v>122</v>
      </c>
      <c r="S895" t="s">
        <v>57</v>
      </c>
      <c r="T895" t="s">
        <v>58</v>
      </c>
      <c r="U895" t="s">
        <v>81</v>
      </c>
      <c r="V895">
        <v>0.62926099999999996</v>
      </c>
      <c r="W895" t="s">
        <v>53</v>
      </c>
      <c r="X895" t="s">
        <v>53</v>
      </c>
      <c r="Y895" t="s">
        <v>87</v>
      </c>
      <c r="Z895" t="str">
        <f t="shared" si="26"/>
        <v>Mayor que 40 - hasta 50</v>
      </c>
      <c r="AA895">
        <f t="shared" si="27"/>
        <v>1</v>
      </c>
      <c r="AB895">
        <v>68464</v>
      </c>
      <c r="AC895" t="s">
        <v>282</v>
      </c>
      <c r="AD895" t="s">
        <v>1192</v>
      </c>
      <c r="AE895">
        <v>0.69096599999999997</v>
      </c>
      <c r="AF895" t="s">
        <v>63</v>
      </c>
      <c r="AG895">
        <v>29.894826999999999</v>
      </c>
      <c r="AH895" t="s">
        <v>282</v>
      </c>
      <c r="AI895" t="s">
        <v>284</v>
      </c>
      <c r="AJ895">
        <v>3.3433299999999999</v>
      </c>
      <c r="AK895" t="s">
        <v>84</v>
      </c>
      <c r="AL895">
        <v>110.12245299999999</v>
      </c>
      <c r="AM895" s="4" t="s">
        <v>64</v>
      </c>
      <c r="AN895" s="5">
        <v>23957.222339649154</v>
      </c>
      <c r="AO895" s="4" t="s">
        <v>65</v>
      </c>
      <c r="AP895" s="6">
        <v>3419</v>
      </c>
      <c r="AQ895">
        <v>4</v>
      </c>
      <c r="AR895">
        <v>35818.252546999996</v>
      </c>
      <c r="AS895" t="s">
        <v>66</v>
      </c>
      <c r="AT895" t="s">
        <v>53</v>
      </c>
    </row>
    <row r="896" spans="1:46">
      <c r="A896">
        <v>1023</v>
      </c>
      <c r="B896" t="s">
        <v>46</v>
      </c>
      <c r="C896">
        <v>68</v>
      </c>
      <c r="D896">
        <v>468</v>
      </c>
      <c r="E896" t="s">
        <v>1238</v>
      </c>
      <c r="F896" t="s">
        <v>1186</v>
      </c>
      <c r="G896">
        <v>68468</v>
      </c>
      <c r="H896">
        <v>68468</v>
      </c>
      <c r="I896" t="s">
        <v>49</v>
      </c>
      <c r="J896">
        <v>6802</v>
      </c>
      <c r="K896" t="s">
        <v>1198</v>
      </c>
      <c r="L896" t="s">
        <v>80</v>
      </c>
      <c r="M896" t="s">
        <v>53</v>
      </c>
      <c r="N896">
        <v>4277</v>
      </c>
      <c r="O896" t="s">
        <v>53</v>
      </c>
      <c r="P896" t="s">
        <v>70</v>
      </c>
      <c r="Q896" t="s">
        <v>71</v>
      </c>
      <c r="R896" t="s">
        <v>93</v>
      </c>
      <c r="S896" t="s">
        <v>57</v>
      </c>
      <c r="T896" t="s">
        <v>58</v>
      </c>
      <c r="U896" t="s">
        <v>81</v>
      </c>
      <c r="V896">
        <v>0.54556499999999997</v>
      </c>
      <c r="W896" t="s">
        <v>53</v>
      </c>
      <c r="X896" t="s">
        <v>53</v>
      </c>
      <c r="Y896" t="s">
        <v>116</v>
      </c>
      <c r="Z896" t="str">
        <f t="shared" si="26"/>
        <v>Mayor que 30 - hasta 40</v>
      </c>
      <c r="AA896">
        <f t="shared" si="27"/>
        <v>1</v>
      </c>
      <c r="AB896">
        <v>68468</v>
      </c>
      <c r="AC896" t="s">
        <v>282</v>
      </c>
      <c r="AD896" t="s">
        <v>1195</v>
      </c>
      <c r="AE896">
        <v>3.3803869999999998</v>
      </c>
      <c r="AF896" t="s">
        <v>84</v>
      </c>
      <c r="AG896">
        <v>88.577374000000006</v>
      </c>
      <c r="AH896" t="s">
        <v>282</v>
      </c>
      <c r="AI896" t="s">
        <v>284</v>
      </c>
      <c r="AJ896">
        <v>3.920115</v>
      </c>
      <c r="AK896" t="s">
        <v>84</v>
      </c>
      <c r="AL896">
        <v>105.08691899999999</v>
      </c>
      <c r="AM896" s="4" t="s">
        <v>65</v>
      </c>
      <c r="AN896" s="5">
        <v>10782.620763502902</v>
      </c>
      <c r="AO896" s="4" t="s">
        <v>65</v>
      </c>
      <c r="AP896" s="6">
        <v>3076</v>
      </c>
      <c r="AQ896">
        <v>4</v>
      </c>
      <c r="AR896">
        <v>9616.1594010000008</v>
      </c>
      <c r="AS896" t="s">
        <v>66</v>
      </c>
      <c r="AT896" t="s">
        <v>53</v>
      </c>
    </row>
    <row r="897" spans="1:46">
      <c r="A897">
        <v>1024</v>
      </c>
      <c r="B897" t="s">
        <v>46</v>
      </c>
      <c r="C897">
        <v>68</v>
      </c>
      <c r="D897">
        <v>498</v>
      </c>
      <c r="E897" t="s">
        <v>1239</v>
      </c>
      <c r="F897" t="s">
        <v>1186</v>
      </c>
      <c r="G897">
        <v>68498</v>
      </c>
      <c r="H897">
        <v>68498</v>
      </c>
      <c r="I897" t="s">
        <v>49</v>
      </c>
      <c r="J897">
        <v>6803</v>
      </c>
      <c r="K897" t="s">
        <v>1191</v>
      </c>
      <c r="L897" t="s">
        <v>69</v>
      </c>
      <c r="M897" t="s">
        <v>53</v>
      </c>
      <c r="N897">
        <v>6164</v>
      </c>
      <c r="O897" t="s">
        <v>53</v>
      </c>
      <c r="P897" t="s">
        <v>70</v>
      </c>
      <c r="Q897" t="s">
        <v>71</v>
      </c>
      <c r="R897" t="s">
        <v>56</v>
      </c>
      <c r="S897" t="s">
        <v>57</v>
      </c>
      <c r="T897" t="s">
        <v>58</v>
      </c>
      <c r="U897" t="s">
        <v>81</v>
      </c>
      <c r="V897">
        <v>0.32641599999999998</v>
      </c>
      <c r="W897" t="s">
        <v>53</v>
      </c>
      <c r="X897" t="s">
        <v>53</v>
      </c>
      <c r="Y897" t="s">
        <v>116</v>
      </c>
      <c r="Z897" t="str">
        <f t="shared" si="26"/>
        <v>Mayor que 30 - hasta 40</v>
      </c>
      <c r="AA897">
        <f t="shared" si="27"/>
        <v>1</v>
      </c>
      <c r="AB897">
        <v>68498</v>
      </c>
      <c r="AC897" t="s">
        <v>282</v>
      </c>
      <c r="AD897" t="s">
        <v>1192</v>
      </c>
      <c r="AE897">
        <v>1.1184540000000001</v>
      </c>
      <c r="AF897" t="s">
        <v>76</v>
      </c>
      <c r="AG897">
        <v>29.200714000000001</v>
      </c>
      <c r="AH897" t="s">
        <v>282</v>
      </c>
      <c r="AI897" t="s">
        <v>284</v>
      </c>
      <c r="AJ897">
        <v>3.9462120000000001</v>
      </c>
      <c r="AK897" t="s">
        <v>84</v>
      </c>
      <c r="AL897">
        <v>114.032504</v>
      </c>
      <c r="AM897" s="4" t="s">
        <v>65</v>
      </c>
      <c r="AN897" s="5">
        <v>5541.9760593252258</v>
      </c>
      <c r="AO897" s="4" t="s">
        <v>65</v>
      </c>
      <c r="AP897" s="6">
        <v>2212</v>
      </c>
      <c r="AQ897">
        <v>3</v>
      </c>
      <c r="AR897">
        <v>4254.4577660000004</v>
      </c>
      <c r="AS897" t="s">
        <v>66</v>
      </c>
      <c r="AT897" t="s">
        <v>53</v>
      </c>
    </row>
    <row r="898" spans="1:46">
      <c r="A898">
        <v>1025</v>
      </c>
      <c r="B898" t="s">
        <v>46</v>
      </c>
      <c r="C898">
        <v>68</v>
      </c>
      <c r="D898">
        <v>500</v>
      </c>
      <c r="E898" t="s">
        <v>1240</v>
      </c>
      <c r="F898" t="s">
        <v>1186</v>
      </c>
      <c r="G898">
        <v>68500</v>
      </c>
      <c r="H898">
        <v>68500</v>
      </c>
      <c r="I898" t="s">
        <v>49</v>
      </c>
      <c r="J898">
        <v>6801</v>
      </c>
      <c r="K898" t="s">
        <v>1204</v>
      </c>
      <c r="L898" t="s">
        <v>69</v>
      </c>
      <c r="M898" t="s">
        <v>53</v>
      </c>
      <c r="N898">
        <v>11038</v>
      </c>
      <c r="O898" t="s">
        <v>53</v>
      </c>
      <c r="P898" t="s">
        <v>70</v>
      </c>
      <c r="Q898" t="s">
        <v>71</v>
      </c>
      <c r="R898" t="s">
        <v>105</v>
      </c>
      <c r="S898" t="s">
        <v>57</v>
      </c>
      <c r="T898" t="s">
        <v>58</v>
      </c>
      <c r="U898" t="s">
        <v>81</v>
      </c>
      <c r="V898">
        <v>0.38279099999999999</v>
      </c>
      <c r="W898" t="s">
        <v>53</v>
      </c>
      <c r="X898" t="s">
        <v>53</v>
      </c>
      <c r="Y898" t="s">
        <v>87</v>
      </c>
      <c r="Z898" t="str">
        <f t="shared" si="26"/>
        <v>Mayor que 40 - hasta 50</v>
      </c>
      <c r="AA898">
        <f t="shared" si="27"/>
        <v>1</v>
      </c>
      <c r="AB898">
        <v>68500</v>
      </c>
      <c r="AC898" t="s">
        <v>282</v>
      </c>
      <c r="AD898" t="s">
        <v>1205</v>
      </c>
      <c r="AE898">
        <v>1.053666</v>
      </c>
      <c r="AF898" t="s">
        <v>76</v>
      </c>
      <c r="AG898">
        <v>27.183557</v>
      </c>
      <c r="AH898" t="s">
        <v>234</v>
      </c>
      <c r="AI898" t="s">
        <v>407</v>
      </c>
      <c r="AJ898">
        <v>4.4330449999999999</v>
      </c>
      <c r="AK898" t="s">
        <v>85</v>
      </c>
      <c r="AL898">
        <v>132.353319</v>
      </c>
      <c r="AM898" s="4" t="s">
        <v>64</v>
      </c>
      <c r="AN898" s="5">
        <v>14587.153958122868</v>
      </c>
      <c r="AO898" s="4" t="s">
        <v>65</v>
      </c>
      <c r="AP898" s="6">
        <v>2457</v>
      </c>
      <c r="AQ898">
        <v>3</v>
      </c>
      <c r="AR898">
        <v>15083.933634999999</v>
      </c>
      <c r="AS898" t="s">
        <v>66</v>
      </c>
      <c r="AT898" t="s">
        <v>53</v>
      </c>
    </row>
    <row r="899" spans="1:46">
      <c r="A899">
        <v>1026</v>
      </c>
      <c r="B899" t="s">
        <v>46</v>
      </c>
      <c r="C899">
        <v>68</v>
      </c>
      <c r="D899">
        <v>502</v>
      </c>
      <c r="E899" t="s">
        <v>1241</v>
      </c>
      <c r="F899" t="s">
        <v>1186</v>
      </c>
      <c r="G899">
        <v>68502</v>
      </c>
      <c r="H899">
        <v>68502</v>
      </c>
      <c r="I899" t="s">
        <v>49</v>
      </c>
      <c r="J899">
        <v>6803</v>
      </c>
      <c r="K899" t="s">
        <v>1191</v>
      </c>
      <c r="L899" t="s">
        <v>80</v>
      </c>
      <c r="M899" t="s">
        <v>53</v>
      </c>
      <c r="N899">
        <v>4264</v>
      </c>
      <c r="O899" t="s">
        <v>53</v>
      </c>
      <c r="P899" t="s">
        <v>70</v>
      </c>
      <c r="Q899" t="s">
        <v>71</v>
      </c>
      <c r="R899" t="s">
        <v>56</v>
      </c>
      <c r="S899" t="s">
        <v>57</v>
      </c>
      <c r="T899" t="s">
        <v>58</v>
      </c>
      <c r="U899" t="s">
        <v>81</v>
      </c>
      <c r="V899">
        <v>0.76067600000000002</v>
      </c>
      <c r="W899" t="s">
        <v>53</v>
      </c>
      <c r="X899" t="s">
        <v>53</v>
      </c>
      <c r="Y899" t="s">
        <v>116</v>
      </c>
      <c r="Z899" t="str">
        <f t="shared" ref="Z899:Z962" si="28">IF(LEFT(Y899,10)="Irradiado_",
   RIGHT(Y899, LEN(Y899)-10),   Y899)</f>
        <v>Mayor que 30 - hasta 40</v>
      </c>
      <c r="AA899">
        <f t="shared" ref="AA899:AA962" si="29">IF(LEFT(Y899,10)="Irradiado_", 1, 0)</f>
        <v>1</v>
      </c>
      <c r="AB899">
        <v>68502</v>
      </c>
      <c r="AC899" t="s">
        <v>282</v>
      </c>
      <c r="AD899" t="s">
        <v>1192</v>
      </c>
      <c r="AE899">
        <v>1.7863370000000001</v>
      </c>
      <c r="AF899" t="s">
        <v>76</v>
      </c>
      <c r="AG899">
        <v>62.672496000000002</v>
      </c>
      <c r="AH899" t="s">
        <v>234</v>
      </c>
      <c r="AI899" t="s">
        <v>407</v>
      </c>
      <c r="AJ899">
        <v>3.8265159999999998</v>
      </c>
      <c r="AK899" t="s">
        <v>84</v>
      </c>
      <c r="AL899">
        <v>138.91606100000001</v>
      </c>
      <c r="AM899" s="4" t="s">
        <v>64</v>
      </c>
      <c r="AN899" s="5">
        <v>17873.470199474199</v>
      </c>
      <c r="AO899" s="4" t="s">
        <v>65</v>
      </c>
      <c r="AP899" s="6">
        <v>2761</v>
      </c>
      <c r="AQ899">
        <v>4</v>
      </c>
      <c r="AR899">
        <v>22242.863255</v>
      </c>
      <c r="AS899" t="s">
        <v>66</v>
      </c>
      <c r="AT899" t="s">
        <v>53</v>
      </c>
    </row>
    <row r="900" spans="1:46">
      <c r="A900">
        <v>1027</v>
      </c>
      <c r="B900" t="s">
        <v>46</v>
      </c>
      <c r="C900">
        <v>68</v>
      </c>
      <c r="D900">
        <v>522</v>
      </c>
      <c r="E900" t="s">
        <v>1242</v>
      </c>
      <c r="F900" t="s">
        <v>1186</v>
      </c>
      <c r="G900">
        <v>68522</v>
      </c>
      <c r="H900">
        <v>68522</v>
      </c>
      <c r="I900" t="s">
        <v>49</v>
      </c>
      <c r="J900">
        <v>6801</v>
      </c>
      <c r="K900" t="s">
        <v>1204</v>
      </c>
      <c r="L900" t="s">
        <v>91</v>
      </c>
      <c r="M900" t="s">
        <v>53</v>
      </c>
      <c r="N900">
        <v>1502</v>
      </c>
      <c r="O900" t="s">
        <v>53</v>
      </c>
      <c r="P900" t="s">
        <v>70</v>
      </c>
      <c r="Q900" t="s">
        <v>71</v>
      </c>
      <c r="R900" t="s">
        <v>122</v>
      </c>
      <c r="S900" t="s">
        <v>57</v>
      </c>
      <c r="T900" t="s">
        <v>58</v>
      </c>
      <c r="U900" t="s">
        <v>81</v>
      </c>
      <c r="V900">
        <v>0.64520999999999995</v>
      </c>
      <c r="W900" t="s">
        <v>53</v>
      </c>
      <c r="X900" t="s">
        <v>53</v>
      </c>
      <c r="Y900" t="s">
        <v>87</v>
      </c>
      <c r="Z900" t="str">
        <f t="shared" si="28"/>
        <v>Mayor que 40 - hasta 50</v>
      </c>
      <c r="AA900">
        <f t="shared" si="29"/>
        <v>1</v>
      </c>
      <c r="AB900">
        <v>68522</v>
      </c>
      <c r="AC900" t="s">
        <v>282</v>
      </c>
      <c r="AD900" t="s">
        <v>1205</v>
      </c>
      <c r="AE900">
        <v>0.96333500000000005</v>
      </c>
      <c r="AF900" t="s">
        <v>63</v>
      </c>
      <c r="AG900">
        <v>18.233809999999998</v>
      </c>
      <c r="AH900" t="s">
        <v>282</v>
      </c>
      <c r="AI900" t="s">
        <v>284</v>
      </c>
      <c r="AJ900">
        <v>3.8811499999999999</v>
      </c>
      <c r="AK900" t="s">
        <v>84</v>
      </c>
      <c r="AL900">
        <v>116.170981</v>
      </c>
      <c r="AM900" s="4" t="s">
        <v>65</v>
      </c>
      <c r="AN900" s="5">
        <v>1372.0803631238971</v>
      </c>
      <c r="AO900" s="4" t="s">
        <v>65</v>
      </c>
      <c r="AP900" s="6">
        <v>601</v>
      </c>
      <c r="AQ900">
        <v>3</v>
      </c>
      <c r="AR900">
        <v>1739.6060749999999</v>
      </c>
      <c r="AS900" t="s">
        <v>66</v>
      </c>
      <c r="AT900" t="s">
        <v>53</v>
      </c>
    </row>
    <row r="901" spans="1:46">
      <c r="A901">
        <v>1028</v>
      </c>
      <c r="B901" t="s">
        <v>46</v>
      </c>
      <c r="C901">
        <v>68</v>
      </c>
      <c r="D901">
        <v>524</v>
      </c>
      <c r="E901" t="s">
        <v>1243</v>
      </c>
      <c r="F901" t="s">
        <v>1186</v>
      </c>
      <c r="G901">
        <v>68524</v>
      </c>
      <c r="H901">
        <v>68524</v>
      </c>
      <c r="I901" t="s">
        <v>49</v>
      </c>
      <c r="J901">
        <v>6801</v>
      </c>
      <c r="K901" t="s">
        <v>1204</v>
      </c>
      <c r="L901" t="s">
        <v>69</v>
      </c>
      <c r="M901" t="s">
        <v>53</v>
      </c>
      <c r="N901">
        <v>2622</v>
      </c>
      <c r="O901" t="s">
        <v>53</v>
      </c>
      <c r="P901" t="s">
        <v>70</v>
      </c>
      <c r="Q901" t="s">
        <v>71</v>
      </c>
      <c r="R901" t="s">
        <v>105</v>
      </c>
      <c r="S901" t="s">
        <v>57</v>
      </c>
      <c r="T901" t="s">
        <v>58</v>
      </c>
      <c r="U901" t="s">
        <v>81</v>
      </c>
      <c r="V901">
        <v>0.35025400000000001</v>
      </c>
      <c r="W901" t="s">
        <v>53</v>
      </c>
      <c r="X901" t="s">
        <v>53</v>
      </c>
      <c r="Y901" t="s">
        <v>167</v>
      </c>
      <c r="Z901" t="str">
        <f t="shared" si="28"/>
        <v>Mayor que 50 - hasta 60</v>
      </c>
      <c r="AA901">
        <f t="shared" si="29"/>
        <v>1</v>
      </c>
      <c r="AB901">
        <v>68524</v>
      </c>
      <c r="AC901" t="s">
        <v>282</v>
      </c>
      <c r="AD901" t="s">
        <v>1205</v>
      </c>
      <c r="AE901">
        <v>0.39781300000000003</v>
      </c>
      <c r="AF901" t="s">
        <v>63</v>
      </c>
      <c r="AG901">
        <v>8.5012190000000007</v>
      </c>
      <c r="AH901" t="s">
        <v>282</v>
      </c>
      <c r="AI901" t="s">
        <v>284</v>
      </c>
      <c r="AJ901">
        <v>3.967314</v>
      </c>
      <c r="AK901" t="s">
        <v>84</v>
      </c>
      <c r="AL901">
        <v>115.978088</v>
      </c>
      <c r="AM901" s="4" t="s">
        <v>64</v>
      </c>
      <c r="AN901" s="5">
        <v>2859.1232921519804</v>
      </c>
      <c r="AO901" s="4" t="s">
        <v>65</v>
      </c>
      <c r="AP901" s="6">
        <v>847</v>
      </c>
      <c r="AQ901">
        <v>3</v>
      </c>
      <c r="AR901">
        <v>3546.1760260000001</v>
      </c>
      <c r="AS901" t="s">
        <v>66</v>
      </c>
      <c r="AT901" t="s">
        <v>53</v>
      </c>
    </row>
    <row r="902" spans="1:46">
      <c r="A902">
        <v>1029</v>
      </c>
      <c r="B902" t="s">
        <v>46</v>
      </c>
      <c r="C902">
        <v>68</v>
      </c>
      <c r="D902">
        <v>533</v>
      </c>
      <c r="E902" t="s">
        <v>1244</v>
      </c>
      <c r="F902" t="s">
        <v>1186</v>
      </c>
      <c r="G902">
        <v>68533</v>
      </c>
      <c r="H902">
        <v>68533</v>
      </c>
      <c r="I902" t="s">
        <v>49</v>
      </c>
      <c r="J902">
        <v>6803</v>
      </c>
      <c r="K902" t="s">
        <v>1191</v>
      </c>
      <c r="L902" t="s">
        <v>91</v>
      </c>
      <c r="M902" t="s">
        <v>53</v>
      </c>
      <c r="N902">
        <v>4901</v>
      </c>
      <c r="O902" t="s">
        <v>53</v>
      </c>
      <c r="P902" t="s">
        <v>70</v>
      </c>
      <c r="Q902" t="s">
        <v>71</v>
      </c>
      <c r="R902" t="s">
        <v>93</v>
      </c>
      <c r="S902" t="s">
        <v>57</v>
      </c>
      <c r="T902" t="s">
        <v>58</v>
      </c>
      <c r="U902" t="s">
        <v>81</v>
      </c>
      <c r="V902">
        <v>0.30343700000000001</v>
      </c>
      <c r="W902" t="s">
        <v>53</v>
      </c>
      <c r="X902" t="s">
        <v>53</v>
      </c>
      <c r="Y902" t="s">
        <v>116</v>
      </c>
      <c r="Z902" t="str">
        <f t="shared" si="28"/>
        <v>Mayor que 30 - hasta 40</v>
      </c>
      <c r="AA902">
        <f t="shared" si="29"/>
        <v>1</v>
      </c>
      <c r="AB902">
        <v>68533</v>
      </c>
      <c r="AC902" t="s">
        <v>282</v>
      </c>
      <c r="AD902" t="s">
        <v>1192</v>
      </c>
      <c r="AE902">
        <v>0.71590600000000004</v>
      </c>
      <c r="AF902" t="s">
        <v>63</v>
      </c>
      <c r="AG902">
        <v>19.765180000000001</v>
      </c>
      <c r="AH902" t="s">
        <v>282</v>
      </c>
      <c r="AI902" t="s">
        <v>284</v>
      </c>
      <c r="AJ902">
        <v>3.5436640000000001</v>
      </c>
      <c r="AK902" t="s">
        <v>84</v>
      </c>
      <c r="AL902">
        <v>104.59697</v>
      </c>
      <c r="AM902" s="4" t="s">
        <v>65</v>
      </c>
      <c r="AN902" s="5">
        <v>3929.3717544508049</v>
      </c>
      <c r="AO902" s="4" t="s">
        <v>65</v>
      </c>
      <c r="AP902" s="6">
        <v>1087</v>
      </c>
      <c r="AQ902">
        <v>1</v>
      </c>
      <c r="AR902">
        <v>4498.9241350000002</v>
      </c>
      <c r="AS902" t="s">
        <v>66</v>
      </c>
      <c r="AT902" t="s">
        <v>53</v>
      </c>
    </row>
    <row r="903" spans="1:46">
      <c r="A903">
        <v>1056</v>
      </c>
      <c r="B903" t="s">
        <v>46</v>
      </c>
      <c r="C903">
        <v>68</v>
      </c>
      <c r="D903">
        <v>547</v>
      </c>
      <c r="E903" t="s">
        <v>1195</v>
      </c>
      <c r="F903" t="s">
        <v>1186</v>
      </c>
      <c r="G903">
        <v>68547</v>
      </c>
      <c r="H903">
        <v>68547</v>
      </c>
      <c r="I903" t="s">
        <v>49</v>
      </c>
      <c r="J903">
        <v>6805</v>
      </c>
      <c r="K903" t="s">
        <v>1187</v>
      </c>
      <c r="L903" t="s">
        <v>51</v>
      </c>
      <c r="M903" t="s">
        <v>53</v>
      </c>
      <c r="N903">
        <v>190712</v>
      </c>
      <c r="O903" t="s">
        <v>53</v>
      </c>
      <c r="P903" t="s">
        <v>54</v>
      </c>
      <c r="Q903" t="s">
        <v>210</v>
      </c>
      <c r="R903" t="s">
        <v>105</v>
      </c>
      <c r="S903" t="s">
        <v>57</v>
      </c>
      <c r="T903" t="s">
        <v>58</v>
      </c>
      <c r="U903" t="s">
        <v>81</v>
      </c>
      <c r="V903">
        <v>0.122063</v>
      </c>
      <c r="W903" t="s">
        <v>53</v>
      </c>
      <c r="X903" t="s">
        <v>53</v>
      </c>
      <c r="Y903" t="s">
        <v>187</v>
      </c>
      <c r="Z903" t="str">
        <f t="shared" si="28"/>
        <v>Mayor que 80 - hasta 100</v>
      </c>
      <c r="AA903">
        <f t="shared" si="29"/>
        <v>1</v>
      </c>
      <c r="AB903">
        <v>68547</v>
      </c>
      <c r="AC903" t="s">
        <v>282</v>
      </c>
      <c r="AD903" t="s">
        <v>1195</v>
      </c>
      <c r="AE903">
        <v>0</v>
      </c>
      <c r="AF903" t="s">
        <v>63</v>
      </c>
      <c r="AG903">
        <v>0</v>
      </c>
      <c r="AH903" t="s">
        <v>282</v>
      </c>
      <c r="AI903" t="s">
        <v>284</v>
      </c>
      <c r="AJ903">
        <v>0.59663100000000002</v>
      </c>
      <c r="AK903" t="s">
        <v>63</v>
      </c>
      <c r="AL903">
        <v>16.850967000000001</v>
      </c>
      <c r="AM903" s="4" t="s">
        <v>64</v>
      </c>
      <c r="AN903" s="5">
        <v>16964.630751186625</v>
      </c>
      <c r="AO903" s="4" t="s">
        <v>65</v>
      </c>
      <c r="AP903" s="6">
        <v>6169</v>
      </c>
      <c r="AQ903">
        <v>4</v>
      </c>
      <c r="AR903">
        <v>27098.905505999999</v>
      </c>
      <c r="AS903" t="s">
        <v>66</v>
      </c>
      <c r="AT903" t="s">
        <v>53</v>
      </c>
    </row>
    <row r="904" spans="1:46">
      <c r="A904">
        <v>1030</v>
      </c>
      <c r="B904" t="s">
        <v>46</v>
      </c>
      <c r="C904">
        <v>68</v>
      </c>
      <c r="D904">
        <v>549</v>
      </c>
      <c r="E904" t="s">
        <v>1245</v>
      </c>
      <c r="F904" t="s">
        <v>1186</v>
      </c>
      <c r="G904">
        <v>68549</v>
      </c>
      <c r="H904">
        <v>68549</v>
      </c>
      <c r="I904" t="s">
        <v>49</v>
      </c>
      <c r="J904">
        <v>6803</v>
      </c>
      <c r="K904" t="s">
        <v>1191</v>
      </c>
      <c r="L904" t="s">
        <v>69</v>
      </c>
      <c r="M904" t="s">
        <v>53</v>
      </c>
      <c r="N904">
        <v>5485</v>
      </c>
      <c r="O904" t="s">
        <v>53</v>
      </c>
      <c r="P904" t="s">
        <v>70</v>
      </c>
      <c r="Q904" t="s">
        <v>71</v>
      </c>
      <c r="R904" t="s">
        <v>105</v>
      </c>
      <c r="S904" t="s">
        <v>57</v>
      </c>
      <c r="T904" t="s">
        <v>58</v>
      </c>
      <c r="U904" t="s">
        <v>81</v>
      </c>
      <c r="V904">
        <v>0.253521</v>
      </c>
      <c r="W904" t="s">
        <v>53</v>
      </c>
      <c r="X904" t="s">
        <v>53</v>
      </c>
      <c r="Y904" t="s">
        <v>116</v>
      </c>
      <c r="Z904" t="str">
        <f t="shared" si="28"/>
        <v>Mayor que 30 - hasta 40</v>
      </c>
      <c r="AA904">
        <f t="shared" si="29"/>
        <v>1</v>
      </c>
      <c r="AB904">
        <v>68549</v>
      </c>
      <c r="AC904" t="s">
        <v>282</v>
      </c>
      <c r="AD904" t="s">
        <v>1192</v>
      </c>
      <c r="AE904">
        <v>0.16856099999999999</v>
      </c>
      <c r="AF904" t="s">
        <v>63</v>
      </c>
      <c r="AG904">
        <v>5.6941129999999998</v>
      </c>
      <c r="AH904" t="s">
        <v>282</v>
      </c>
      <c r="AI904" t="s">
        <v>284</v>
      </c>
      <c r="AJ904">
        <v>3.0311240000000002</v>
      </c>
      <c r="AK904" t="s">
        <v>84</v>
      </c>
      <c r="AL904">
        <v>92.174430000000001</v>
      </c>
      <c r="AM904" s="4" t="s">
        <v>65</v>
      </c>
      <c r="AN904" s="5">
        <v>3034.9114789504888</v>
      </c>
      <c r="AO904" s="4" t="s">
        <v>65</v>
      </c>
      <c r="AP904" s="6">
        <v>1136</v>
      </c>
      <c r="AQ904">
        <v>3</v>
      </c>
      <c r="AR904">
        <v>2698.1914059999999</v>
      </c>
      <c r="AS904" t="s">
        <v>66</v>
      </c>
      <c r="AT904" t="s">
        <v>53</v>
      </c>
    </row>
    <row r="905" spans="1:46">
      <c r="A905">
        <v>1031</v>
      </c>
      <c r="B905" t="s">
        <v>46</v>
      </c>
      <c r="C905">
        <v>68</v>
      </c>
      <c r="D905">
        <v>572</v>
      </c>
      <c r="E905" t="s">
        <v>1246</v>
      </c>
      <c r="F905" t="s">
        <v>1186</v>
      </c>
      <c r="G905">
        <v>68572</v>
      </c>
      <c r="H905">
        <v>68572</v>
      </c>
      <c r="I905" t="s">
        <v>49</v>
      </c>
      <c r="J905">
        <v>6806</v>
      </c>
      <c r="K905" t="s">
        <v>1189</v>
      </c>
      <c r="L905" t="s">
        <v>69</v>
      </c>
      <c r="M905" t="s">
        <v>53</v>
      </c>
      <c r="N905">
        <v>15450</v>
      </c>
      <c r="O905" t="s">
        <v>53</v>
      </c>
      <c r="P905" t="s">
        <v>70</v>
      </c>
      <c r="Q905" t="s">
        <v>71</v>
      </c>
      <c r="R905" t="s">
        <v>56</v>
      </c>
      <c r="S905" t="s">
        <v>57</v>
      </c>
      <c r="T905" t="s">
        <v>58</v>
      </c>
      <c r="U905" t="s">
        <v>81</v>
      </c>
      <c r="V905">
        <v>0.46395399999999998</v>
      </c>
      <c r="W905" t="s">
        <v>53</v>
      </c>
      <c r="X905" t="s">
        <v>53</v>
      </c>
      <c r="Y905" t="s">
        <v>165</v>
      </c>
      <c r="Z905" t="str">
        <f t="shared" si="28"/>
        <v>Mayor que 60 - hasta 70</v>
      </c>
      <c r="AA905">
        <f t="shared" si="29"/>
        <v>1</v>
      </c>
      <c r="AB905">
        <v>68572</v>
      </c>
      <c r="AC905" t="s">
        <v>282</v>
      </c>
      <c r="AD905" t="s">
        <v>88</v>
      </c>
      <c r="AE905">
        <v>0.36087399999999997</v>
      </c>
      <c r="AF905" t="s">
        <v>63</v>
      </c>
      <c r="AG905">
        <v>11.636753000000001</v>
      </c>
      <c r="AH905" t="s">
        <v>234</v>
      </c>
      <c r="AI905" t="s">
        <v>407</v>
      </c>
      <c r="AJ905">
        <v>2.9232550000000002</v>
      </c>
      <c r="AK905" t="s">
        <v>77</v>
      </c>
      <c r="AL905">
        <v>78.347727000000006</v>
      </c>
      <c r="AM905" s="4" t="s">
        <v>65</v>
      </c>
      <c r="AN905" s="5">
        <v>22337.945826682124</v>
      </c>
      <c r="AO905" s="4" t="s">
        <v>65</v>
      </c>
      <c r="AP905" s="6">
        <v>6675</v>
      </c>
      <c r="AQ905">
        <v>3</v>
      </c>
      <c r="AR905">
        <v>10202.187137999999</v>
      </c>
      <c r="AS905" t="s">
        <v>66</v>
      </c>
      <c r="AT905" t="s">
        <v>53</v>
      </c>
    </row>
    <row r="906" spans="1:46">
      <c r="A906">
        <v>1032</v>
      </c>
      <c r="B906" t="s">
        <v>46</v>
      </c>
      <c r="C906">
        <v>68</v>
      </c>
      <c r="D906">
        <v>573</v>
      </c>
      <c r="E906" t="s">
        <v>1247</v>
      </c>
      <c r="F906" t="s">
        <v>1186</v>
      </c>
      <c r="G906">
        <v>68573</v>
      </c>
      <c r="H906">
        <v>68573</v>
      </c>
      <c r="I906" t="s">
        <v>49</v>
      </c>
      <c r="J906">
        <v>6806</v>
      </c>
      <c r="K906" t="s">
        <v>1189</v>
      </c>
      <c r="L906" t="s">
        <v>69</v>
      </c>
      <c r="M906" t="s">
        <v>53</v>
      </c>
      <c r="N906">
        <v>7914</v>
      </c>
      <c r="O906" t="s">
        <v>53</v>
      </c>
      <c r="P906" t="s">
        <v>70</v>
      </c>
      <c r="Q906" t="s">
        <v>71</v>
      </c>
      <c r="R906" t="s">
        <v>56</v>
      </c>
      <c r="S906" t="s">
        <v>57</v>
      </c>
      <c r="T906" t="s">
        <v>58</v>
      </c>
      <c r="U906" t="s">
        <v>59</v>
      </c>
      <c r="V906">
        <v>0.72073600000000004</v>
      </c>
      <c r="W906">
        <v>2024</v>
      </c>
      <c r="X906" t="s">
        <v>109</v>
      </c>
      <c r="Y906" t="s">
        <v>167</v>
      </c>
      <c r="Z906" t="str">
        <f t="shared" si="28"/>
        <v>Mayor que 50 - hasta 60</v>
      </c>
      <c r="AA906">
        <f t="shared" si="29"/>
        <v>1</v>
      </c>
      <c r="AB906">
        <v>68573</v>
      </c>
      <c r="AC906" t="s">
        <v>61</v>
      </c>
      <c r="AD906" t="s">
        <v>159</v>
      </c>
      <c r="AE906">
        <v>1.8437129999999999</v>
      </c>
      <c r="AF906" t="s">
        <v>76</v>
      </c>
      <c r="AG906">
        <v>78.293312</v>
      </c>
      <c r="AH906" t="s">
        <v>282</v>
      </c>
      <c r="AI906" t="s">
        <v>284</v>
      </c>
      <c r="AJ906">
        <v>4.1233649999999997</v>
      </c>
      <c r="AK906" t="s">
        <v>85</v>
      </c>
      <c r="AL906">
        <v>162.13931400000001</v>
      </c>
      <c r="AM906" s="4" t="s">
        <v>64</v>
      </c>
      <c r="AN906" s="5">
        <v>46054.648403057472</v>
      </c>
      <c r="AO906" s="4" t="s">
        <v>64</v>
      </c>
      <c r="AP906" s="6">
        <v>667</v>
      </c>
      <c r="AQ906">
        <v>1</v>
      </c>
      <c r="AR906">
        <v>28419.131675000001</v>
      </c>
      <c r="AS906" t="s">
        <v>66</v>
      </c>
      <c r="AT906" t="s">
        <v>53</v>
      </c>
    </row>
    <row r="907" spans="1:46">
      <c r="A907">
        <v>1033</v>
      </c>
      <c r="B907" t="s">
        <v>46</v>
      </c>
      <c r="C907">
        <v>68</v>
      </c>
      <c r="D907">
        <v>575</v>
      </c>
      <c r="E907" t="s">
        <v>1248</v>
      </c>
      <c r="F907" t="s">
        <v>1186</v>
      </c>
      <c r="G907">
        <v>68575</v>
      </c>
      <c r="H907">
        <v>68575</v>
      </c>
      <c r="I907" t="s">
        <v>49</v>
      </c>
      <c r="J907">
        <v>6804</v>
      </c>
      <c r="K907" t="s">
        <v>1194</v>
      </c>
      <c r="L907" t="s">
        <v>69</v>
      </c>
      <c r="M907" t="s">
        <v>53</v>
      </c>
      <c r="N907">
        <v>35594</v>
      </c>
      <c r="O907" t="s">
        <v>53</v>
      </c>
      <c r="P907" t="s">
        <v>92</v>
      </c>
      <c r="Q907" t="s">
        <v>71</v>
      </c>
      <c r="R907" t="s">
        <v>56</v>
      </c>
      <c r="S907" t="s">
        <v>57</v>
      </c>
      <c r="T907" t="s">
        <v>58</v>
      </c>
      <c r="U907" t="s">
        <v>119</v>
      </c>
      <c r="V907">
        <v>0.37923899999999999</v>
      </c>
      <c r="W907">
        <v>2024</v>
      </c>
      <c r="X907" t="s">
        <v>176</v>
      </c>
      <c r="Y907" t="s">
        <v>87</v>
      </c>
      <c r="Z907" t="str">
        <f t="shared" si="28"/>
        <v>Mayor que 40 - hasta 50</v>
      </c>
      <c r="AA907">
        <f t="shared" si="29"/>
        <v>1</v>
      </c>
      <c r="AB907">
        <v>68575</v>
      </c>
      <c r="AC907" t="s">
        <v>282</v>
      </c>
      <c r="AD907" t="s">
        <v>283</v>
      </c>
      <c r="AE907">
        <v>1.6588879999999999</v>
      </c>
      <c r="AF907" t="s">
        <v>76</v>
      </c>
      <c r="AG907">
        <v>50.377164</v>
      </c>
      <c r="AH907" t="s">
        <v>282</v>
      </c>
      <c r="AI907" t="s">
        <v>284</v>
      </c>
      <c r="AJ907">
        <v>4.0822890000000003</v>
      </c>
      <c r="AK907" t="s">
        <v>85</v>
      </c>
      <c r="AL907">
        <v>137.91950900000001</v>
      </c>
      <c r="AM907" s="4" t="s">
        <v>97</v>
      </c>
      <c r="AN907" s="5">
        <v>74138.523538563953</v>
      </c>
      <c r="AO907" s="4" t="s">
        <v>64</v>
      </c>
      <c r="AP907" s="6">
        <v>985</v>
      </c>
      <c r="AQ907">
        <v>3</v>
      </c>
      <c r="AR907">
        <v>57814.754133000002</v>
      </c>
      <c r="AS907" t="s">
        <v>66</v>
      </c>
      <c r="AT907" t="s">
        <v>53</v>
      </c>
    </row>
    <row r="908" spans="1:46">
      <c r="A908">
        <v>991</v>
      </c>
      <c r="B908" t="s">
        <v>46</v>
      </c>
      <c r="C908">
        <v>68</v>
      </c>
      <c r="D908">
        <v>615</v>
      </c>
      <c r="E908" t="s">
        <v>239</v>
      </c>
      <c r="F908" t="s">
        <v>1186</v>
      </c>
      <c r="G908">
        <v>68615</v>
      </c>
      <c r="H908">
        <v>68615</v>
      </c>
      <c r="I908" t="s">
        <v>49</v>
      </c>
      <c r="J908">
        <v>6805</v>
      </c>
      <c r="K908" t="s">
        <v>1187</v>
      </c>
      <c r="L908" t="s">
        <v>80</v>
      </c>
      <c r="M908" t="s">
        <v>53</v>
      </c>
      <c r="N908">
        <v>26924</v>
      </c>
      <c r="O908" t="s">
        <v>53</v>
      </c>
      <c r="P908" t="s">
        <v>70</v>
      </c>
      <c r="Q908" t="s">
        <v>71</v>
      </c>
      <c r="R908" t="s">
        <v>122</v>
      </c>
      <c r="S908" t="s">
        <v>57</v>
      </c>
      <c r="T908" t="s">
        <v>73</v>
      </c>
      <c r="U908" t="s">
        <v>59</v>
      </c>
      <c r="V908">
        <v>0.399816</v>
      </c>
      <c r="W908" t="s">
        <v>53</v>
      </c>
      <c r="X908" t="s">
        <v>53</v>
      </c>
      <c r="Y908" t="s">
        <v>127</v>
      </c>
      <c r="Z908" t="str">
        <f t="shared" si="28"/>
        <v>Mayor que 70 - hasta 80</v>
      </c>
      <c r="AA908">
        <f t="shared" si="29"/>
        <v>1</v>
      </c>
      <c r="AB908">
        <v>68615</v>
      </c>
      <c r="AC908" t="s">
        <v>282</v>
      </c>
      <c r="AD908" t="s">
        <v>284</v>
      </c>
      <c r="AE908">
        <v>0.91978899999999997</v>
      </c>
      <c r="AF908" t="s">
        <v>63</v>
      </c>
      <c r="AG908">
        <v>22.579394000000001</v>
      </c>
      <c r="AH908" t="s">
        <v>282</v>
      </c>
      <c r="AI908" t="s">
        <v>284</v>
      </c>
      <c r="AJ908">
        <v>0.898613</v>
      </c>
      <c r="AK908" t="s">
        <v>63</v>
      </c>
      <c r="AL908">
        <v>23.279394</v>
      </c>
      <c r="AM908" s="4" t="s">
        <v>64</v>
      </c>
      <c r="AN908" s="5">
        <v>72472.821006114638</v>
      </c>
      <c r="AO908" s="4" t="s">
        <v>65</v>
      </c>
      <c r="AP908" s="6">
        <v>4493</v>
      </c>
      <c r="AQ908">
        <v>4</v>
      </c>
      <c r="AR908">
        <v>42341.660593000001</v>
      </c>
      <c r="AS908" t="s">
        <v>66</v>
      </c>
      <c r="AT908" t="s">
        <v>53</v>
      </c>
    </row>
    <row r="909" spans="1:46">
      <c r="A909">
        <v>992</v>
      </c>
      <c r="B909" t="s">
        <v>46</v>
      </c>
      <c r="C909">
        <v>68</v>
      </c>
      <c r="D909">
        <v>655</v>
      </c>
      <c r="E909" t="s">
        <v>698</v>
      </c>
      <c r="F909" t="s">
        <v>1186</v>
      </c>
      <c r="G909">
        <v>68655</v>
      </c>
      <c r="H909">
        <v>68655</v>
      </c>
      <c r="I909" t="s">
        <v>49</v>
      </c>
      <c r="J909">
        <v>6804</v>
      </c>
      <c r="K909" t="s">
        <v>1194</v>
      </c>
      <c r="L909" t="s">
        <v>69</v>
      </c>
      <c r="M909" t="s">
        <v>53</v>
      </c>
      <c r="N909">
        <v>34690</v>
      </c>
      <c r="O909" t="s">
        <v>53</v>
      </c>
      <c r="P909" t="s">
        <v>92</v>
      </c>
      <c r="Q909" t="s">
        <v>71</v>
      </c>
      <c r="R909" t="s">
        <v>105</v>
      </c>
      <c r="S909" t="s">
        <v>57</v>
      </c>
      <c r="T909" t="s">
        <v>73</v>
      </c>
      <c r="U909" t="s">
        <v>119</v>
      </c>
      <c r="V909">
        <v>0.45459699999999997</v>
      </c>
      <c r="W909" t="s">
        <v>53</v>
      </c>
      <c r="X909" t="s">
        <v>53</v>
      </c>
      <c r="Y909" t="s">
        <v>187</v>
      </c>
      <c r="Z909" t="str">
        <f t="shared" si="28"/>
        <v>Mayor que 80 - hasta 100</v>
      </c>
      <c r="AA909">
        <f t="shared" si="29"/>
        <v>1</v>
      </c>
      <c r="AB909">
        <v>68655</v>
      </c>
      <c r="AC909" t="s">
        <v>282</v>
      </c>
      <c r="AD909" t="s">
        <v>698</v>
      </c>
      <c r="AE909">
        <v>0</v>
      </c>
      <c r="AF909" t="s">
        <v>63</v>
      </c>
      <c r="AG909">
        <v>0</v>
      </c>
      <c r="AH909" t="s">
        <v>282</v>
      </c>
      <c r="AI909" t="s">
        <v>284</v>
      </c>
      <c r="AJ909">
        <v>2.862581</v>
      </c>
      <c r="AK909" t="s">
        <v>77</v>
      </c>
      <c r="AL909">
        <v>80.095035999999993</v>
      </c>
      <c r="AM909" s="4" t="s">
        <v>64</v>
      </c>
      <c r="AN909" s="5">
        <v>95387.996308800633</v>
      </c>
      <c r="AO909" s="4" t="s">
        <v>64</v>
      </c>
      <c r="AP909" s="6">
        <v>1517</v>
      </c>
      <c r="AQ909">
        <v>2</v>
      </c>
      <c r="AR909">
        <v>46305.635311999999</v>
      </c>
      <c r="AS909" t="s">
        <v>66</v>
      </c>
      <c r="AT909" t="s">
        <v>53</v>
      </c>
    </row>
    <row r="910" spans="1:46">
      <c r="A910">
        <v>993</v>
      </c>
      <c r="B910" t="s">
        <v>46</v>
      </c>
      <c r="C910">
        <v>68</v>
      </c>
      <c r="D910">
        <v>669</v>
      </c>
      <c r="E910" t="s">
        <v>243</v>
      </c>
      <c r="F910" t="s">
        <v>1186</v>
      </c>
      <c r="G910">
        <v>68669</v>
      </c>
      <c r="H910">
        <v>68669</v>
      </c>
      <c r="I910" t="s">
        <v>49</v>
      </c>
      <c r="J910">
        <v>6802</v>
      </c>
      <c r="K910" t="s">
        <v>1198</v>
      </c>
      <c r="L910" t="s">
        <v>69</v>
      </c>
      <c r="M910" t="s">
        <v>53</v>
      </c>
      <c r="N910">
        <v>9083</v>
      </c>
      <c r="O910" t="s">
        <v>53</v>
      </c>
      <c r="P910" t="s">
        <v>70</v>
      </c>
      <c r="Q910" t="s">
        <v>71</v>
      </c>
      <c r="R910" t="s">
        <v>93</v>
      </c>
      <c r="S910" t="s">
        <v>57</v>
      </c>
      <c r="T910" t="s">
        <v>58</v>
      </c>
      <c r="U910" t="s">
        <v>81</v>
      </c>
      <c r="V910">
        <v>0.55382200000000004</v>
      </c>
      <c r="W910" t="s">
        <v>53</v>
      </c>
      <c r="X910" t="s">
        <v>53</v>
      </c>
      <c r="Y910" t="s">
        <v>116</v>
      </c>
      <c r="Z910" t="str">
        <f t="shared" si="28"/>
        <v>Mayor que 30 - hasta 40</v>
      </c>
      <c r="AA910">
        <f t="shared" si="29"/>
        <v>1</v>
      </c>
      <c r="AB910">
        <v>68669</v>
      </c>
      <c r="AC910" t="s">
        <v>282</v>
      </c>
      <c r="AD910" t="s">
        <v>1195</v>
      </c>
      <c r="AE910">
        <v>2.19251</v>
      </c>
      <c r="AF910" t="s">
        <v>77</v>
      </c>
      <c r="AG910">
        <v>60.013917999999997</v>
      </c>
      <c r="AH910" t="s">
        <v>282</v>
      </c>
      <c r="AI910" t="s">
        <v>284</v>
      </c>
      <c r="AJ910">
        <v>2.7322380000000002</v>
      </c>
      <c r="AK910" t="s">
        <v>77</v>
      </c>
      <c r="AL910">
        <v>76.523463000000007</v>
      </c>
      <c r="AM910" s="4" t="s">
        <v>65</v>
      </c>
      <c r="AN910" s="5">
        <v>17408.209906733933</v>
      </c>
      <c r="AO910" s="4" t="s">
        <v>65</v>
      </c>
      <c r="AP910" s="6">
        <v>5257</v>
      </c>
      <c r="AQ910">
        <v>4</v>
      </c>
      <c r="AR910">
        <v>9849.3774880000001</v>
      </c>
      <c r="AS910" t="s">
        <v>66</v>
      </c>
      <c r="AT910" t="s">
        <v>53</v>
      </c>
    </row>
    <row r="911" spans="1:46">
      <c r="A911">
        <v>994</v>
      </c>
      <c r="B911" t="s">
        <v>46</v>
      </c>
      <c r="C911">
        <v>68</v>
      </c>
      <c r="D911">
        <v>673</v>
      </c>
      <c r="E911" t="s">
        <v>1249</v>
      </c>
      <c r="F911" t="s">
        <v>1186</v>
      </c>
      <c r="G911">
        <v>68673</v>
      </c>
      <c r="H911">
        <v>68673</v>
      </c>
      <c r="I911" t="s">
        <v>49</v>
      </c>
      <c r="J911">
        <v>6806</v>
      </c>
      <c r="K911" t="s">
        <v>1189</v>
      </c>
      <c r="L911" t="s">
        <v>69</v>
      </c>
      <c r="M911" t="s">
        <v>53</v>
      </c>
      <c r="N911">
        <v>3055</v>
      </c>
      <c r="O911" t="s">
        <v>53</v>
      </c>
      <c r="P911" t="s">
        <v>70</v>
      </c>
      <c r="Q911" t="s">
        <v>71</v>
      </c>
      <c r="R911" t="s">
        <v>56</v>
      </c>
      <c r="S911" t="s">
        <v>57</v>
      </c>
      <c r="T911" t="s">
        <v>58</v>
      </c>
      <c r="U911" t="s">
        <v>81</v>
      </c>
      <c r="V911">
        <v>0.62277800000000005</v>
      </c>
      <c r="W911" t="s">
        <v>53</v>
      </c>
      <c r="X911" t="s">
        <v>53</v>
      </c>
      <c r="Y911" t="s">
        <v>165</v>
      </c>
      <c r="Z911" t="str">
        <f t="shared" si="28"/>
        <v>Mayor que 60 - hasta 70</v>
      </c>
      <c r="AA911">
        <f t="shared" si="29"/>
        <v>1</v>
      </c>
      <c r="AB911">
        <v>68673</v>
      </c>
      <c r="AC911" t="s">
        <v>282</v>
      </c>
      <c r="AD911" t="s">
        <v>88</v>
      </c>
      <c r="AE911">
        <v>1.1046659999999999</v>
      </c>
      <c r="AF911" t="s">
        <v>76</v>
      </c>
      <c r="AG911">
        <v>29.777670000000001</v>
      </c>
      <c r="AH911" t="s">
        <v>234</v>
      </c>
      <c r="AI911" t="s">
        <v>407</v>
      </c>
      <c r="AJ911">
        <v>3.6832579999999999</v>
      </c>
      <c r="AK911" t="s">
        <v>84</v>
      </c>
      <c r="AL911">
        <v>96.947221999999996</v>
      </c>
      <c r="AM911" s="4" t="s">
        <v>65</v>
      </c>
      <c r="AN911" s="5">
        <v>4213.4721713820054</v>
      </c>
      <c r="AO911" s="4" t="s">
        <v>65</v>
      </c>
      <c r="AP911" s="6">
        <v>1679</v>
      </c>
      <c r="AQ911">
        <v>3</v>
      </c>
      <c r="AR911">
        <v>2696.4808710000002</v>
      </c>
      <c r="AS911" t="s">
        <v>66</v>
      </c>
      <c r="AT911" t="s">
        <v>53</v>
      </c>
    </row>
    <row r="912" spans="1:46">
      <c r="A912">
        <v>995</v>
      </c>
      <c r="B912" t="s">
        <v>46</v>
      </c>
      <c r="C912">
        <v>68</v>
      </c>
      <c r="D912">
        <v>679</v>
      </c>
      <c r="E912" t="s">
        <v>1192</v>
      </c>
      <c r="F912" t="s">
        <v>1186</v>
      </c>
      <c r="G912">
        <v>68679</v>
      </c>
      <c r="H912">
        <v>68679</v>
      </c>
      <c r="I912" t="s">
        <v>49</v>
      </c>
      <c r="J912">
        <v>6803</v>
      </c>
      <c r="K912" t="s">
        <v>1191</v>
      </c>
      <c r="L912" t="s">
        <v>51</v>
      </c>
      <c r="M912" t="s">
        <v>53</v>
      </c>
      <c r="N912">
        <v>63009</v>
      </c>
      <c r="O912" t="s">
        <v>53</v>
      </c>
      <c r="P912" t="s">
        <v>92</v>
      </c>
      <c r="Q912" t="s">
        <v>134</v>
      </c>
      <c r="R912" t="s">
        <v>93</v>
      </c>
      <c r="S912" t="s">
        <v>57</v>
      </c>
      <c r="T912" t="s">
        <v>58</v>
      </c>
      <c r="U912" t="s">
        <v>81</v>
      </c>
      <c r="V912">
        <v>0.25623000000000001</v>
      </c>
      <c r="W912" t="s">
        <v>53</v>
      </c>
      <c r="X912" t="s">
        <v>53</v>
      </c>
      <c r="Y912" t="s">
        <v>127</v>
      </c>
      <c r="Z912" t="str">
        <f t="shared" si="28"/>
        <v>Mayor que 70 - hasta 80</v>
      </c>
      <c r="AA912">
        <f t="shared" si="29"/>
        <v>1</v>
      </c>
      <c r="AB912">
        <v>68679</v>
      </c>
      <c r="AC912" t="s">
        <v>282</v>
      </c>
      <c r="AD912" t="s">
        <v>1192</v>
      </c>
      <c r="AE912">
        <v>0</v>
      </c>
      <c r="AF912" t="s">
        <v>63</v>
      </c>
      <c r="AG912">
        <v>0</v>
      </c>
      <c r="AH912" t="s">
        <v>282</v>
      </c>
      <c r="AI912" t="s">
        <v>284</v>
      </c>
      <c r="AJ912">
        <v>2.8752249999999999</v>
      </c>
      <c r="AK912" t="s">
        <v>77</v>
      </c>
      <c r="AL912">
        <v>86.821738999999994</v>
      </c>
      <c r="AM912" s="4" t="s">
        <v>65</v>
      </c>
      <c r="AN912" s="5">
        <v>8628.1924573404722</v>
      </c>
      <c r="AO912" s="4" t="s">
        <v>65</v>
      </c>
      <c r="AP912" s="6">
        <v>3187</v>
      </c>
      <c r="AQ912">
        <v>3</v>
      </c>
      <c r="AR912">
        <v>5290.0866159999996</v>
      </c>
      <c r="AS912" t="s">
        <v>66</v>
      </c>
      <c r="AT912" t="s">
        <v>53</v>
      </c>
    </row>
    <row r="913" spans="1:46">
      <c r="A913">
        <v>996</v>
      </c>
      <c r="B913" t="s">
        <v>46</v>
      </c>
      <c r="C913">
        <v>68</v>
      </c>
      <c r="D913">
        <v>682</v>
      </c>
      <c r="E913" t="s">
        <v>1250</v>
      </c>
      <c r="F913" t="s">
        <v>1186</v>
      </c>
      <c r="G913">
        <v>68682</v>
      </c>
      <c r="H913">
        <v>68682</v>
      </c>
      <c r="I913" t="s">
        <v>49</v>
      </c>
      <c r="J913">
        <v>6803</v>
      </c>
      <c r="K913" t="s">
        <v>1191</v>
      </c>
      <c r="L913" t="s">
        <v>80</v>
      </c>
      <c r="M913" t="s">
        <v>53</v>
      </c>
      <c r="N913">
        <v>2301</v>
      </c>
      <c r="O913" t="s">
        <v>53</v>
      </c>
      <c r="P913" t="s">
        <v>70</v>
      </c>
      <c r="Q913" t="s">
        <v>71</v>
      </c>
      <c r="R913" t="s">
        <v>122</v>
      </c>
      <c r="S913" t="s">
        <v>57</v>
      </c>
      <c r="T913" t="s">
        <v>58</v>
      </c>
      <c r="U913" t="s">
        <v>81</v>
      </c>
      <c r="V913">
        <v>0.72644600000000004</v>
      </c>
      <c r="W913" t="s">
        <v>53</v>
      </c>
      <c r="X913" t="s">
        <v>53</v>
      </c>
      <c r="Y913" t="s">
        <v>87</v>
      </c>
      <c r="Z913" t="str">
        <f t="shared" si="28"/>
        <v>Mayor que 40 - hasta 50</v>
      </c>
      <c r="AA913">
        <f t="shared" si="29"/>
        <v>1</v>
      </c>
      <c r="AB913">
        <v>68682</v>
      </c>
      <c r="AC913" t="s">
        <v>282</v>
      </c>
      <c r="AD913" t="s">
        <v>1192</v>
      </c>
      <c r="AE913">
        <v>1.306243</v>
      </c>
      <c r="AF913" t="s">
        <v>76</v>
      </c>
      <c r="AG913">
        <v>46.501429000000002</v>
      </c>
      <c r="AH913" t="s">
        <v>282</v>
      </c>
      <c r="AI913" t="s">
        <v>284</v>
      </c>
      <c r="AJ913">
        <v>3.9586070000000002</v>
      </c>
      <c r="AK913" t="s">
        <v>84</v>
      </c>
      <c r="AL913">
        <v>126.729055</v>
      </c>
      <c r="AM913" s="4" t="s">
        <v>65</v>
      </c>
      <c r="AN913" s="5">
        <v>6579.6838445280118</v>
      </c>
      <c r="AO913" s="4" t="s">
        <v>65</v>
      </c>
      <c r="AP913" s="6">
        <v>1333</v>
      </c>
      <c r="AQ913">
        <v>4</v>
      </c>
      <c r="AR913">
        <v>11348.548054000001</v>
      </c>
      <c r="AS913" t="s">
        <v>66</v>
      </c>
      <c r="AT913" t="s">
        <v>53</v>
      </c>
    </row>
    <row r="914" spans="1:46">
      <c r="A914">
        <v>997</v>
      </c>
      <c r="B914" t="s">
        <v>46</v>
      </c>
      <c r="C914">
        <v>68</v>
      </c>
      <c r="D914">
        <v>684</v>
      </c>
      <c r="E914" t="s">
        <v>1251</v>
      </c>
      <c r="F914" t="s">
        <v>1186</v>
      </c>
      <c r="G914">
        <v>68684</v>
      </c>
      <c r="H914">
        <v>68684</v>
      </c>
      <c r="I914" t="s">
        <v>49</v>
      </c>
      <c r="J914">
        <v>6802</v>
      </c>
      <c r="K914" t="s">
        <v>1198</v>
      </c>
      <c r="L914" t="s">
        <v>69</v>
      </c>
      <c r="M914" t="s">
        <v>53</v>
      </c>
      <c r="N914">
        <v>4429</v>
      </c>
      <c r="O914" t="s">
        <v>53</v>
      </c>
      <c r="P914" t="s">
        <v>70</v>
      </c>
      <c r="Q914" t="s">
        <v>71</v>
      </c>
      <c r="R914" t="s">
        <v>56</v>
      </c>
      <c r="S914" t="s">
        <v>57</v>
      </c>
      <c r="T914" t="s">
        <v>58</v>
      </c>
      <c r="U914" t="s">
        <v>81</v>
      </c>
      <c r="V914">
        <v>0.48134900000000003</v>
      </c>
      <c r="W914" t="s">
        <v>53</v>
      </c>
      <c r="X914" t="s">
        <v>53</v>
      </c>
      <c r="Y914" t="s">
        <v>87</v>
      </c>
      <c r="Z914" t="str">
        <f t="shared" si="28"/>
        <v>Mayor que 40 - hasta 50</v>
      </c>
      <c r="AA914">
        <f t="shared" si="29"/>
        <v>1</v>
      </c>
      <c r="AB914">
        <v>68684</v>
      </c>
      <c r="AC914" t="s">
        <v>685</v>
      </c>
      <c r="AD914" t="s">
        <v>1127</v>
      </c>
      <c r="AE914">
        <v>3.5505770000000001</v>
      </c>
      <c r="AF914" t="s">
        <v>84</v>
      </c>
      <c r="AG914">
        <v>112.257273</v>
      </c>
      <c r="AH914" t="s">
        <v>282</v>
      </c>
      <c r="AI914" t="s">
        <v>284</v>
      </c>
      <c r="AJ914">
        <v>4.0957910000000002</v>
      </c>
      <c r="AK914" t="s">
        <v>85</v>
      </c>
      <c r="AL914">
        <v>118.709459</v>
      </c>
      <c r="AM914" s="4" t="s">
        <v>65</v>
      </c>
      <c r="AN914" s="5">
        <v>5927.5988645241532</v>
      </c>
      <c r="AO914" s="4" t="s">
        <v>65</v>
      </c>
      <c r="AP914" s="6">
        <v>2260</v>
      </c>
      <c r="AQ914">
        <v>4</v>
      </c>
      <c r="AR914">
        <v>3627.7404510000001</v>
      </c>
      <c r="AS914" t="s">
        <v>66</v>
      </c>
      <c r="AT914" t="s">
        <v>53</v>
      </c>
    </row>
    <row r="915" spans="1:46">
      <c r="A915">
        <v>998</v>
      </c>
      <c r="B915" t="s">
        <v>46</v>
      </c>
      <c r="C915">
        <v>68</v>
      </c>
      <c r="D915">
        <v>686</v>
      </c>
      <c r="E915" t="s">
        <v>1252</v>
      </c>
      <c r="F915" t="s">
        <v>1186</v>
      </c>
      <c r="G915">
        <v>68686</v>
      </c>
      <c r="H915">
        <v>68686</v>
      </c>
      <c r="I915" t="s">
        <v>49</v>
      </c>
      <c r="J915">
        <v>6802</v>
      </c>
      <c r="K915" t="s">
        <v>1198</v>
      </c>
      <c r="L915" t="s">
        <v>80</v>
      </c>
      <c r="M915" t="s">
        <v>53</v>
      </c>
      <c r="N915">
        <v>2661</v>
      </c>
      <c r="O915" t="s">
        <v>53</v>
      </c>
      <c r="P915" t="s">
        <v>70</v>
      </c>
      <c r="Q915" t="s">
        <v>71</v>
      </c>
      <c r="R915" t="s">
        <v>122</v>
      </c>
      <c r="S915" t="s">
        <v>57</v>
      </c>
      <c r="T915" t="s">
        <v>58</v>
      </c>
      <c r="U915" t="s">
        <v>81</v>
      </c>
      <c r="V915">
        <v>0.60925399999999996</v>
      </c>
      <c r="W915" t="s">
        <v>53</v>
      </c>
      <c r="X915" t="s">
        <v>53</v>
      </c>
      <c r="Y915" t="s">
        <v>102</v>
      </c>
      <c r="Z915" t="str">
        <f t="shared" si="28"/>
        <v>Mayor que 20 - hasta 30</v>
      </c>
      <c r="AA915">
        <f t="shared" si="29"/>
        <v>1</v>
      </c>
      <c r="AB915">
        <v>68686</v>
      </c>
      <c r="AC915" t="s">
        <v>234</v>
      </c>
      <c r="AD915" t="s">
        <v>421</v>
      </c>
      <c r="AE915">
        <v>4.7515179999999999</v>
      </c>
      <c r="AF915" t="s">
        <v>85</v>
      </c>
      <c r="AG915">
        <v>140.720224</v>
      </c>
      <c r="AH915" t="s">
        <v>282</v>
      </c>
      <c r="AI915" t="s">
        <v>284</v>
      </c>
      <c r="AJ915">
        <v>5.491924</v>
      </c>
      <c r="AK915" t="s">
        <v>181</v>
      </c>
      <c r="AL915">
        <v>141.95453800000001</v>
      </c>
      <c r="AM915" s="4" t="s">
        <v>65</v>
      </c>
      <c r="AN915" s="5">
        <v>4563.6117944059633</v>
      </c>
      <c r="AO915" s="4" t="s">
        <v>65</v>
      </c>
      <c r="AP915" s="6">
        <v>1416</v>
      </c>
      <c r="AQ915">
        <v>3</v>
      </c>
      <c r="AR915">
        <v>3157.0421999999999</v>
      </c>
      <c r="AS915" t="s">
        <v>66</v>
      </c>
      <c r="AT915" t="s">
        <v>53</v>
      </c>
    </row>
    <row r="916" spans="1:46">
      <c r="A916">
        <v>999</v>
      </c>
      <c r="B916" t="s">
        <v>46</v>
      </c>
      <c r="C916">
        <v>68</v>
      </c>
      <c r="D916">
        <v>689</v>
      </c>
      <c r="E916" t="s">
        <v>1253</v>
      </c>
      <c r="F916" t="s">
        <v>1186</v>
      </c>
      <c r="G916">
        <v>68689</v>
      </c>
      <c r="H916">
        <v>68689</v>
      </c>
      <c r="I916" t="s">
        <v>49</v>
      </c>
      <c r="J916">
        <v>6804</v>
      </c>
      <c r="K916" t="s">
        <v>1194</v>
      </c>
      <c r="L916" t="s">
        <v>69</v>
      </c>
      <c r="M916" t="s">
        <v>53</v>
      </c>
      <c r="N916">
        <v>36272</v>
      </c>
      <c r="O916" t="s">
        <v>53</v>
      </c>
      <c r="P916" t="s">
        <v>92</v>
      </c>
      <c r="Q916" t="s">
        <v>71</v>
      </c>
      <c r="R916" t="s">
        <v>56</v>
      </c>
      <c r="S916" t="s">
        <v>57</v>
      </c>
      <c r="T916" t="s">
        <v>58</v>
      </c>
      <c r="U916" t="s">
        <v>59</v>
      </c>
      <c r="V916">
        <v>0.18214900000000001</v>
      </c>
      <c r="W916">
        <v>2024</v>
      </c>
      <c r="X916" t="s">
        <v>109</v>
      </c>
      <c r="Y916" t="s">
        <v>110</v>
      </c>
      <c r="Z916" t="str">
        <f t="shared" si="28"/>
        <v>Mayor que 30 - hasta 40</v>
      </c>
      <c r="AA916">
        <f t="shared" si="29"/>
        <v>0</v>
      </c>
      <c r="AB916">
        <v>68689</v>
      </c>
      <c r="AC916" t="s">
        <v>282</v>
      </c>
      <c r="AD916" t="s">
        <v>283</v>
      </c>
      <c r="AE916">
        <v>2.8559049999999999</v>
      </c>
      <c r="AF916" t="s">
        <v>77</v>
      </c>
      <c r="AG916">
        <v>68.352395000000001</v>
      </c>
      <c r="AH916" t="s">
        <v>282</v>
      </c>
      <c r="AI916" t="s">
        <v>284</v>
      </c>
      <c r="AJ916">
        <v>4.1998930000000003</v>
      </c>
      <c r="AK916" t="s">
        <v>85</v>
      </c>
      <c r="AL916">
        <v>74.325187999999997</v>
      </c>
      <c r="AM916" t="s">
        <v>65</v>
      </c>
      <c r="AN916" s="7">
        <v>1255.5019237760209</v>
      </c>
      <c r="AO916" t="s">
        <v>65</v>
      </c>
      <c r="AP916" s="3">
        <v>374</v>
      </c>
      <c r="AQ916">
        <v>3</v>
      </c>
      <c r="AR916">
        <v>1443.2190029999999</v>
      </c>
      <c r="AS916" t="s">
        <v>66</v>
      </c>
      <c r="AT916" t="s">
        <v>53</v>
      </c>
    </row>
    <row r="917" spans="1:46">
      <c r="A917">
        <v>1000</v>
      </c>
      <c r="B917" t="s">
        <v>46</v>
      </c>
      <c r="C917">
        <v>68</v>
      </c>
      <c r="D917">
        <v>705</v>
      </c>
      <c r="E917" t="s">
        <v>256</v>
      </c>
      <c r="F917" t="s">
        <v>1186</v>
      </c>
      <c r="G917">
        <v>68705</v>
      </c>
      <c r="H917">
        <v>68705</v>
      </c>
      <c r="I917" t="s">
        <v>49</v>
      </c>
      <c r="J917">
        <v>6805</v>
      </c>
      <c r="K917" t="s">
        <v>1187</v>
      </c>
      <c r="L917" t="s">
        <v>80</v>
      </c>
      <c r="M917" t="s">
        <v>53</v>
      </c>
      <c r="N917">
        <v>2496</v>
      </c>
      <c r="O917" t="s">
        <v>53</v>
      </c>
      <c r="P917" t="s">
        <v>70</v>
      </c>
      <c r="Q917" t="s">
        <v>71</v>
      </c>
      <c r="R917" t="s">
        <v>93</v>
      </c>
      <c r="S917" t="s">
        <v>57</v>
      </c>
      <c r="T917" t="s">
        <v>58</v>
      </c>
      <c r="U917" t="s">
        <v>59</v>
      </c>
      <c r="V917">
        <v>0.64651800000000004</v>
      </c>
      <c r="W917" t="s">
        <v>53</v>
      </c>
      <c r="X917" t="s">
        <v>53</v>
      </c>
      <c r="Y917" t="s">
        <v>167</v>
      </c>
      <c r="Z917" t="str">
        <f t="shared" si="28"/>
        <v>Mayor que 50 - hasta 60</v>
      </c>
      <c r="AA917">
        <f t="shared" si="29"/>
        <v>1</v>
      </c>
      <c r="AB917">
        <v>68705</v>
      </c>
      <c r="AC917" t="s">
        <v>282</v>
      </c>
      <c r="AD917" t="s">
        <v>1195</v>
      </c>
      <c r="AE917">
        <v>1.385151</v>
      </c>
      <c r="AF917" t="s">
        <v>76</v>
      </c>
      <c r="AG917">
        <v>33.896045999999998</v>
      </c>
      <c r="AH917" t="s">
        <v>282</v>
      </c>
      <c r="AI917" t="s">
        <v>284</v>
      </c>
      <c r="AJ917">
        <v>1.9248780000000001</v>
      </c>
      <c r="AK917" t="s">
        <v>76</v>
      </c>
      <c r="AL917">
        <v>50.405591999999999</v>
      </c>
      <c r="AM917" s="4" t="s">
        <v>64</v>
      </c>
      <c r="AN917" s="5">
        <v>8597.6245990149037</v>
      </c>
      <c r="AO917" s="4" t="s">
        <v>65</v>
      </c>
      <c r="AP917" s="6">
        <v>555</v>
      </c>
      <c r="AQ917">
        <v>4</v>
      </c>
      <c r="AR917">
        <v>13607.723792999999</v>
      </c>
      <c r="AS917" t="s">
        <v>66</v>
      </c>
      <c r="AT917" t="s">
        <v>53</v>
      </c>
    </row>
    <row r="918" spans="1:46">
      <c r="A918">
        <v>1001</v>
      </c>
      <c r="B918" t="s">
        <v>46</v>
      </c>
      <c r="C918">
        <v>68</v>
      </c>
      <c r="D918">
        <v>720</v>
      </c>
      <c r="E918" t="s">
        <v>1254</v>
      </c>
      <c r="F918" t="s">
        <v>1186</v>
      </c>
      <c r="G918">
        <v>68720</v>
      </c>
      <c r="H918">
        <v>68720</v>
      </c>
      <c r="I918" t="s">
        <v>49</v>
      </c>
      <c r="J918">
        <v>6801</v>
      </c>
      <c r="K918" t="s">
        <v>1204</v>
      </c>
      <c r="L918" t="s">
        <v>80</v>
      </c>
      <c r="M918" t="s">
        <v>53</v>
      </c>
      <c r="N918">
        <v>3548</v>
      </c>
      <c r="O918" t="s">
        <v>53</v>
      </c>
      <c r="P918" t="s">
        <v>70</v>
      </c>
      <c r="Q918" t="s">
        <v>71</v>
      </c>
      <c r="R918" t="s">
        <v>56</v>
      </c>
      <c r="S918" t="s">
        <v>57</v>
      </c>
      <c r="T918" t="s">
        <v>58</v>
      </c>
      <c r="U918" t="s">
        <v>59</v>
      </c>
      <c r="V918">
        <v>0.59332399999999996</v>
      </c>
      <c r="W918" t="s">
        <v>53</v>
      </c>
      <c r="X918" t="s">
        <v>53</v>
      </c>
      <c r="Y918" t="s">
        <v>87</v>
      </c>
      <c r="Z918" t="str">
        <f t="shared" si="28"/>
        <v>Mayor que 40 - hasta 50</v>
      </c>
      <c r="AA918">
        <f t="shared" si="29"/>
        <v>1</v>
      </c>
      <c r="AB918">
        <v>68720</v>
      </c>
      <c r="AC918" t="s">
        <v>282</v>
      </c>
      <c r="AD918" t="s">
        <v>88</v>
      </c>
      <c r="AE918">
        <v>2.6595870000000001</v>
      </c>
      <c r="AF918" t="s">
        <v>77</v>
      </c>
      <c r="AG918">
        <v>73.032293999999993</v>
      </c>
      <c r="AH918" t="s">
        <v>234</v>
      </c>
      <c r="AI918" t="s">
        <v>407</v>
      </c>
      <c r="AJ918">
        <v>5.2219680000000004</v>
      </c>
      <c r="AK918" t="s">
        <v>181</v>
      </c>
      <c r="AL918">
        <v>139.743268</v>
      </c>
      <c r="AM918" s="4" t="s">
        <v>64</v>
      </c>
      <c r="AN918" s="5">
        <v>21304.013305622866</v>
      </c>
      <c r="AO918" s="4" t="s">
        <v>65</v>
      </c>
      <c r="AP918" s="6">
        <v>873</v>
      </c>
      <c r="AQ918">
        <v>3</v>
      </c>
      <c r="AR918">
        <v>19504.866936999999</v>
      </c>
      <c r="AS918" t="s">
        <v>66</v>
      </c>
      <c r="AT918" t="s">
        <v>53</v>
      </c>
    </row>
    <row r="919" spans="1:46">
      <c r="A919">
        <v>1002</v>
      </c>
      <c r="B919" t="s">
        <v>46</v>
      </c>
      <c r="C919">
        <v>68</v>
      </c>
      <c r="D919">
        <v>745</v>
      </c>
      <c r="E919" t="s">
        <v>1255</v>
      </c>
      <c r="F919" t="s">
        <v>1186</v>
      </c>
      <c r="G919">
        <v>68745</v>
      </c>
      <c r="H919">
        <v>68745</v>
      </c>
      <c r="I919" t="s">
        <v>49</v>
      </c>
      <c r="J919">
        <v>6801</v>
      </c>
      <c r="K919" t="s">
        <v>1204</v>
      </c>
      <c r="L919" t="s">
        <v>80</v>
      </c>
      <c r="M919" t="s">
        <v>53</v>
      </c>
      <c r="N919">
        <v>10706</v>
      </c>
      <c r="O919" t="s">
        <v>53</v>
      </c>
      <c r="P919" t="s">
        <v>70</v>
      </c>
      <c r="Q919" t="s">
        <v>71</v>
      </c>
      <c r="R919" t="s">
        <v>122</v>
      </c>
      <c r="S919" t="s">
        <v>57</v>
      </c>
      <c r="T919" t="s">
        <v>58</v>
      </c>
      <c r="U919" t="s">
        <v>59</v>
      </c>
      <c r="V919">
        <v>0.5</v>
      </c>
      <c r="W919" t="s">
        <v>53</v>
      </c>
      <c r="X919" t="s">
        <v>53</v>
      </c>
      <c r="Y919" t="s">
        <v>116</v>
      </c>
      <c r="Z919" t="str">
        <f t="shared" si="28"/>
        <v>Mayor que 30 - hasta 40</v>
      </c>
      <c r="AA919">
        <f t="shared" si="29"/>
        <v>1</v>
      </c>
      <c r="AB919">
        <v>68745</v>
      </c>
      <c r="AC919" t="s">
        <v>282</v>
      </c>
      <c r="AD919" t="s">
        <v>1205</v>
      </c>
      <c r="AE919">
        <v>0.53387600000000002</v>
      </c>
      <c r="AF919" t="s">
        <v>63</v>
      </c>
      <c r="AG919">
        <v>12.246803999999999</v>
      </c>
      <c r="AH919" t="s">
        <v>282</v>
      </c>
      <c r="AI919" t="s">
        <v>284</v>
      </c>
      <c r="AJ919">
        <v>4.1033770000000001</v>
      </c>
      <c r="AK919" t="s">
        <v>85</v>
      </c>
      <c r="AL919">
        <v>119.72367199999999</v>
      </c>
      <c r="AM919" s="4" t="s">
        <v>64</v>
      </c>
      <c r="AN919" s="5">
        <v>51375.993439148217</v>
      </c>
      <c r="AO919" s="4" t="s">
        <v>65</v>
      </c>
      <c r="AP919" s="6">
        <v>2113</v>
      </c>
      <c r="AQ919">
        <v>3</v>
      </c>
      <c r="AR919">
        <v>38653.095926000002</v>
      </c>
      <c r="AS919" t="s">
        <v>66</v>
      </c>
      <c r="AT919" t="s">
        <v>53</v>
      </c>
    </row>
    <row r="920" spans="1:46">
      <c r="A920">
        <v>1003</v>
      </c>
      <c r="B920" t="s">
        <v>46</v>
      </c>
      <c r="C920">
        <v>68</v>
      </c>
      <c r="D920">
        <v>755</v>
      </c>
      <c r="E920" t="s">
        <v>1205</v>
      </c>
      <c r="F920" t="s">
        <v>1186</v>
      </c>
      <c r="G920">
        <v>68755</v>
      </c>
      <c r="H920">
        <v>68755</v>
      </c>
      <c r="I920" t="s">
        <v>49</v>
      </c>
      <c r="J920">
        <v>6801</v>
      </c>
      <c r="K920" t="s">
        <v>1204</v>
      </c>
      <c r="L920" t="s">
        <v>91</v>
      </c>
      <c r="M920" t="s">
        <v>53</v>
      </c>
      <c r="N920">
        <v>35604</v>
      </c>
      <c r="O920" t="s">
        <v>53</v>
      </c>
      <c r="P920" t="s">
        <v>92</v>
      </c>
      <c r="Q920" t="s">
        <v>71</v>
      </c>
      <c r="R920" t="s">
        <v>122</v>
      </c>
      <c r="S920" t="s">
        <v>57</v>
      </c>
      <c r="T920" t="s">
        <v>58</v>
      </c>
      <c r="U920" t="s">
        <v>81</v>
      </c>
      <c r="V920">
        <v>0.34390300000000001</v>
      </c>
      <c r="W920" t="s">
        <v>53</v>
      </c>
      <c r="X920" t="s">
        <v>53</v>
      </c>
      <c r="Y920" t="s">
        <v>87</v>
      </c>
      <c r="Z920" t="str">
        <f t="shared" si="28"/>
        <v>Mayor que 40 - hasta 50</v>
      </c>
      <c r="AA920">
        <f t="shared" si="29"/>
        <v>1</v>
      </c>
      <c r="AB920">
        <v>68755</v>
      </c>
      <c r="AC920" t="s">
        <v>282</v>
      </c>
      <c r="AD920" t="s">
        <v>1205</v>
      </c>
      <c r="AE920">
        <v>0</v>
      </c>
      <c r="AF920" t="s">
        <v>63</v>
      </c>
      <c r="AG920">
        <v>0</v>
      </c>
      <c r="AH920" t="s">
        <v>282</v>
      </c>
      <c r="AI920" t="s">
        <v>284</v>
      </c>
      <c r="AJ920">
        <v>3.6392600000000002</v>
      </c>
      <c r="AK920" t="s">
        <v>84</v>
      </c>
      <c r="AL920">
        <v>107.959711</v>
      </c>
      <c r="AM920" s="4" t="s">
        <v>65</v>
      </c>
      <c r="AN920" s="5">
        <v>6965.3461531587127</v>
      </c>
      <c r="AO920" s="4" t="s">
        <v>65</v>
      </c>
      <c r="AP920" s="6">
        <v>2753</v>
      </c>
      <c r="AQ920">
        <v>3</v>
      </c>
      <c r="AR920">
        <v>6953.2654579999999</v>
      </c>
      <c r="AS920" t="s">
        <v>66</v>
      </c>
      <c r="AT920" t="s">
        <v>53</v>
      </c>
    </row>
    <row r="921" spans="1:46">
      <c r="A921">
        <v>1004</v>
      </c>
      <c r="B921" t="s">
        <v>46</v>
      </c>
      <c r="C921">
        <v>68</v>
      </c>
      <c r="D921">
        <v>770</v>
      </c>
      <c r="E921" t="s">
        <v>1256</v>
      </c>
      <c r="F921" t="s">
        <v>1186</v>
      </c>
      <c r="G921">
        <v>68770</v>
      </c>
      <c r="H921">
        <v>68770</v>
      </c>
      <c r="I921" t="s">
        <v>49</v>
      </c>
      <c r="J921">
        <v>6801</v>
      </c>
      <c r="K921" t="s">
        <v>1204</v>
      </c>
      <c r="L921" t="s">
        <v>80</v>
      </c>
      <c r="M921" t="s">
        <v>53</v>
      </c>
      <c r="N921">
        <v>10592</v>
      </c>
      <c r="O921" t="s">
        <v>53</v>
      </c>
      <c r="P921" t="s">
        <v>70</v>
      </c>
      <c r="Q921" t="s">
        <v>71</v>
      </c>
      <c r="R921" t="s">
        <v>105</v>
      </c>
      <c r="S921" t="s">
        <v>57</v>
      </c>
      <c r="T921" t="s">
        <v>58</v>
      </c>
      <c r="U921" t="s">
        <v>81</v>
      </c>
      <c r="V921">
        <v>0.41535100000000003</v>
      </c>
      <c r="W921" t="s">
        <v>53</v>
      </c>
      <c r="X921" t="s">
        <v>53</v>
      </c>
      <c r="Y921" t="s">
        <v>116</v>
      </c>
      <c r="Z921" t="str">
        <f t="shared" si="28"/>
        <v>Mayor que 30 - hasta 40</v>
      </c>
      <c r="AA921">
        <f t="shared" si="29"/>
        <v>1</v>
      </c>
      <c r="AB921">
        <v>68770</v>
      </c>
      <c r="AC921" t="s">
        <v>282</v>
      </c>
      <c r="AD921" t="s">
        <v>88</v>
      </c>
      <c r="AE921">
        <v>1.3583559999999999</v>
      </c>
      <c r="AF921" t="s">
        <v>76</v>
      </c>
      <c r="AG921">
        <v>44.811478999999999</v>
      </c>
      <c r="AH921" t="s">
        <v>234</v>
      </c>
      <c r="AI921" t="s">
        <v>407</v>
      </c>
      <c r="AJ921">
        <v>3.9369480000000001</v>
      </c>
      <c r="AK921" t="s">
        <v>84</v>
      </c>
      <c r="AL921">
        <v>111.981032</v>
      </c>
      <c r="AM921" s="4" t="s">
        <v>64</v>
      </c>
      <c r="AN921" s="5">
        <v>13158.640029584072</v>
      </c>
      <c r="AO921" s="4" t="s">
        <v>65</v>
      </c>
      <c r="AP921" s="6">
        <v>3056</v>
      </c>
      <c r="AQ921">
        <v>2</v>
      </c>
      <c r="AR921">
        <v>13654.332372000001</v>
      </c>
      <c r="AS921" t="s">
        <v>66</v>
      </c>
      <c r="AT921" t="s">
        <v>53</v>
      </c>
    </row>
    <row r="922" spans="1:46">
      <c r="A922">
        <v>1005</v>
      </c>
      <c r="B922" t="s">
        <v>46</v>
      </c>
      <c r="C922">
        <v>68</v>
      </c>
      <c r="D922">
        <v>773</v>
      </c>
      <c r="E922" t="s">
        <v>655</v>
      </c>
      <c r="F922" t="s">
        <v>1186</v>
      </c>
      <c r="G922">
        <v>68773</v>
      </c>
      <c r="H922">
        <v>68773</v>
      </c>
      <c r="I922" t="s">
        <v>49</v>
      </c>
      <c r="J922">
        <v>6806</v>
      </c>
      <c r="K922" t="s">
        <v>1189</v>
      </c>
      <c r="L922" t="s">
        <v>80</v>
      </c>
      <c r="M922" t="s">
        <v>53</v>
      </c>
      <c r="N922">
        <v>7549</v>
      </c>
      <c r="O922" t="s">
        <v>53</v>
      </c>
      <c r="P922" t="s">
        <v>70</v>
      </c>
      <c r="Q922" t="s">
        <v>71</v>
      </c>
      <c r="R922" t="s">
        <v>56</v>
      </c>
      <c r="S922" t="s">
        <v>57</v>
      </c>
      <c r="T922" t="s">
        <v>73</v>
      </c>
      <c r="U922" t="s">
        <v>59</v>
      </c>
      <c r="V922">
        <v>0.80230400000000002</v>
      </c>
      <c r="W922" t="s">
        <v>53</v>
      </c>
      <c r="X922" t="s">
        <v>53</v>
      </c>
      <c r="Y922" t="s">
        <v>116</v>
      </c>
      <c r="Z922" t="str">
        <f t="shared" si="28"/>
        <v>Mayor que 30 - hasta 40</v>
      </c>
      <c r="AA922">
        <f t="shared" si="29"/>
        <v>1</v>
      </c>
      <c r="AB922">
        <v>68773</v>
      </c>
      <c r="AC922" t="s">
        <v>282</v>
      </c>
      <c r="AD922" t="s">
        <v>88</v>
      </c>
      <c r="AE922">
        <v>1.161557</v>
      </c>
      <c r="AF922" t="s">
        <v>76</v>
      </c>
      <c r="AG922">
        <v>26.197770999999999</v>
      </c>
      <c r="AH922" t="s">
        <v>234</v>
      </c>
      <c r="AI922" t="s">
        <v>407</v>
      </c>
      <c r="AJ922">
        <v>3.723938</v>
      </c>
      <c r="AK922" t="s">
        <v>84</v>
      </c>
      <c r="AL922">
        <v>92.908744999999996</v>
      </c>
      <c r="AM922" s="4" t="s">
        <v>65</v>
      </c>
      <c r="AN922" s="5">
        <v>22129.418840921593</v>
      </c>
      <c r="AO922" s="4" t="s">
        <v>65</v>
      </c>
      <c r="AP922" s="6">
        <v>4625</v>
      </c>
      <c r="AQ922">
        <v>4</v>
      </c>
      <c r="AR922">
        <v>23514.608181</v>
      </c>
      <c r="AS922" t="s">
        <v>66</v>
      </c>
      <c r="AT922" t="s">
        <v>53</v>
      </c>
    </row>
    <row r="923" spans="1:46">
      <c r="A923">
        <v>1006</v>
      </c>
      <c r="B923" t="s">
        <v>46</v>
      </c>
      <c r="C923">
        <v>68</v>
      </c>
      <c r="D923">
        <v>780</v>
      </c>
      <c r="E923" t="s">
        <v>1257</v>
      </c>
      <c r="F923" t="s">
        <v>1186</v>
      </c>
      <c r="G923">
        <v>68780</v>
      </c>
      <c r="H923">
        <v>68780</v>
      </c>
      <c r="I923" t="s">
        <v>49</v>
      </c>
      <c r="J923">
        <v>6805</v>
      </c>
      <c r="K923" t="s">
        <v>1187</v>
      </c>
      <c r="L923" t="s">
        <v>80</v>
      </c>
      <c r="M923" t="s">
        <v>53</v>
      </c>
      <c r="N923">
        <v>4110</v>
      </c>
      <c r="O923" t="s">
        <v>53</v>
      </c>
      <c r="P923" t="s">
        <v>70</v>
      </c>
      <c r="Q923" t="s">
        <v>71</v>
      </c>
      <c r="R923" t="s">
        <v>56</v>
      </c>
      <c r="S923" t="s">
        <v>57</v>
      </c>
      <c r="T923" t="s">
        <v>73</v>
      </c>
      <c r="U923" t="s">
        <v>59</v>
      </c>
      <c r="V923">
        <v>0.61042700000000005</v>
      </c>
      <c r="W923" t="s">
        <v>53</v>
      </c>
      <c r="X923" t="s">
        <v>53</v>
      </c>
      <c r="Y923" t="s">
        <v>87</v>
      </c>
      <c r="Z923" t="str">
        <f t="shared" si="28"/>
        <v>Mayor que 40 - hasta 50</v>
      </c>
      <c r="AA923">
        <f t="shared" si="29"/>
        <v>1</v>
      </c>
      <c r="AB923">
        <v>68780</v>
      </c>
      <c r="AC923" t="s">
        <v>282</v>
      </c>
      <c r="AD923" t="s">
        <v>284</v>
      </c>
      <c r="AE923">
        <v>2.9837009999999999</v>
      </c>
      <c r="AF923" t="s">
        <v>77</v>
      </c>
      <c r="AG923">
        <v>40.961731999999998</v>
      </c>
      <c r="AH923" t="s">
        <v>282</v>
      </c>
      <c r="AI923" t="s">
        <v>284</v>
      </c>
      <c r="AJ923">
        <v>2.9625249999999999</v>
      </c>
      <c r="AK923" t="s">
        <v>77</v>
      </c>
      <c r="AL923">
        <v>41.661732000000001</v>
      </c>
      <c r="AM923" s="4" t="s">
        <v>64</v>
      </c>
      <c r="AN923" s="5">
        <v>18434.598960695126</v>
      </c>
      <c r="AO923" s="4" t="s">
        <v>65</v>
      </c>
      <c r="AP923" s="6">
        <v>911</v>
      </c>
      <c r="AQ923">
        <v>4</v>
      </c>
      <c r="AR923">
        <v>21173.712694000002</v>
      </c>
      <c r="AS923" t="s">
        <v>66</v>
      </c>
      <c r="AT923" t="s">
        <v>53</v>
      </c>
    </row>
    <row r="924" spans="1:46">
      <c r="A924">
        <v>1007</v>
      </c>
      <c r="B924" t="s">
        <v>46</v>
      </c>
      <c r="C924">
        <v>68</v>
      </c>
      <c r="D924">
        <v>820</v>
      </c>
      <c r="E924" t="s">
        <v>1258</v>
      </c>
      <c r="F924" t="s">
        <v>1186</v>
      </c>
      <c r="G924">
        <v>68820</v>
      </c>
      <c r="H924">
        <v>68820</v>
      </c>
      <c r="I924" t="s">
        <v>49</v>
      </c>
      <c r="J924">
        <v>6805</v>
      </c>
      <c r="K924" t="s">
        <v>1187</v>
      </c>
      <c r="L924" t="s">
        <v>80</v>
      </c>
      <c r="M924" t="s">
        <v>53</v>
      </c>
      <c r="N924">
        <v>7602</v>
      </c>
      <c r="O924" t="s">
        <v>53</v>
      </c>
      <c r="P924" t="s">
        <v>70</v>
      </c>
      <c r="Q924" t="s">
        <v>71</v>
      </c>
      <c r="R924" t="s">
        <v>93</v>
      </c>
      <c r="S924" t="s">
        <v>57</v>
      </c>
      <c r="T924" t="s">
        <v>58</v>
      </c>
      <c r="U924" t="s">
        <v>81</v>
      </c>
      <c r="V924">
        <v>6.4568E-2</v>
      </c>
      <c r="W924" t="s">
        <v>53</v>
      </c>
      <c r="X924" t="s">
        <v>53</v>
      </c>
      <c r="Y924" t="s">
        <v>116</v>
      </c>
      <c r="Z924" t="str">
        <f t="shared" si="28"/>
        <v>Mayor que 30 - hasta 40</v>
      </c>
      <c r="AA924">
        <f t="shared" si="29"/>
        <v>1</v>
      </c>
      <c r="AB924">
        <v>68820</v>
      </c>
      <c r="AC924" t="s">
        <v>282</v>
      </c>
      <c r="AD924" t="s">
        <v>284</v>
      </c>
      <c r="AE924">
        <v>1.600428</v>
      </c>
      <c r="AF924" t="s">
        <v>76</v>
      </c>
      <c r="AG924">
        <v>30.743355000000001</v>
      </c>
      <c r="AH924" t="s">
        <v>282</v>
      </c>
      <c r="AI924" t="s">
        <v>284</v>
      </c>
      <c r="AJ924">
        <v>1.5616639999999999</v>
      </c>
      <c r="AK924" t="s">
        <v>76</v>
      </c>
      <c r="AL924">
        <v>30.901934000000001</v>
      </c>
      <c r="AM924" s="4" t="s">
        <v>64</v>
      </c>
      <c r="AN924" s="5">
        <v>9762.5531878535658</v>
      </c>
      <c r="AO924" s="4" t="s">
        <v>65</v>
      </c>
      <c r="AP924" s="6">
        <v>1862</v>
      </c>
      <c r="AQ924">
        <v>4</v>
      </c>
      <c r="AR924">
        <v>13611.317636</v>
      </c>
      <c r="AS924" t="s">
        <v>66</v>
      </c>
      <c r="AT924" t="s">
        <v>53</v>
      </c>
    </row>
    <row r="925" spans="1:46">
      <c r="A925">
        <v>1008</v>
      </c>
      <c r="B925" t="s">
        <v>46</v>
      </c>
      <c r="C925">
        <v>68</v>
      </c>
      <c r="D925">
        <v>855</v>
      </c>
      <c r="E925" t="s">
        <v>1259</v>
      </c>
      <c r="F925" t="s">
        <v>1186</v>
      </c>
      <c r="G925">
        <v>68855</v>
      </c>
      <c r="H925">
        <v>68855</v>
      </c>
      <c r="I925" t="s">
        <v>49</v>
      </c>
      <c r="J925">
        <v>6803</v>
      </c>
      <c r="K925" t="s">
        <v>1191</v>
      </c>
      <c r="L925" t="s">
        <v>91</v>
      </c>
      <c r="M925" t="s">
        <v>53</v>
      </c>
      <c r="N925">
        <v>6379</v>
      </c>
      <c r="O925" t="s">
        <v>53</v>
      </c>
      <c r="P925" t="s">
        <v>70</v>
      </c>
      <c r="Q925" t="s">
        <v>71</v>
      </c>
      <c r="R925" t="s">
        <v>105</v>
      </c>
      <c r="S925" t="s">
        <v>57</v>
      </c>
      <c r="T925" t="s">
        <v>58</v>
      </c>
      <c r="U925" t="s">
        <v>81</v>
      </c>
      <c r="V925">
        <v>0.41239399999999998</v>
      </c>
      <c r="W925" t="s">
        <v>53</v>
      </c>
      <c r="X925" t="s">
        <v>53</v>
      </c>
      <c r="Y925" t="s">
        <v>102</v>
      </c>
      <c r="Z925" t="str">
        <f t="shared" si="28"/>
        <v>Mayor que 20 - hasta 30</v>
      </c>
      <c r="AA925">
        <f t="shared" si="29"/>
        <v>1</v>
      </c>
      <c r="AB925">
        <v>68855</v>
      </c>
      <c r="AC925" t="s">
        <v>282</v>
      </c>
      <c r="AD925" t="s">
        <v>1192</v>
      </c>
      <c r="AE925">
        <v>0.53313999999999995</v>
      </c>
      <c r="AF925" t="s">
        <v>63</v>
      </c>
      <c r="AG925">
        <v>14.953911</v>
      </c>
      <c r="AH925" t="s">
        <v>282</v>
      </c>
      <c r="AI925" t="s">
        <v>284</v>
      </c>
      <c r="AJ925">
        <v>3.3608980000000002</v>
      </c>
      <c r="AK925" t="s">
        <v>84</v>
      </c>
      <c r="AL925">
        <v>99.785700000000006</v>
      </c>
      <c r="AM925" s="4" t="s">
        <v>65</v>
      </c>
      <c r="AN925" s="5">
        <v>4928.4948240244139</v>
      </c>
      <c r="AO925" s="4" t="s">
        <v>65</v>
      </c>
      <c r="AP925" s="6">
        <v>1611</v>
      </c>
      <c r="AQ925">
        <v>3</v>
      </c>
      <c r="AR925">
        <v>4252.0276439999998</v>
      </c>
      <c r="AS925" t="s">
        <v>66</v>
      </c>
      <c r="AT925" t="s">
        <v>53</v>
      </c>
    </row>
    <row r="926" spans="1:46">
      <c r="A926">
        <v>1009</v>
      </c>
      <c r="B926" t="s">
        <v>46</v>
      </c>
      <c r="C926">
        <v>68</v>
      </c>
      <c r="D926">
        <v>861</v>
      </c>
      <c r="E926" t="s">
        <v>1189</v>
      </c>
      <c r="F926" t="s">
        <v>1186</v>
      </c>
      <c r="G926">
        <v>68861</v>
      </c>
      <c r="H926">
        <v>68861</v>
      </c>
      <c r="I926" t="s">
        <v>49</v>
      </c>
      <c r="J926">
        <v>6806</v>
      </c>
      <c r="K926" t="s">
        <v>1189</v>
      </c>
      <c r="L926" t="s">
        <v>69</v>
      </c>
      <c r="M926" t="s">
        <v>53</v>
      </c>
      <c r="N926">
        <v>26109</v>
      </c>
      <c r="O926" t="s">
        <v>53</v>
      </c>
      <c r="P926" t="s">
        <v>70</v>
      </c>
      <c r="Q926" t="s">
        <v>71</v>
      </c>
      <c r="R926" t="s">
        <v>56</v>
      </c>
      <c r="S926" t="s">
        <v>57</v>
      </c>
      <c r="T926" t="s">
        <v>58</v>
      </c>
      <c r="U926" t="s">
        <v>81</v>
      </c>
      <c r="V926">
        <v>0.567249</v>
      </c>
      <c r="W926" t="s">
        <v>53</v>
      </c>
      <c r="X926" t="s">
        <v>53</v>
      </c>
      <c r="Y926" t="s">
        <v>165</v>
      </c>
      <c r="Z926" t="str">
        <f t="shared" si="28"/>
        <v>Mayor que 60 - hasta 70</v>
      </c>
      <c r="AA926">
        <f t="shared" si="29"/>
        <v>1</v>
      </c>
      <c r="AB926">
        <v>68861</v>
      </c>
      <c r="AC926" t="s">
        <v>282</v>
      </c>
      <c r="AD926" t="s">
        <v>88</v>
      </c>
      <c r="AE926">
        <v>0.45918399999999998</v>
      </c>
      <c r="AF926" t="s">
        <v>63</v>
      </c>
      <c r="AG926">
        <v>16.161017000000001</v>
      </c>
      <c r="AH926" t="s">
        <v>234</v>
      </c>
      <c r="AI926" t="s">
        <v>407</v>
      </c>
      <c r="AJ926">
        <v>3.0215649999999998</v>
      </c>
      <c r="AK926" t="s">
        <v>84</v>
      </c>
      <c r="AL926">
        <v>82.871990999999994</v>
      </c>
      <c r="AM926" s="4" t="s">
        <v>65</v>
      </c>
      <c r="AN926" s="5">
        <v>18823.59103675203</v>
      </c>
      <c r="AO926" s="4" t="s">
        <v>65</v>
      </c>
      <c r="AP926" s="6">
        <v>5922</v>
      </c>
      <c r="AQ926">
        <v>4</v>
      </c>
      <c r="AR926">
        <v>16595.437607</v>
      </c>
      <c r="AS926" t="s">
        <v>66</v>
      </c>
      <c r="AT926" t="s">
        <v>53</v>
      </c>
    </row>
    <row r="927" spans="1:46">
      <c r="A927">
        <v>1010</v>
      </c>
      <c r="B927" t="s">
        <v>46</v>
      </c>
      <c r="C927">
        <v>68</v>
      </c>
      <c r="D927">
        <v>867</v>
      </c>
      <c r="E927" t="s">
        <v>1260</v>
      </c>
      <c r="F927" t="s">
        <v>1186</v>
      </c>
      <c r="G927">
        <v>68867</v>
      </c>
      <c r="H927">
        <v>68867</v>
      </c>
      <c r="I927" t="s">
        <v>49</v>
      </c>
      <c r="J927">
        <v>6805</v>
      </c>
      <c r="K927" t="s">
        <v>1187</v>
      </c>
      <c r="L927" t="s">
        <v>69</v>
      </c>
      <c r="M927" t="s">
        <v>53</v>
      </c>
      <c r="N927">
        <v>2322</v>
      </c>
      <c r="O927" t="s">
        <v>53</v>
      </c>
      <c r="P927" t="s">
        <v>70</v>
      </c>
      <c r="Q927" t="s">
        <v>71</v>
      </c>
      <c r="R927" t="s">
        <v>105</v>
      </c>
      <c r="S927" t="s">
        <v>57</v>
      </c>
      <c r="T927" t="s">
        <v>58</v>
      </c>
      <c r="U927" t="s">
        <v>81</v>
      </c>
      <c r="V927">
        <v>0.68989500000000004</v>
      </c>
      <c r="W927" t="s">
        <v>53</v>
      </c>
      <c r="X927" t="s">
        <v>53</v>
      </c>
      <c r="Y927" t="s">
        <v>102</v>
      </c>
      <c r="Z927" t="str">
        <f t="shared" si="28"/>
        <v>Mayor que 20 - hasta 30</v>
      </c>
      <c r="AA927">
        <f t="shared" si="29"/>
        <v>1</v>
      </c>
      <c r="AB927">
        <v>68867</v>
      </c>
      <c r="AC927" t="s">
        <v>685</v>
      </c>
      <c r="AD927" t="s">
        <v>1127</v>
      </c>
      <c r="AE927">
        <v>2.534402</v>
      </c>
      <c r="AF927" t="s">
        <v>77</v>
      </c>
      <c r="AG927">
        <v>56.544069</v>
      </c>
      <c r="AH927" t="s">
        <v>282</v>
      </c>
      <c r="AI927" t="s">
        <v>284</v>
      </c>
      <c r="AJ927">
        <v>3.2452290000000001</v>
      </c>
      <c r="AK927" t="s">
        <v>84</v>
      </c>
      <c r="AL927">
        <v>63.638182</v>
      </c>
      <c r="AM927" s="4" t="s">
        <v>65</v>
      </c>
      <c r="AN927" s="5">
        <v>1329.2086303933779</v>
      </c>
      <c r="AO927" s="4" t="s">
        <v>65</v>
      </c>
      <c r="AP927" s="6">
        <v>328</v>
      </c>
      <c r="AQ927">
        <v>4</v>
      </c>
      <c r="AR927">
        <v>2458.9487549999999</v>
      </c>
      <c r="AS927" t="s">
        <v>66</v>
      </c>
      <c r="AT927" t="s">
        <v>53</v>
      </c>
    </row>
    <row r="928" spans="1:46">
      <c r="A928">
        <v>1011</v>
      </c>
      <c r="B928" t="s">
        <v>46</v>
      </c>
      <c r="C928">
        <v>68</v>
      </c>
      <c r="D928">
        <v>872</v>
      </c>
      <c r="E928" t="s">
        <v>405</v>
      </c>
      <c r="F928" t="s">
        <v>1186</v>
      </c>
      <c r="G928">
        <v>68872</v>
      </c>
      <c r="H928">
        <v>68872</v>
      </c>
      <c r="I928" t="s">
        <v>49</v>
      </c>
      <c r="J928">
        <v>6803</v>
      </c>
      <c r="K928" t="s">
        <v>1191</v>
      </c>
      <c r="L928" t="s">
        <v>91</v>
      </c>
      <c r="M928" t="s">
        <v>53</v>
      </c>
      <c r="N928">
        <v>8740</v>
      </c>
      <c r="O928" t="s">
        <v>53</v>
      </c>
      <c r="P928" t="s">
        <v>70</v>
      </c>
      <c r="Q928" t="s">
        <v>71</v>
      </c>
      <c r="R928" t="s">
        <v>56</v>
      </c>
      <c r="S928" t="s">
        <v>57</v>
      </c>
      <c r="T928" t="s">
        <v>58</v>
      </c>
      <c r="U928" t="s">
        <v>81</v>
      </c>
      <c r="V928">
        <v>0.238397</v>
      </c>
      <c r="W928" t="s">
        <v>53</v>
      </c>
      <c r="X928" t="s">
        <v>53</v>
      </c>
      <c r="Y928" t="s">
        <v>127</v>
      </c>
      <c r="Z928" t="str">
        <f t="shared" si="28"/>
        <v>Mayor que 70 - hasta 80</v>
      </c>
      <c r="AA928">
        <f t="shared" si="29"/>
        <v>1</v>
      </c>
      <c r="AB928">
        <v>68872</v>
      </c>
      <c r="AC928" t="s">
        <v>282</v>
      </c>
      <c r="AD928" t="s">
        <v>1192</v>
      </c>
      <c r="AE928">
        <v>0.86293600000000004</v>
      </c>
      <c r="AF928" t="s">
        <v>63</v>
      </c>
      <c r="AG928">
        <v>17.185281</v>
      </c>
      <c r="AH928" t="s">
        <v>282</v>
      </c>
      <c r="AI928" t="s">
        <v>284</v>
      </c>
      <c r="AJ928">
        <v>3.1538819999999999</v>
      </c>
      <c r="AK928" t="s">
        <v>84</v>
      </c>
      <c r="AL928">
        <v>85.351889999999997</v>
      </c>
      <c r="AM928" s="4" t="s">
        <v>65</v>
      </c>
      <c r="AN928" s="5">
        <v>5091.9388619276351</v>
      </c>
      <c r="AO928" s="4" t="s">
        <v>65</v>
      </c>
      <c r="AP928" s="6">
        <v>1325</v>
      </c>
      <c r="AQ928">
        <v>3</v>
      </c>
      <c r="AR928">
        <v>5444.6942749999998</v>
      </c>
      <c r="AS928" t="s">
        <v>66</v>
      </c>
      <c r="AT928" t="s">
        <v>53</v>
      </c>
    </row>
    <row r="929" spans="1:46">
      <c r="A929">
        <v>1012</v>
      </c>
      <c r="B929" t="s">
        <v>46</v>
      </c>
      <c r="C929">
        <v>68</v>
      </c>
      <c r="D929">
        <v>895</v>
      </c>
      <c r="E929" t="s">
        <v>1261</v>
      </c>
      <c r="F929" t="s">
        <v>1186</v>
      </c>
      <c r="G929">
        <v>68895</v>
      </c>
      <c r="H929">
        <v>68895</v>
      </c>
      <c r="I929" t="s">
        <v>49</v>
      </c>
      <c r="J929">
        <v>6804</v>
      </c>
      <c r="K929" t="s">
        <v>1194</v>
      </c>
      <c r="L929" t="s">
        <v>69</v>
      </c>
      <c r="M929" t="s">
        <v>53</v>
      </c>
      <c r="N929">
        <v>9925</v>
      </c>
      <c r="O929" t="s">
        <v>53</v>
      </c>
      <c r="P929" t="s">
        <v>70</v>
      </c>
      <c r="Q929" t="s">
        <v>71</v>
      </c>
      <c r="R929" t="s">
        <v>122</v>
      </c>
      <c r="S929" t="s">
        <v>57</v>
      </c>
      <c r="T929" t="s">
        <v>58</v>
      </c>
      <c r="U929" t="s">
        <v>81</v>
      </c>
      <c r="V929">
        <v>0.17029900000000001</v>
      </c>
      <c r="W929" t="s">
        <v>53</v>
      </c>
      <c r="X929" t="s">
        <v>53</v>
      </c>
      <c r="Y929" t="s">
        <v>167</v>
      </c>
      <c r="Z929" t="str">
        <f t="shared" si="28"/>
        <v>Mayor que 50 - hasta 60</v>
      </c>
      <c r="AA929">
        <f t="shared" si="29"/>
        <v>1</v>
      </c>
      <c r="AB929">
        <v>68895</v>
      </c>
      <c r="AC929" t="s">
        <v>282</v>
      </c>
      <c r="AD929" t="s">
        <v>1195</v>
      </c>
      <c r="AE929">
        <v>2.5665659999999999</v>
      </c>
      <c r="AF929" t="s">
        <v>77</v>
      </c>
      <c r="AG929">
        <v>43.327416999999997</v>
      </c>
      <c r="AH929" t="s">
        <v>282</v>
      </c>
      <c r="AI929" t="s">
        <v>284</v>
      </c>
      <c r="AJ929">
        <v>3.0895320000000002</v>
      </c>
      <c r="AK929" t="s">
        <v>84</v>
      </c>
      <c r="AL929">
        <v>58.871276999999999</v>
      </c>
      <c r="AM929" s="4" t="s">
        <v>64</v>
      </c>
      <c r="AN929" s="5">
        <v>19138.621340298145</v>
      </c>
      <c r="AO929" s="4" t="s">
        <v>65</v>
      </c>
      <c r="AP929" s="6">
        <v>762</v>
      </c>
      <c r="AQ929">
        <v>4</v>
      </c>
      <c r="AR929">
        <v>16062.672499</v>
      </c>
      <c r="AS929" t="s">
        <v>66</v>
      </c>
      <c r="AT929" t="s">
        <v>53</v>
      </c>
    </row>
    <row r="930" spans="1:46">
      <c r="A930">
        <v>598</v>
      </c>
      <c r="B930" t="s">
        <v>46</v>
      </c>
      <c r="C930">
        <v>70</v>
      </c>
      <c r="D930">
        <v>1</v>
      </c>
      <c r="E930" t="s">
        <v>349</v>
      </c>
      <c r="F930" t="s">
        <v>655</v>
      </c>
      <c r="G930">
        <v>70001</v>
      </c>
      <c r="H930">
        <v>70001</v>
      </c>
      <c r="I930" t="s">
        <v>288</v>
      </c>
      <c r="J930">
        <v>7002</v>
      </c>
      <c r="K930" t="s">
        <v>367</v>
      </c>
      <c r="L930" t="s">
        <v>51</v>
      </c>
      <c r="M930" t="s">
        <v>52</v>
      </c>
      <c r="N930">
        <v>310456</v>
      </c>
      <c r="O930" t="s">
        <v>53</v>
      </c>
      <c r="P930" t="s">
        <v>54</v>
      </c>
      <c r="Q930" t="s">
        <v>210</v>
      </c>
      <c r="R930" t="s">
        <v>294</v>
      </c>
      <c r="S930" t="s">
        <v>57</v>
      </c>
      <c r="T930" t="s">
        <v>58</v>
      </c>
      <c r="U930" t="s">
        <v>59</v>
      </c>
      <c r="V930">
        <v>0.32926299999999997</v>
      </c>
      <c r="W930">
        <v>2023</v>
      </c>
      <c r="X930" t="s">
        <v>144</v>
      </c>
      <c r="Y930" t="s">
        <v>145</v>
      </c>
      <c r="Z930" t="str">
        <f t="shared" si="28"/>
        <v>Mayor que 70 - hasta 80</v>
      </c>
      <c r="AA930">
        <f t="shared" si="29"/>
        <v>0</v>
      </c>
      <c r="AB930">
        <v>70001</v>
      </c>
      <c r="AC930" t="s">
        <v>341</v>
      </c>
      <c r="AD930" t="s">
        <v>349</v>
      </c>
      <c r="AE930">
        <v>0</v>
      </c>
      <c r="AF930" t="s">
        <v>63</v>
      </c>
      <c r="AG930">
        <v>0</v>
      </c>
      <c r="AH930" t="s">
        <v>341</v>
      </c>
      <c r="AI930" t="s">
        <v>349</v>
      </c>
      <c r="AJ930">
        <v>0</v>
      </c>
      <c r="AK930" t="s">
        <v>63</v>
      </c>
      <c r="AL930">
        <v>0</v>
      </c>
      <c r="AM930" t="s">
        <v>65</v>
      </c>
      <c r="AN930" s="7">
        <v>3295.9700338104449</v>
      </c>
      <c r="AO930" t="s">
        <v>65</v>
      </c>
      <c r="AP930" s="3">
        <v>1632</v>
      </c>
      <c r="AQ930">
        <v>2</v>
      </c>
      <c r="AR930">
        <v>4071.5020009999998</v>
      </c>
      <c r="AS930" t="s">
        <v>66</v>
      </c>
      <c r="AT930" t="s">
        <v>1262</v>
      </c>
    </row>
    <row r="931" spans="1:46">
      <c r="A931">
        <v>599</v>
      </c>
      <c r="B931" t="s">
        <v>46</v>
      </c>
      <c r="C931">
        <v>70</v>
      </c>
      <c r="D931">
        <v>110</v>
      </c>
      <c r="E931" t="s">
        <v>429</v>
      </c>
      <c r="F931" t="s">
        <v>655</v>
      </c>
      <c r="G931">
        <v>70110</v>
      </c>
      <c r="H931">
        <v>70110</v>
      </c>
      <c r="I931" t="s">
        <v>288</v>
      </c>
      <c r="J931">
        <v>7004</v>
      </c>
      <c r="K931" t="s">
        <v>717</v>
      </c>
      <c r="L931" t="s">
        <v>91</v>
      </c>
      <c r="M931" t="s">
        <v>53</v>
      </c>
      <c r="N931">
        <v>11231</v>
      </c>
      <c r="O931" t="s">
        <v>53</v>
      </c>
      <c r="P931" t="s">
        <v>70</v>
      </c>
      <c r="Q931" t="s">
        <v>71</v>
      </c>
      <c r="R931" t="s">
        <v>93</v>
      </c>
      <c r="S931" t="s">
        <v>57</v>
      </c>
      <c r="T931" t="s">
        <v>58</v>
      </c>
      <c r="U931" t="s">
        <v>81</v>
      </c>
      <c r="V931">
        <v>0.47650300000000001</v>
      </c>
      <c r="W931">
        <v>2023</v>
      </c>
      <c r="X931" t="s">
        <v>339</v>
      </c>
      <c r="Y931" t="s">
        <v>340</v>
      </c>
      <c r="Z931" t="str">
        <f t="shared" si="28"/>
        <v>Mayor que 10 - hasta 15</v>
      </c>
      <c r="AA931">
        <f t="shared" si="29"/>
        <v>0</v>
      </c>
      <c r="AB931">
        <v>70110</v>
      </c>
      <c r="AC931" t="s">
        <v>306</v>
      </c>
      <c r="AD931" t="s">
        <v>365</v>
      </c>
      <c r="AE931">
        <v>0.66062500000000002</v>
      </c>
      <c r="AF931" t="s">
        <v>63</v>
      </c>
      <c r="AG931">
        <v>27.662237000000001</v>
      </c>
      <c r="AH931" t="s">
        <v>341</v>
      </c>
      <c r="AI931" t="s">
        <v>349</v>
      </c>
      <c r="AJ931">
        <v>1.6210150000000001</v>
      </c>
      <c r="AK931" t="s">
        <v>76</v>
      </c>
      <c r="AL931">
        <v>59.261226999999998</v>
      </c>
      <c r="AM931" t="s">
        <v>64</v>
      </c>
      <c r="AN931" s="7">
        <v>2820.3364761739858</v>
      </c>
      <c r="AO931" t="s">
        <v>65</v>
      </c>
      <c r="AP931" s="3">
        <v>420</v>
      </c>
      <c r="AQ931">
        <v>2</v>
      </c>
      <c r="AR931">
        <v>5182.0163620000003</v>
      </c>
      <c r="AS931" t="s">
        <v>66</v>
      </c>
      <c r="AT931" t="s">
        <v>137</v>
      </c>
    </row>
    <row r="932" spans="1:46">
      <c r="A932">
        <v>600</v>
      </c>
      <c r="B932" t="s">
        <v>46</v>
      </c>
      <c r="C932">
        <v>70</v>
      </c>
      <c r="D932">
        <v>124</v>
      </c>
      <c r="E932" t="s">
        <v>1263</v>
      </c>
      <c r="F932" t="s">
        <v>655</v>
      </c>
      <c r="G932">
        <v>70124</v>
      </c>
      <c r="H932">
        <v>70124</v>
      </c>
      <c r="I932" t="s">
        <v>288</v>
      </c>
      <c r="J932">
        <v>7005</v>
      </c>
      <c r="K932" t="s">
        <v>704</v>
      </c>
      <c r="L932" t="s">
        <v>80</v>
      </c>
      <c r="M932" t="s">
        <v>53</v>
      </c>
      <c r="N932">
        <v>16966</v>
      </c>
      <c r="O932" t="s">
        <v>53</v>
      </c>
      <c r="P932" t="s">
        <v>70</v>
      </c>
      <c r="Q932" t="s">
        <v>71</v>
      </c>
      <c r="R932" t="s">
        <v>72</v>
      </c>
      <c r="S932" t="s">
        <v>57</v>
      </c>
      <c r="T932" t="s">
        <v>58</v>
      </c>
      <c r="U932" t="s">
        <v>81</v>
      </c>
      <c r="V932">
        <v>0.66444400000000003</v>
      </c>
      <c r="W932">
        <v>2023</v>
      </c>
      <c r="X932" t="s">
        <v>310</v>
      </c>
      <c r="Y932" t="s">
        <v>311</v>
      </c>
      <c r="Z932" t="str">
        <f t="shared" si="28"/>
        <v>Mayor que 15 - hasta 20</v>
      </c>
      <c r="AA932">
        <f t="shared" si="29"/>
        <v>0</v>
      </c>
      <c r="AB932">
        <v>70124</v>
      </c>
      <c r="AC932" t="s">
        <v>341</v>
      </c>
      <c r="AD932" t="s">
        <v>342</v>
      </c>
      <c r="AE932">
        <v>0.93237000000000003</v>
      </c>
      <c r="AF932" t="s">
        <v>63</v>
      </c>
      <c r="AG932">
        <v>26.862237</v>
      </c>
      <c r="AH932" t="s">
        <v>341</v>
      </c>
      <c r="AI932" t="s">
        <v>349</v>
      </c>
      <c r="AJ932">
        <v>2.473703</v>
      </c>
      <c r="AK932" t="s">
        <v>77</v>
      </c>
      <c r="AL932">
        <v>81.971991000000003</v>
      </c>
      <c r="AM932" t="s">
        <v>97</v>
      </c>
      <c r="AN932" s="7">
        <v>9939.2093887538722</v>
      </c>
      <c r="AO932" t="s">
        <v>65</v>
      </c>
      <c r="AP932" s="3">
        <v>553</v>
      </c>
      <c r="AQ932">
        <v>3</v>
      </c>
      <c r="AR932">
        <v>9254.3040330000003</v>
      </c>
      <c r="AS932" t="s">
        <v>66</v>
      </c>
      <c r="AT932" t="s">
        <v>1264</v>
      </c>
    </row>
    <row r="933" spans="1:46">
      <c r="A933">
        <v>601</v>
      </c>
      <c r="B933" t="s">
        <v>46</v>
      </c>
      <c r="C933">
        <v>70</v>
      </c>
      <c r="D933">
        <v>204</v>
      </c>
      <c r="E933" t="s">
        <v>1265</v>
      </c>
      <c r="F933" t="s">
        <v>655</v>
      </c>
      <c r="G933">
        <v>70204</v>
      </c>
      <c r="H933">
        <v>70204</v>
      </c>
      <c r="I933" t="s">
        <v>288</v>
      </c>
      <c r="J933">
        <v>7002</v>
      </c>
      <c r="K933" t="s">
        <v>367</v>
      </c>
      <c r="L933" t="s">
        <v>69</v>
      </c>
      <c r="M933" t="s">
        <v>53</v>
      </c>
      <c r="N933">
        <v>9325</v>
      </c>
      <c r="O933" t="s">
        <v>53</v>
      </c>
      <c r="P933" t="s">
        <v>70</v>
      </c>
      <c r="Q933" t="s">
        <v>71</v>
      </c>
      <c r="R933" t="s">
        <v>56</v>
      </c>
      <c r="S933" t="s">
        <v>368</v>
      </c>
      <c r="T933" t="s">
        <v>73</v>
      </c>
      <c r="U933" t="s">
        <v>119</v>
      </c>
      <c r="V933">
        <v>0.80146399999999995</v>
      </c>
      <c r="W933">
        <v>2023</v>
      </c>
      <c r="X933" t="s">
        <v>176</v>
      </c>
      <c r="Y933" t="s">
        <v>177</v>
      </c>
      <c r="Z933" t="str">
        <f t="shared" si="28"/>
        <v>Mayor que 20 - hasta 30</v>
      </c>
      <c r="AA933">
        <f t="shared" si="29"/>
        <v>0</v>
      </c>
      <c r="AB933">
        <v>70204</v>
      </c>
      <c r="AC933" t="s">
        <v>341</v>
      </c>
      <c r="AD933" t="s">
        <v>349</v>
      </c>
      <c r="AE933">
        <v>0.77995400000000004</v>
      </c>
      <c r="AF933" t="s">
        <v>63</v>
      </c>
      <c r="AG933">
        <v>32.498989999999999</v>
      </c>
      <c r="AH933" t="s">
        <v>341</v>
      </c>
      <c r="AI933" t="s">
        <v>349</v>
      </c>
      <c r="AJ933">
        <v>0.77543700000000004</v>
      </c>
      <c r="AK933" t="s">
        <v>63</v>
      </c>
      <c r="AL933">
        <v>32.457568999999999</v>
      </c>
      <c r="AM933" t="s">
        <v>65</v>
      </c>
      <c r="AN933" s="7">
        <v>2041.3566128660671</v>
      </c>
      <c r="AO933" t="s">
        <v>65</v>
      </c>
      <c r="AP933" s="3">
        <v>471</v>
      </c>
      <c r="AQ933">
        <v>2</v>
      </c>
      <c r="AR933">
        <v>3368.475688</v>
      </c>
      <c r="AS933" t="s">
        <v>66</v>
      </c>
      <c r="AT933" t="s">
        <v>681</v>
      </c>
    </row>
    <row r="934" spans="1:46">
      <c r="A934">
        <v>602</v>
      </c>
      <c r="B934" t="s">
        <v>46</v>
      </c>
      <c r="C934">
        <v>70</v>
      </c>
      <c r="D934">
        <v>215</v>
      </c>
      <c r="E934" t="s">
        <v>1266</v>
      </c>
      <c r="F934" t="s">
        <v>655</v>
      </c>
      <c r="G934">
        <v>70215</v>
      </c>
      <c r="H934">
        <v>70215</v>
      </c>
      <c r="I934" t="s">
        <v>288</v>
      </c>
      <c r="J934">
        <v>7004</v>
      </c>
      <c r="K934" t="s">
        <v>717</v>
      </c>
      <c r="L934" t="s">
        <v>91</v>
      </c>
      <c r="M934" t="s">
        <v>53</v>
      </c>
      <c r="N934">
        <v>70591</v>
      </c>
      <c r="O934" t="s">
        <v>53</v>
      </c>
      <c r="P934" t="s">
        <v>92</v>
      </c>
      <c r="Q934" t="s">
        <v>71</v>
      </c>
      <c r="R934" t="s">
        <v>93</v>
      </c>
      <c r="S934" t="s">
        <v>57</v>
      </c>
      <c r="T934" t="s">
        <v>58</v>
      </c>
      <c r="U934" t="s">
        <v>81</v>
      </c>
      <c r="V934">
        <v>0.59975599999999996</v>
      </c>
      <c r="W934">
        <v>2023</v>
      </c>
      <c r="X934" t="s">
        <v>217</v>
      </c>
      <c r="Y934" t="s">
        <v>218</v>
      </c>
      <c r="Z934" t="str">
        <f t="shared" si="28"/>
        <v>Mayor que 40 - hasta 50</v>
      </c>
      <c r="AA934">
        <f t="shared" si="29"/>
        <v>0</v>
      </c>
      <c r="AB934">
        <v>70215</v>
      </c>
      <c r="AC934" t="s">
        <v>341</v>
      </c>
      <c r="AD934" t="s">
        <v>1266</v>
      </c>
      <c r="AE934">
        <v>0</v>
      </c>
      <c r="AF934" t="s">
        <v>63</v>
      </c>
      <c r="AG934">
        <v>0</v>
      </c>
      <c r="AH934" t="s">
        <v>341</v>
      </c>
      <c r="AI934" t="s">
        <v>349</v>
      </c>
      <c r="AJ934">
        <v>0.44112200000000001</v>
      </c>
      <c r="AK934" t="s">
        <v>63</v>
      </c>
      <c r="AL934">
        <v>14.602439</v>
      </c>
      <c r="AM934" t="s">
        <v>65</v>
      </c>
      <c r="AN934" s="7">
        <v>1361.0846051954441</v>
      </c>
      <c r="AO934" t="s">
        <v>65</v>
      </c>
      <c r="AP934" s="3">
        <v>376</v>
      </c>
      <c r="AQ934">
        <v>2</v>
      </c>
      <c r="AR934">
        <v>2109.027998</v>
      </c>
      <c r="AS934" t="s">
        <v>66</v>
      </c>
      <c r="AT934" t="s">
        <v>1267</v>
      </c>
    </row>
    <row r="935" spans="1:46">
      <c r="A935">
        <v>603</v>
      </c>
      <c r="B935" t="s">
        <v>46</v>
      </c>
      <c r="C935">
        <v>70</v>
      </c>
      <c r="D935">
        <v>221</v>
      </c>
      <c r="E935" t="s">
        <v>1268</v>
      </c>
      <c r="F935" t="s">
        <v>655</v>
      </c>
      <c r="G935">
        <v>70221</v>
      </c>
      <c r="H935">
        <v>70221</v>
      </c>
      <c r="I935" t="s">
        <v>288</v>
      </c>
      <c r="J935">
        <v>7003</v>
      </c>
      <c r="K935" t="s">
        <v>1269</v>
      </c>
      <c r="L935" t="s">
        <v>91</v>
      </c>
      <c r="M935" t="s">
        <v>53</v>
      </c>
      <c r="N935">
        <v>21190</v>
      </c>
      <c r="O935" t="s">
        <v>53</v>
      </c>
      <c r="P935" t="s">
        <v>70</v>
      </c>
      <c r="Q935" t="s">
        <v>71</v>
      </c>
      <c r="R935" t="s">
        <v>122</v>
      </c>
      <c r="S935" t="s">
        <v>57</v>
      </c>
      <c r="T935" t="s">
        <v>58</v>
      </c>
      <c r="U935" t="s">
        <v>59</v>
      </c>
      <c r="V935">
        <v>0.28156999999999999</v>
      </c>
      <c r="W935">
        <v>2023</v>
      </c>
      <c r="X935" t="s">
        <v>144</v>
      </c>
      <c r="Y935" t="s">
        <v>145</v>
      </c>
      <c r="Z935" t="str">
        <f t="shared" si="28"/>
        <v>Mayor que 70 - hasta 80</v>
      </c>
      <c r="AA935">
        <f t="shared" si="29"/>
        <v>0</v>
      </c>
      <c r="AB935">
        <v>70221</v>
      </c>
      <c r="AC935" t="s">
        <v>341</v>
      </c>
      <c r="AD935" t="s">
        <v>1270</v>
      </c>
      <c r="AE935">
        <v>0.54918100000000003</v>
      </c>
      <c r="AF935" t="s">
        <v>63</v>
      </c>
      <c r="AG935">
        <v>22.266400000000001</v>
      </c>
      <c r="AH935" t="s">
        <v>341</v>
      </c>
      <c r="AI935" t="s">
        <v>349</v>
      </c>
      <c r="AJ935">
        <v>1.24701</v>
      </c>
      <c r="AK935" t="s">
        <v>76</v>
      </c>
      <c r="AL935">
        <v>60.513917999999997</v>
      </c>
      <c r="AM935" t="s">
        <v>65</v>
      </c>
      <c r="AN935" s="7">
        <v>470.23751975955031</v>
      </c>
      <c r="AO935" t="s">
        <v>65</v>
      </c>
      <c r="AP935" s="3">
        <v>167</v>
      </c>
      <c r="AQ935">
        <v>3</v>
      </c>
      <c r="AR935">
        <v>1211.6666499999999</v>
      </c>
      <c r="AS935" t="s">
        <v>66</v>
      </c>
      <c r="AT935" t="s">
        <v>1271</v>
      </c>
    </row>
    <row r="936" spans="1:46">
      <c r="A936">
        <v>604</v>
      </c>
      <c r="B936" t="s">
        <v>46</v>
      </c>
      <c r="C936">
        <v>70</v>
      </c>
      <c r="D936">
        <v>230</v>
      </c>
      <c r="E936" t="s">
        <v>1272</v>
      </c>
      <c r="F936" t="s">
        <v>655</v>
      </c>
      <c r="G936">
        <v>70230</v>
      </c>
      <c r="H936">
        <v>70230</v>
      </c>
      <c r="I936" t="s">
        <v>288</v>
      </c>
      <c r="J936">
        <v>7002</v>
      </c>
      <c r="K936" t="s">
        <v>367</v>
      </c>
      <c r="L936" t="s">
        <v>91</v>
      </c>
      <c r="M936" t="s">
        <v>53</v>
      </c>
      <c r="N936">
        <v>4786</v>
      </c>
      <c r="O936" t="s">
        <v>53</v>
      </c>
      <c r="P936" t="s">
        <v>70</v>
      </c>
      <c r="Q936" t="s">
        <v>71</v>
      </c>
      <c r="R936" t="s">
        <v>93</v>
      </c>
      <c r="S936" t="s">
        <v>368</v>
      </c>
      <c r="T936" t="s">
        <v>73</v>
      </c>
      <c r="U936" t="s">
        <v>119</v>
      </c>
      <c r="V936">
        <v>0.85907299999999998</v>
      </c>
      <c r="W936">
        <v>2023</v>
      </c>
      <c r="X936" t="s">
        <v>310</v>
      </c>
      <c r="Y936" t="s">
        <v>311</v>
      </c>
      <c r="Z936" t="str">
        <f t="shared" si="28"/>
        <v>Mayor que 15 - hasta 20</v>
      </c>
      <c r="AA936">
        <f t="shared" si="29"/>
        <v>0</v>
      </c>
      <c r="AB936">
        <v>70230</v>
      </c>
      <c r="AC936" t="s">
        <v>341</v>
      </c>
      <c r="AD936" t="s">
        <v>349</v>
      </c>
      <c r="AE936">
        <v>0.99097800000000003</v>
      </c>
      <c r="AF936" t="s">
        <v>63</v>
      </c>
      <c r="AG936">
        <v>41.024473</v>
      </c>
      <c r="AH936" t="s">
        <v>341</v>
      </c>
      <c r="AI936" t="s">
        <v>349</v>
      </c>
      <c r="AJ936">
        <v>0.98646100000000003</v>
      </c>
      <c r="AK936" t="s">
        <v>63</v>
      </c>
      <c r="AL936">
        <v>40.983052000000001</v>
      </c>
      <c r="AM936" t="s">
        <v>65</v>
      </c>
      <c r="AN936" s="7">
        <v>1047.1776276994619</v>
      </c>
      <c r="AO936" t="s">
        <v>65</v>
      </c>
      <c r="AP936" s="3">
        <v>183</v>
      </c>
      <c r="AQ936">
        <v>2</v>
      </c>
      <c r="AR936">
        <v>1397.2783340000001</v>
      </c>
      <c r="AS936" t="s">
        <v>66</v>
      </c>
      <c r="AT936" t="s">
        <v>681</v>
      </c>
    </row>
    <row r="937" spans="1:46">
      <c r="A937">
        <v>605</v>
      </c>
      <c r="B937" t="s">
        <v>46</v>
      </c>
      <c r="C937">
        <v>70</v>
      </c>
      <c r="D937">
        <v>233</v>
      </c>
      <c r="E937" t="s">
        <v>1273</v>
      </c>
      <c r="F937" t="s">
        <v>655</v>
      </c>
      <c r="G937">
        <v>70233</v>
      </c>
      <c r="H937">
        <v>70233</v>
      </c>
      <c r="I937" t="s">
        <v>288</v>
      </c>
      <c r="J937">
        <v>7004</v>
      </c>
      <c r="K937" t="s">
        <v>717</v>
      </c>
      <c r="L937" t="s">
        <v>91</v>
      </c>
      <c r="M937" t="s">
        <v>53</v>
      </c>
      <c r="N937">
        <v>10299</v>
      </c>
      <c r="O937" t="s">
        <v>53</v>
      </c>
      <c r="P937" t="s">
        <v>70</v>
      </c>
      <c r="Q937" t="s">
        <v>71</v>
      </c>
      <c r="R937" t="s">
        <v>105</v>
      </c>
      <c r="S937" t="s">
        <v>57</v>
      </c>
      <c r="T937" t="s">
        <v>58</v>
      </c>
      <c r="U937" t="s">
        <v>59</v>
      </c>
      <c r="V937">
        <v>0.39327099999999998</v>
      </c>
      <c r="W937">
        <v>2023</v>
      </c>
      <c r="X937" t="s">
        <v>310</v>
      </c>
      <c r="Y937" t="s">
        <v>311</v>
      </c>
      <c r="Z937" t="str">
        <f t="shared" si="28"/>
        <v>Mayor que 15 - hasta 20</v>
      </c>
      <c r="AA937">
        <f t="shared" si="29"/>
        <v>0</v>
      </c>
      <c r="AB937">
        <v>70233</v>
      </c>
      <c r="AC937" t="s">
        <v>341</v>
      </c>
      <c r="AD937" t="s">
        <v>1266</v>
      </c>
      <c r="AE937">
        <v>1.074446</v>
      </c>
      <c r="AF937" t="s">
        <v>76</v>
      </c>
      <c r="AG937">
        <v>31.329141</v>
      </c>
      <c r="AH937" t="s">
        <v>341</v>
      </c>
      <c r="AI937" t="s">
        <v>349</v>
      </c>
      <c r="AJ937">
        <v>1.22435</v>
      </c>
      <c r="AK937" t="s">
        <v>76</v>
      </c>
      <c r="AL937">
        <v>46.428635999999997</v>
      </c>
      <c r="AM937" t="s">
        <v>64</v>
      </c>
      <c r="AN937" s="7">
        <v>775.51962756709622</v>
      </c>
      <c r="AO937" t="s">
        <v>65</v>
      </c>
      <c r="AP937" s="3">
        <v>40</v>
      </c>
      <c r="AQ937">
        <v>1</v>
      </c>
      <c r="AR937">
        <v>689.61197300000003</v>
      </c>
      <c r="AS937" t="s">
        <v>66</v>
      </c>
      <c r="AT937" t="s">
        <v>137</v>
      </c>
    </row>
    <row r="938" spans="1:46">
      <c r="A938">
        <v>606</v>
      </c>
      <c r="B938" t="s">
        <v>46</v>
      </c>
      <c r="C938">
        <v>70</v>
      </c>
      <c r="D938">
        <v>235</v>
      </c>
      <c r="E938" t="s">
        <v>1274</v>
      </c>
      <c r="F938" t="s">
        <v>655</v>
      </c>
      <c r="G938">
        <v>70235</v>
      </c>
      <c r="H938">
        <v>70235</v>
      </c>
      <c r="I938" t="s">
        <v>288</v>
      </c>
      <c r="J938">
        <v>7004</v>
      </c>
      <c r="K938" t="s">
        <v>717</v>
      </c>
      <c r="L938" t="s">
        <v>91</v>
      </c>
      <c r="M938" t="s">
        <v>53</v>
      </c>
      <c r="N938">
        <v>24257</v>
      </c>
      <c r="O938" t="s">
        <v>53</v>
      </c>
      <c r="P938" t="s">
        <v>70</v>
      </c>
      <c r="Q938" t="s">
        <v>71</v>
      </c>
      <c r="R938" t="s">
        <v>105</v>
      </c>
      <c r="S938" t="s">
        <v>57</v>
      </c>
      <c r="T938" t="s">
        <v>58</v>
      </c>
      <c r="U938" t="s">
        <v>59</v>
      </c>
      <c r="V938">
        <v>0.39804499999999998</v>
      </c>
      <c r="W938">
        <v>2023</v>
      </c>
      <c r="X938" t="s">
        <v>339</v>
      </c>
      <c r="Y938" t="s">
        <v>340</v>
      </c>
      <c r="Z938" t="str">
        <f t="shared" si="28"/>
        <v>Mayor que 10 - hasta 15</v>
      </c>
      <c r="AA938">
        <f t="shared" si="29"/>
        <v>0</v>
      </c>
      <c r="AB938">
        <v>70235</v>
      </c>
      <c r="AC938" t="s">
        <v>341</v>
      </c>
      <c r="AD938" t="s">
        <v>1266</v>
      </c>
      <c r="AE938">
        <v>1.037955</v>
      </c>
      <c r="AF938" t="s">
        <v>76</v>
      </c>
      <c r="AG938">
        <v>38.344574000000001</v>
      </c>
      <c r="AH938" t="s">
        <v>341</v>
      </c>
      <c r="AI938" t="s">
        <v>349</v>
      </c>
      <c r="AJ938">
        <v>1.476993</v>
      </c>
      <c r="AK938" t="s">
        <v>76</v>
      </c>
      <c r="AL938">
        <v>52.864170000000001</v>
      </c>
      <c r="AM938" t="s">
        <v>64</v>
      </c>
      <c r="AN938" s="7">
        <v>1588.993419518039</v>
      </c>
      <c r="AO938" t="s">
        <v>65</v>
      </c>
      <c r="AP938" s="3">
        <v>324</v>
      </c>
      <c r="AQ938">
        <v>3</v>
      </c>
      <c r="AR938">
        <v>1840.220435</v>
      </c>
      <c r="AS938" t="s">
        <v>66</v>
      </c>
      <c r="AT938" t="s">
        <v>53</v>
      </c>
    </row>
    <row r="939" spans="1:46">
      <c r="A939">
        <v>607</v>
      </c>
      <c r="B939" t="s">
        <v>46</v>
      </c>
      <c r="C939">
        <v>70</v>
      </c>
      <c r="D939">
        <v>265</v>
      </c>
      <c r="E939" t="s">
        <v>1275</v>
      </c>
      <c r="F939" t="s">
        <v>655</v>
      </c>
      <c r="G939">
        <v>70265</v>
      </c>
      <c r="H939">
        <v>70265</v>
      </c>
      <c r="I939" t="s">
        <v>288</v>
      </c>
      <c r="J939">
        <v>7001</v>
      </c>
      <c r="K939" t="s">
        <v>1276</v>
      </c>
      <c r="L939" t="s">
        <v>91</v>
      </c>
      <c r="M939" t="s">
        <v>53</v>
      </c>
      <c r="N939">
        <v>18955</v>
      </c>
      <c r="O939" t="s">
        <v>53</v>
      </c>
      <c r="P939" t="s">
        <v>70</v>
      </c>
      <c r="Q939" t="s">
        <v>71</v>
      </c>
      <c r="R939" t="s">
        <v>105</v>
      </c>
      <c r="S939" t="s">
        <v>57</v>
      </c>
      <c r="T939" t="s">
        <v>58</v>
      </c>
      <c r="U939" t="s">
        <v>59</v>
      </c>
      <c r="V939">
        <v>0.63870499999999997</v>
      </c>
      <c r="W939">
        <v>2023</v>
      </c>
      <c r="X939" t="s">
        <v>339</v>
      </c>
      <c r="Y939" t="s">
        <v>340</v>
      </c>
      <c r="Z939" t="str">
        <f t="shared" si="28"/>
        <v>Mayor que 10 - hasta 15</v>
      </c>
      <c r="AA939">
        <f t="shared" si="29"/>
        <v>0</v>
      </c>
      <c r="AB939">
        <v>70265</v>
      </c>
      <c r="AC939" t="s">
        <v>341</v>
      </c>
      <c r="AD939" t="s">
        <v>342</v>
      </c>
      <c r="AE939">
        <v>2.6678480000000002</v>
      </c>
      <c r="AF939" t="s">
        <v>77</v>
      </c>
      <c r="AG939">
        <v>104.751385</v>
      </c>
      <c r="AH939" t="s">
        <v>129</v>
      </c>
      <c r="AI939" t="s">
        <v>130</v>
      </c>
      <c r="AJ939">
        <v>5.4798349999999996</v>
      </c>
      <c r="AK939" t="s">
        <v>181</v>
      </c>
      <c r="AL939">
        <v>230.496883</v>
      </c>
      <c r="AM939" t="s">
        <v>64</v>
      </c>
      <c r="AN939" s="7">
        <v>7053.7173885909033</v>
      </c>
      <c r="AO939" t="s">
        <v>65</v>
      </c>
      <c r="AP939" s="3">
        <v>212</v>
      </c>
      <c r="AQ939">
        <v>2</v>
      </c>
      <c r="AR939">
        <v>6242.1571830000003</v>
      </c>
      <c r="AS939" t="s">
        <v>66</v>
      </c>
      <c r="AT939" t="s">
        <v>53</v>
      </c>
    </row>
    <row r="940" spans="1:46">
      <c r="A940">
        <v>608</v>
      </c>
      <c r="B940" t="s">
        <v>46</v>
      </c>
      <c r="C940">
        <v>70</v>
      </c>
      <c r="D940">
        <v>400</v>
      </c>
      <c r="E940" t="s">
        <v>213</v>
      </c>
      <c r="F940" t="s">
        <v>655</v>
      </c>
      <c r="G940">
        <v>70400</v>
      </c>
      <c r="H940">
        <v>70400</v>
      </c>
      <c r="I940" t="s">
        <v>288</v>
      </c>
      <c r="J940">
        <v>7005</v>
      </c>
      <c r="K940" t="s">
        <v>704</v>
      </c>
      <c r="L940" t="s">
        <v>69</v>
      </c>
      <c r="M940" t="s">
        <v>53</v>
      </c>
      <c r="N940">
        <v>14282</v>
      </c>
      <c r="O940" t="s">
        <v>53</v>
      </c>
      <c r="P940" t="s">
        <v>70</v>
      </c>
      <c r="Q940" t="s">
        <v>71</v>
      </c>
      <c r="R940" t="s">
        <v>72</v>
      </c>
      <c r="S940" t="s">
        <v>57</v>
      </c>
      <c r="T940" t="s">
        <v>58</v>
      </c>
      <c r="U940" t="s">
        <v>81</v>
      </c>
      <c r="V940">
        <v>0.57984500000000005</v>
      </c>
      <c r="W940">
        <v>2023</v>
      </c>
      <c r="X940" t="s">
        <v>176</v>
      </c>
      <c r="Y940" t="s">
        <v>177</v>
      </c>
      <c r="Z940" t="str">
        <f t="shared" si="28"/>
        <v>Mayor que 20 - hasta 30</v>
      </c>
      <c r="AA940">
        <f t="shared" si="29"/>
        <v>0</v>
      </c>
      <c r="AB940">
        <v>70400</v>
      </c>
      <c r="AC940" t="s">
        <v>129</v>
      </c>
      <c r="AD940" t="s">
        <v>718</v>
      </c>
      <c r="AE940">
        <v>0.89975799999999995</v>
      </c>
      <c r="AF940" t="s">
        <v>63</v>
      </c>
      <c r="AG940">
        <v>28.827922000000001</v>
      </c>
      <c r="AH940" t="s">
        <v>341</v>
      </c>
      <c r="AI940" t="s">
        <v>349</v>
      </c>
      <c r="AJ940">
        <v>1.9018900000000001</v>
      </c>
      <c r="AK940" t="s">
        <v>76</v>
      </c>
      <c r="AL940">
        <v>79.493817000000007</v>
      </c>
      <c r="AM940" t="s">
        <v>64</v>
      </c>
      <c r="AN940" s="7">
        <v>6794.0617747429787</v>
      </c>
      <c r="AO940" t="s">
        <v>65</v>
      </c>
      <c r="AP940" s="3">
        <v>698</v>
      </c>
      <c r="AQ940">
        <v>3</v>
      </c>
      <c r="AR940">
        <v>6940.9674619999996</v>
      </c>
      <c r="AS940" t="s">
        <v>66</v>
      </c>
      <c r="AT940" t="s">
        <v>1277</v>
      </c>
    </row>
    <row r="941" spans="1:46">
      <c r="A941">
        <v>609</v>
      </c>
      <c r="B941" t="s">
        <v>46</v>
      </c>
      <c r="C941">
        <v>70</v>
      </c>
      <c r="D941">
        <v>418</v>
      </c>
      <c r="E941" t="s">
        <v>1278</v>
      </c>
      <c r="F941" t="s">
        <v>655</v>
      </c>
      <c r="G941">
        <v>70418</v>
      </c>
      <c r="H941">
        <v>70418</v>
      </c>
      <c r="I941" t="s">
        <v>288</v>
      </c>
      <c r="J941">
        <v>7004</v>
      </c>
      <c r="K941" t="s">
        <v>717</v>
      </c>
      <c r="L941" t="s">
        <v>91</v>
      </c>
      <c r="M941" t="s">
        <v>53</v>
      </c>
      <c r="N941">
        <v>24638</v>
      </c>
      <c r="O941" t="s">
        <v>53</v>
      </c>
      <c r="P941" t="s">
        <v>70</v>
      </c>
      <c r="Q941" t="s">
        <v>71</v>
      </c>
      <c r="R941" t="s">
        <v>72</v>
      </c>
      <c r="S941" t="s">
        <v>368</v>
      </c>
      <c r="T941" t="s">
        <v>73</v>
      </c>
      <c r="U941" t="s">
        <v>59</v>
      </c>
      <c r="V941">
        <v>0.50925299999999996</v>
      </c>
      <c r="W941">
        <v>2023</v>
      </c>
      <c r="X941" t="s">
        <v>176</v>
      </c>
      <c r="Y941" t="s">
        <v>177</v>
      </c>
      <c r="Z941" t="str">
        <f t="shared" si="28"/>
        <v>Mayor que 20 - hasta 30</v>
      </c>
      <c r="AA941">
        <f t="shared" si="29"/>
        <v>0</v>
      </c>
      <c r="AB941">
        <v>70418</v>
      </c>
      <c r="AC941" t="s">
        <v>341</v>
      </c>
      <c r="AD941" t="s">
        <v>1266</v>
      </c>
      <c r="AE941">
        <v>0.17733699999999999</v>
      </c>
      <c r="AF941" t="s">
        <v>63</v>
      </c>
      <c r="AG941">
        <v>8.7669049999999995</v>
      </c>
      <c r="AH941" t="s">
        <v>341</v>
      </c>
      <c r="AI941" t="s">
        <v>349</v>
      </c>
      <c r="AJ941">
        <v>0.58735899999999996</v>
      </c>
      <c r="AK941" t="s">
        <v>63</v>
      </c>
      <c r="AL941">
        <v>22.120815</v>
      </c>
      <c r="AM941" t="s">
        <v>64</v>
      </c>
      <c r="AN941" s="7">
        <v>2654.1036891954332</v>
      </c>
      <c r="AO941" t="s">
        <v>65</v>
      </c>
      <c r="AP941" s="3">
        <v>483</v>
      </c>
      <c r="AQ941">
        <v>2</v>
      </c>
      <c r="AR941">
        <v>3112.2498260000002</v>
      </c>
      <c r="AS941" t="s">
        <v>66</v>
      </c>
      <c r="AT941" t="s">
        <v>137</v>
      </c>
    </row>
    <row r="942" spans="1:46">
      <c r="A942">
        <v>610</v>
      </c>
      <c r="B942" t="s">
        <v>46</v>
      </c>
      <c r="C942">
        <v>70</v>
      </c>
      <c r="D942">
        <v>429</v>
      </c>
      <c r="E942" t="s">
        <v>1279</v>
      </c>
      <c r="F942" t="s">
        <v>655</v>
      </c>
      <c r="G942">
        <v>70429</v>
      </c>
      <c r="H942">
        <v>70429</v>
      </c>
      <c r="I942" t="s">
        <v>288</v>
      </c>
      <c r="J942">
        <v>7001</v>
      </c>
      <c r="K942" t="s">
        <v>1276</v>
      </c>
      <c r="L942" t="s">
        <v>69</v>
      </c>
      <c r="M942" t="s">
        <v>53</v>
      </c>
      <c r="N942">
        <v>41601</v>
      </c>
      <c r="O942" t="s">
        <v>53</v>
      </c>
      <c r="P942" t="s">
        <v>92</v>
      </c>
      <c r="Q942" t="s">
        <v>71</v>
      </c>
      <c r="R942" t="s">
        <v>122</v>
      </c>
      <c r="S942" t="s">
        <v>57</v>
      </c>
      <c r="T942" t="s">
        <v>58</v>
      </c>
      <c r="U942" t="s">
        <v>81</v>
      </c>
      <c r="V942">
        <v>0.78919899999999998</v>
      </c>
      <c r="W942">
        <v>2023</v>
      </c>
      <c r="X942" t="s">
        <v>339</v>
      </c>
      <c r="Y942" t="s">
        <v>340</v>
      </c>
      <c r="Z942" t="str">
        <f t="shared" si="28"/>
        <v>Mayor que 10 - hasta 15</v>
      </c>
      <c r="AA942">
        <f t="shared" si="29"/>
        <v>0</v>
      </c>
      <c r="AB942">
        <v>70429</v>
      </c>
      <c r="AC942" t="s">
        <v>341</v>
      </c>
      <c r="AD942" t="s">
        <v>342</v>
      </c>
      <c r="AE942">
        <v>2.2324359999999999</v>
      </c>
      <c r="AF942" t="s">
        <v>77</v>
      </c>
      <c r="AG942">
        <v>88.238895999999997</v>
      </c>
      <c r="AH942" t="s">
        <v>129</v>
      </c>
      <c r="AI942" t="s">
        <v>130</v>
      </c>
      <c r="AJ942">
        <v>5.0444230000000001</v>
      </c>
      <c r="AK942" t="s">
        <v>181</v>
      </c>
      <c r="AL942">
        <v>213.98439400000001</v>
      </c>
      <c r="AM942" t="s">
        <v>64</v>
      </c>
      <c r="AN942" s="7">
        <v>10670.08921772513</v>
      </c>
      <c r="AO942" t="s">
        <v>65</v>
      </c>
      <c r="AP942" s="3">
        <v>771</v>
      </c>
      <c r="AQ942">
        <v>2</v>
      </c>
      <c r="AR942">
        <v>9874.709014</v>
      </c>
      <c r="AS942" t="s">
        <v>66</v>
      </c>
      <c r="AT942" t="s">
        <v>137</v>
      </c>
    </row>
    <row r="943" spans="1:46">
      <c r="A943">
        <v>623</v>
      </c>
      <c r="B943" t="s">
        <v>46</v>
      </c>
      <c r="C943">
        <v>70</v>
      </c>
      <c r="D943">
        <v>473</v>
      </c>
      <c r="E943" t="s">
        <v>1280</v>
      </c>
      <c r="F943" t="s">
        <v>655</v>
      </c>
      <c r="G943">
        <v>70473</v>
      </c>
      <c r="H943">
        <v>70473</v>
      </c>
      <c r="I943" t="s">
        <v>288</v>
      </c>
      <c r="J943">
        <v>7002</v>
      </c>
      <c r="K943" t="s">
        <v>367</v>
      </c>
      <c r="L943" t="s">
        <v>91</v>
      </c>
      <c r="M943" t="s">
        <v>53</v>
      </c>
      <c r="N943">
        <v>16360</v>
      </c>
      <c r="O943" t="s">
        <v>53</v>
      </c>
      <c r="P943" t="s">
        <v>70</v>
      </c>
      <c r="Q943" t="s">
        <v>71</v>
      </c>
      <c r="R943" t="s">
        <v>105</v>
      </c>
      <c r="S943" t="s">
        <v>368</v>
      </c>
      <c r="T943" t="s">
        <v>73</v>
      </c>
      <c r="U943" t="s">
        <v>59</v>
      </c>
      <c r="V943">
        <v>0.71725099999999997</v>
      </c>
      <c r="W943">
        <v>2023</v>
      </c>
      <c r="X943" t="s">
        <v>176</v>
      </c>
      <c r="Y943" t="s">
        <v>177</v>
      </c>
      <c r="Z943" t="str">
        <f t="shared" si="28"/>
        <v>Mayor que 20 - hasta 30</v>
      </c>
      <c r="AA943">
        <f t="shared" si="29"/>
        <v>0</v>
      </c>
      <c r="AB943">
        <v>70473</v>
      </c>
      <c r="AC943" t="s">
        <v>341</v>
      </c>
      <c r="AD943" t="s">
        <v>1266</v>
      </c>
      <c r="AE943">
        <v>0.12783</v>
      </c>
      <c r="AF943" t="s">
        <v>63</v>
      </c>
      <c r="AG943">
        <v>4.8698480000000002</v>
      </c>
      <c r="AH943" t="s">
        <v>341</v>
      </c>
      <c r="AI943" t="s">
        <v>349</v>
      </c>
      <c r="AJ943">
        <v>0.43747399999999997</v>
      </c>
      <c r="AK943" t="s">
        <v>63</v>
      </c>
      <c r="AL943">
        <v>12.536752999999999</v>
      </c>
      <c r="AM943" t="s">
        <v>64</v>
      </c>
      <c r="AN943" s="7">
        <v>1929.985758031921</v>
      </c>
      <c r="AO943" t="s">
        <v>65</v>
      </c>
      <c r="AP943" s="3">
        <v>1036</v>
      </c>
      <c r="AQ943">
        <v>2</v>
      </c>
      <c r="AR943">
        <v>1847.3031390000001</v>
      </c>
      <c r="AS943" t="s">
        <v>66</v>
      </c>
      <c r="AT943" t="s">
        <v>137</v>
      </c>
    </row>
    <row r="944" spans="1:46">
      <c r="A944">
        <v>611</v>
      </c>
      <c r="B944" t="s">
        <v>46</v>
      </c>
      <c r="C944">
        <v>70</v>
      </c>
      <c r="D944">
        <v>508</v>
      </c>
      <c r="E944" t="s">
        <v>1281</v>
      </c>
      <c r="F944" t="s">
        <v>655</v>
      </c>
      <c r="G944">
        <v>70508</v>
      </c>
      <c r="H944">
        <v>70508</v>
      </c>
      <c r="I944" t="s">
        <v>288</v>
      </c>
      <c r="J944">
        <v>7002</v>
      </c>
      <c r="K944" t="s">
        <v>367</v>
      </c>
      <c r="L944" t="s">
        <v>69</v>
      </c>
      <c r="M944" t="s">
        <v>53</v>
      </c>
      <c r="N944">
        <v>23862</v>
      </c>
      <c r="O944" t="s">
        <v>53</v>
      </c>
      <c r="P944" t="s">
        <v>70</v>
      </c>
      <c r="Q944" t="s">
        <v>71</v>
      </c>
      <c r="R944" t="s">
        <v>56</v>
      </c>
      <c r="S944" t="s">
        <v>368</v>
      </c>
      <c r="T944" t="s">
        <v>73</v>
      </c>
      <c r="U944" t="s">
        <v>119</v>
      </c>
      <c r="V944">
        <v>0.63963599999999998</v>
      </c>
      <c r="W944">
        <v>2023</v>
      </c>
      <c r="X944" t="s">
        <v>310</v>
      </c>
      <c r="Y944" t="s">
        <v>311</v>
      </c>
      <c r="Z944" t="str">
        <f t="shared" si="28"/>
        <v>Mayor que 15 - hasta 20</v>
      </c>
      <c r="AA944">
        <f t="shared" si="29"/>
        <v>0</v>
      </c>
      <c r="AB944">
        <v>70508</v>
      </c>
      <c r="AC944" t="s">
        <v>341</v>
      </c>
      <c r="AD944" t="s">
        <v>1266</v>
      </c>
      <c r="AE944">
        <v>0.66020299999999998</v>
      </c>
      <c r="AF944" t="s">
        <v>63</v>
      </c>
      <c r="AG944">
        <v>30.867619000000001</v>
      </c>
      <c r="AH944" t="s">
        <v>341</v>
      </c>
      <c r="AI944" t="s">
        <v>349</v>
      </c>
      <c r="AJ944">
        <v>1.0702259999999999</v>
      </c>
      <c r="AK944" t="s">
        <v>76</v>
      </c>
      <c r="AL944">
        <v>44.221530000000001</v>
      </c>
      <c r="AM944" t="s">
        <v>64</v>
      </c>
      <c r="AN944" s="7">
        <v>969.3742005107697</v>
      </c>
      <c r="AO944" t="s">
        <v>65</v>
      </c>
      <c r="AP944" s="3">
        <v>169</v>
      </c>
      <c r="AQ944">
        <v>3</v>
      </c>
      <c r="AR944">
        <v>2299.6675570000002</v>
      </c>
      <c r="AS944" t="s">
        <v>66</v>
      </c>
      <c r="AT944" t="s">
        <v>137</v>
      </c>
    </row>
    <row r="945" spans="1:46">
      <c r="A945">
        <v>612</v>
      </c>
      <c r="B945" t="s">
        <v>46</v>
      </c>
      <c r="C945">
        <v>70</v>
      </c>
      <c r="D945">
        <v>523</v>
      </c>
      <c r="E945" t="s">
        <v>1282</v>
      </c>
      <c r="F945" t="s">
        <v>655</v>
      </c>
      <c r="G945">
        <v>70523</v>
      </c>
      <c r="H945">
        <v>70523</v>
      </c>
      <c r="I945" t="s">
        <v>288</v>
      </c>
      <c r="J945">
        <v>7003</v>
      </c>
      <c r="K945" t="s">
        <v>1269</v>
      </c>
      <c r="L945" t="s">
        <v>91</v>
      </c>
      <c r="M945" t="s">
        <v>53</v>
      </c>
      <c r="N945">
        <v>16224</v>
      </c>
      <c r="O945" t="s">
        <v>53</v>
      </c>
      <c r="P945" t="s">
        <v>70</v>
      </c>
      <c r="Q945" t="s">
        <v>71</v>
      </c>
      <c r="R945" t="s">
        <v>122</v>
      </c>
      <c r="S945" t="s">
        <v>368</v>
      </c>
      <c r="T945" t="s">
        <v>73</v>
      </c>
      <c r="U945" t="s">
        <v>59</v>
      </c>
      <c r="V945">
        <v>0.57929299999999995</v>
      </c>
      <c r="W945">
        <v>2023</v>
      </c>
      <c r="X945" t="s">
        <v>217</v>
      </c>
      <c r="Y945" t="s">
        <v>218</v>
      </c>
      <c r="Z945" t="str">
        <f t="shared" si="28"/>
        <v>Mayor que 40 - hasta 50</v>
      </c>
      <c r="AA945">
        <f t="shared" si="29"/>
        <v>0</v>
      </c>
      <c r="AB945">
        <v>70523</v>
      </c>
      <c r="AC945" t="s">
        <v>341</v>
      </c>
      <c r="AD945" t="s">
        <v>349</v>
      </c>
      <c r="AE945">
        <v>0.80500700000000003</v>
      </c>
      <c r="AF945" t="s">
        <v>63</v>
      </c>
      <c r="AG945">
        <v>20.379394000000001</v>
      </c>
      <c r="AH945" t="s">
        <v>341</v>
      </c>
      <c r="AI945" t="s">
        <v>349</v>
      </c>
      <c r="AJ945">
        <v>0.80048900000000001</v>
      </c>
      <c r="AK945" t="s">
        <v>63</v>
      </c>
      <c r="AL945">
        <v>20.337973000000002</v>
      </c>
      <c r="AM945" t="s">
        <v>65</v>
      </c>
      <c r="AN945" s="7">
        <v>591.42800382214182</v>
      </c>
      <c r="AO945" t="s">
        <v>65</v>
      </c>
      <c r="AP945" s="3">
        <v>100</v>
      </c>
      <c r="AQ945">
        <v>2</v>
      </c>
      <c r="AR945">
        <v>714.45727099999999</v>
      </c>
      <c r="AS945" t="s">
        <v>66</v>
      </c>
      <c r="AT945" t="s">
        <v>137</v>
      </c>
    </row>
    <row r="946" spans="1:46">
      <c r="A946">
        <v>613</v>
      </c>
      <c r="B946" t="s">
        <v>46</v>
      </c>
      <c r="C946">
        <v>70</v>
      </c>
      <c r="D946">
        <v>670</v>
      </c>
      <c r="E946" t="s">
        <v>1283</v>
      </c>
      <c r="F946" t="s">
        <v>655</v>
      </c>
      <c r="G946">
        <v>70670</v>
      </c>
      <c r="H946">
        <v>70670</v>
      </c>
      <c r="I946" t="s">
        <v>288</v>
      </c>
      <c r="J946">
        <v>7004</v>
      </c>
      <c r="K946" t="s">
        <v>717</v>
      </c>
      <c r="L946" t="s">
        <v>91</v>
      </c>
      <c r="M946" t="s">
        <v>53</v>
      </c>
      <c r="N946">
        <v>52591</v>
      </c>
      <c r="O946" t="s">
        <v>53</v>
      </c>
      <c r="P946" t="s">
        <v>92</v>
      </c>
      <c r="Q946" t="s">
        <v>71</v>
      </c>
      <c r="R946" t="s">
        <v>93</v>
      </c>
      <c r="S946" t="s">
        <v>57</v>
      </c>
      <c r="T946" t="s">
        <v>58</v>
      </c>
      <c r="U946" t="s">
        <v>59</v>
      </c>
      <c r="V946">
        <v>0.60949799999999998</v>
      </c>
      <c r="W946">
        <v>2023</v>
      </c>
      <c r="X946" t="s">
        <v>141</v>
      </c>
      <c r="Y946" t="s">
        <v>142</v>
      </c>
      <c r="Z946" t="str">
        <f t="shared" si="28"/>
        <v>Mayor que 60 - hasta 70</v>
      </c>
      <c r="AA946">
        <f t="shared" si="29"/>
        <v>0</v>
      </c>
      <c r="AB946">
        <v>70670</v>
      </c>
      <c r="AC946" t="s">
        <v>341</v>
      </c>
      <c r="AD946" t="s">
        <v>349</v>
      </c>
      <c r="AE946">
        <v>0.45296599999999998</v>
      </c>
      <c r="AF946" t="s">
        <v>63</v>
      </c>
      <c r="AG946">
        <v>18.592388</v>
      </c>
      <c r="AH946" t="s">
        <v>341</v>
      </c>
      <c r="AI946" t="s">
        <v>349</v>
      </c>
      <c r="AJ946">
        <v>0.44844899999999999</v>
      </c>
      <c r="AK946" t="s">
        <v>63</v>
      </c>
      <c r="AL946">
        <v>18.550967</v>
      </c>
      <c r="AM946" t="s">
        <v>65</v>
      </c>
      <c r="AN946" s="7">
        <v>3539.796787100297</v>
      </c>
      <c r="AO946" t="s">
        <v>65</v>
      </c>
      <c r="AP946" s="3">
        <v>1289</v>
      </c>
      <c r="AQ946">
        <v>2</v>
      </c>
      <c r="AR946">
        <v>3976.5869080000002</v>
      </c>
      <c r="AS946" t="s">
        <v>66</v>
      </c>
      <c r="AT946" t="s">
        <v>666</v>
      </c>
    </row>
    <row r="947" spans="1:46">
      <c r="A947">
        <v>614</v>
      </c>
      <c r="B947" t="s">
        <v>46</v>
      </c>
      <c r="C947">
        <v>70</v>
      </c>
      <c r="D947">
        <v>678</v>
      </c>
      <c r="E947" t="s">
        <v>1284</v>
      </c>
      <c r="F947" t="s">
        <v>655</v>
      </c>
      <c r="G947">
        <v>70678</v>
      </c>
      <c r="H947">
        <v>70678</v>
      </c>
      <c r="I947" t="s">
        <v>288</v>
      </c>
      <c r="J947">
        <v>7005</v>
      </c>
      <c r="K947" t="s">
        <v>704</v>
      </c>
      <c r="L947" t="s">
        <v>80</v>
      </c>
      <c r="M947" t="s">
        <v>53</v>
      </c>
      <c r="N947">
        <v>30950</v>
      </c>
      <c r="O947" t="s">
        <v>53</v>
      </c>
      <c r="P947" t="s">
        <v>92</v>
      </c>
      <c r="Q947" t="s">
        <v>71</v>
      </c>
      <c r="R947" t="s">
        <v>72</v>
      </c>
      <c r="S947" t="s">
        <v>57</v>
      </c>
      <c r="T947" t="s">
        <v>58</v>
      </c>
      <c r="U947" t="s">
        <v>59</v>
      </c>
      <c r="V947">
        <v>0.59372999999999998</v>
      </c>
      <c r="W947">
        <v>2023</v>
      </c>
      <c r="X947" t="s">
        <v>339</v>
      </c>
      <c r="Y947" t="s">
        <v>340</v>
      </c>
      <c r="Z947" t="str">
        <f t="shared" si="28"/>
        <v>Mayor que 10 - hasta 15</v>
      </c>
      <c r="AA947">
        <f t="shared" si="29"/>
        <v>0</v>
      </c>
      <c r="AB947">
        <v>70678</v>
      </c>
      <c r="AC947" t="s">
        <v>341</v>
      </c>
      <c r="AD947" t="s">
        <v>1266</v>
      </c>
      <c r="AE947">
        <v>1.8029440000000001</v>
      </c>
      <c r="AF947" t="s">
        <v>76</v>
      </c>
      <c r="AG947">
        <v>65.976658999999998</v>
      </c>
      <c r="AH947" t="s">
        <v>341</v>
      </c>
      <c r="AI947" t="s">
        <v>349</v>
      </c>
      <c r="AJ947">
        <v>2.0834609999999998</v>
      </c>
      <c r="AK947" t="s">
        <v>77</v>
      </c>
      <c r="AL947">
        <v>71.447727</v>
      </c>
      <c r="AM947" t="s">
        <v>64</v>
      </c>
      <c r="AN947" s="7">
        <v>25679.26640393363</v>
      </c>
      <c r="AO947" t="s">
        <v>65</v>
      </c>
      <c r="AP947" s="3">
        <v>965</v>
      </c>
      <c r="AQ947">
        <v>1</v>
      </c>
      <c r="AR947">
        <v>23923.061730000001</v>
      </c>
      <c r="AS947" t="s">
        <v>66</v>
      </c>
      <c r="AT947" t="s">
        <v>53</v>
      </c>
    </row>
    <row r="948" spans="1:46">
      <c r="A948">
        <v>615</v>
      </c>
      <c r="B948" t="s">
        <v>46</v>
      </c>
      <c r="C948">
        <v>70</v>
      </c>
      <c r="D948">
        <v>702</v>
      </c>
      <c r="E948" t="s">
        <v>1285</v>
      </c>
      <c r="F948" t="s">
        <v>655</v>
      </c>
      <c r="G948">
        <v>70702</v>
      </c>
      <c r="H948">
        <v>70702</v>
      </c>
      <c r="I948" t="s">
        <v>288</v>
      </c>
      <c r="J948">
        <v>7004</v>
      </c>
      <c r="K948" t="s">
        <v>717</v>
      </c>
      <c r="L948" t="s">
        <v>91</v>
      </c>
      <c r="M948" t="s">
        <v>53</v>
      </c>
      <c r="N948">
        <v>14306</v>
      </c>
      <c r="O948" t="s">
        <v>53</v>
      </c>
      <c r="P948" t="s">
        <v>70</v>
      </c>
      <c r="Q948" t="s">
        <v>71</v>
      </c>
      <c r="R948" t="s">
        <v>72</v>
      </c>
      <c r="S948" t="s">
        <v>57</v>
      </c>
      <c r="T948" t="s">
        <v>58</v>
      </c>
      <c r="U948" t="s">
        <v>59</v>
      </c>
      <c r="V948">
        <v>0.46277499999999999</v>
      </c>
      <c r="W948">
        <v>2023</v>
      </c>
      <c r="X948" t="s">
        <v>176</v>
      </c>
      <c r="Y948" t="s">
        <v>177</v>
      </c>
      <c r="Z948" t="str">
        <f t="shared" si="28"/>
        <v>Mayor que 20 - hasta 30</v>
      </c>
      <c r="AA948">
        <f t="shared" si="29"/>
        <v>0</v>
      </c>
      <c r="AB948">
        <v>70702</v>
      </c>
      <c r="AC948" t="s">
        <v>341</v>
      </c>
      <c r="AD948" t="s">
        <v>1266</v>
      </c>
      <c r="AE948">
        <v>0.20624600000000001</v>
      </c>
      <c r="AF948" t="s">
        <v>63</v>
      </c>
      <c r="AG948">
        <v>8.1982759999999999</v>
      </c>
      <c r="AH948" t="s">
        <v>341</v>
      </c>
      <c r="AI948" t="s">
        <v>349</v>
      </c>
      <c r="AJ948">
        <v>0.64528399999999997</v>
      </c>
      <c r="AK948" t="s">
        <v>63</v>
      </c>
      <c r="AL948">
        <v>22.717872</v>
      </c>
      <c r="AM948" t="s">
        <v>65</v>
      </c>
      <c r="AN948" s="7">
        <v>2646.212306970956</v>
      </c>
      <c r="AO948" t="s">
        <v>65</v>
      </c>
      <c r="AP948" s="3">
        <v>618</v>
      </c>
      <c r="AQ948">
        <v>3</v>
      </c>
      <c r="AR948">
        <v>1849.3048679999999</v>
      </c>
      <c r="AS948" t="s">
        <v>66</v>
      </c>
      <c r="AT948" t="s">
        <v>53</v>
      </c>
    </row>
    <row r="949" spans="1:46">
      <c r="A949">
        <v>616</v>
      </c>
      <c r="B949" t="s">
        <v>46</v>
      </c>
      <c r="C949">
        <v>70</v>
      </c>
      <c r="D949">
        <v>708</v>
      </c>
      <c r="E949" t="s">
        <v>342</v>
      </c>
      <c r="F949" t="s">
        <v>655</v>
      </c>
      <c r="G949">
        <v>70708</v>
      </c>
      <c r="H949">
        <v>70708</v>
      </c>
      <c r="I949" t="s">
        <v>288</v>
      </c>
      <c r="J949">
        <v>7005</v>
      </c>
      <c r="K949" t="s">
        <v>704</v>
      </c>
      <c r="L949" t="s">
        <v>91</v>
      </c>
      <c r="M949" t="s">
        <v>53</v>
      </c>
      <c r="N949">
        <v>61679</v>
      </c>
      <c r="O949" t="s">
        <v>53</v>
      </c>
      <c r="P949" t="s">
        <v>92</v>
      </c>
      <c r="Q949" t="s">
        <v>71</v>
      </c>
      <c r="R949" t="s">
        <v>72</v>
      </c>
      <c r="S949" t="s">
        <v>57</v>
      </c>
      <c r="T949" t="s">
        <v>58</v>
      </c>
      <c r="U949" t="s">
        <v>59</v>
      </c>
      <c r="V949">
        <v>0.59108099999999997</v>
      </c>
      <c r="W949">
        <v>2023</v>
      </c>
      <c r="X949" t="s">
        <v>109</v>
      </c>
      <c r="Y949" t="s">
        <v>110</v>
      </c>
      <c r="Z949" t="str">
        <f t="shared" si="28"/>
        <v>Mayor que 30 - hasta 40</v>
      </c>
      <c r="AA949">
        <f t="shared" si="29"/>
        <v>0</v>
      </c>
      <c r="AB949">
        <v>70708</v>
      </c>
      <c r="AC949" t="s">
        <v>341</v>
      </c>
      <c r="AD949" t="s">
        <v>342</v>
      </c>
      <c r="AE949">
        <v>0</v>
      </c>
      <c r="AF949" t="s">
        <v>63</v>
      </c>
      <c r="AG949">
        <v>0</v>
      </c>
      <c r="AH949" t="s">
        <v>129</v>
      </c>
      <c r="AI949" t="s">
        <v>130</v>
      </c>
      <c r="AJ949">
        <v>2.831169</v>
      </c>
      <c r="AK949" t="s">
        <v>77</v>
      </c>
      <c r="AL949">
        <v>125.945498</v>
      </c>
      <c r="AM949" t="s">
        <v>64</v>
      </c>
      <c r="AN949" s="7">
        <v>2073.98198675507</v>
      </c>
      <c r="AO949" t="s">
        <v>65</v>
      </c>
      <c r="AP949" s="3">
        <v>180</v>
      </c>
      <c r="AQ949">
        <v>1</v>
      </c>
      <c r="AR949">
        <v>2320.3235410000002</v>
      </c>
      <c r="AS949" t="s">
        <v>66</v>
      </c>
      <c r="AT949" t="s">
        <v>53</v>
      </c>
    </row>
    <row r="950" spans="1:46">
      <c r="A950">
        <v>617</v>
      </c>
      <c r="B950" t="s">
        <v>46</v>
      </c>
      <c r="C950">
        <v>70</v>
      </c>
      <c r="D950">
        <v>713</v>
      </c>
      <c r="E950" t="s">
        <v>1286</v>
      </c>
      <c r="F950" t="s">
        <v>655</v>
      </c>
      <c r="G950">
        <v>70713</v>
      </c>
      <c r="H950">
        <v>70713</v>
      </c>
      <c r="I950" t="s">
        <v>288</v>
      </c>
      <c r="J950">
        <v>7003</v>
      </c>
      <c r="K950" t="s">
        <v>1269</v>
      </c>
      <c r="L950" t="s">
        <v>91</v>
      </c>
      <c r="M950" t="s">
        <v>53</v>
      </c>
      <c r="N950">
        <v>56256</v>
      </c>
      <c r="O950" t="s">
        <v>53</v>
      </c>
      <c r="P950" t="s">
        <v>92</v>
      </c>
      <c r="Q950" t="s">
        <v>71</v>
      </c>
      <c r="R950" t="s">
        <v>105</v>
      </c>
      <c r="S950" t="s">
        <v>368</v>
      </c>
      <c r="T950" t="s">
        <v>73</v>
      </c>
      <c r="U950" t="s">
        <v>59</v>
      </c>
      <c r="V950">
        <v>0.61574099999999998</v>
      </c>
      <c r="W950">
        <v>2023</v>
      </c>
      <c r="X950" t="s">
        <v>176</v>
      </c>
      <c r="Y950" t="s">
        <v>177</v>
      </c>
      <c r="Z950" t="str">
        <f t="shared" si="28"/>
        <v>Mayor que 20 - hasta 30</v>
      </c>
      <c r="AA950">
        <f t="shared" si="29"/>
        <v>0</v>
      </c>
      <c r="AB950">
        <v>70713</v>
      </c>
      <c r="AC950" t="s">
        <v>341</v>
      </c>
      <c r="AD950" t="s">
        <v>1270</v>
      </c>
      <c r="AE950">
        <v>0.72386799999999996</v>
      </c>
      <c r="AF950" t="s">
        <v>63</v>
      </c>
      <c r="AG950">
        <v>36.126198000000002</v>
      </c>
      <c r="AH950" t="s">
        <v>341</v>
      </c>
      <c r="AI950" t="s">
        <v>349</v>
      </c>
      <c r="AJ950">
        <v>1.196461</v>
      </c>
      <c r="AK950" t="s">
        <v>76</v>
      </c>
      <c r="AL950">
        <v>62.326912</v>
      </c>
      <c r="AM950" t="s">
        <v>97</v>
      </c>
      <c r="AN950" s="7">
        <v>4120.3769262291553</v>
      </c>
      <c r="AO950" t="s">
        <v>65</v>
      </c>
      <c r="AP950" s="3">
        <v>429</v>
      </c>
      <c r="AQ950">
        <v>3</v>
      </c>
      <c r="AR950">
        <v>3116.9468780000002</v>
      </c>
      <c r="AS950" t="s">
        <v>66</v>
      </c>
      <c r="AT950" t="s">
        <v>53</v>
      </c>
    </row>
    <row r="951" spans="1:46">
      <c r="A951">
        <v>618</v>
      </c>
      <c r="B951" t="s">
        <v>46</v>
      </c>
      <c r="C951">
        <v>70</v>
      </c>
      <c r="D951">
        <v>717</v>
      </c>
      <c r="E951" t="s">
        <v>251</v>
      </c>
      <c r="F951" t="s">
        <v>655</v>
      </c>
      <c r="G951">
        <v>70717</v>
      </c>
      <c r="H951">
        <v>70717</v>
      </c>
      <c r="I951" t="s">
        <v>288</v>
      </c>
      <c r="J951">
        <v>7004</v>
      </c>
      <c r="K951" t="s">
        <v>717</v>
      </c>
      <c r="L951" t="s">
        <v>91</v>
      </c>
      <c r="M951" t="s">
        <v>53</v>
      </c>
      <c r="N951">
        <v>20065</v>
      </c>
      <c r="O951" t="s">
        <v>53</v>
      </c>
      <c r="P951" t="s">
        <v>70</v>
      </c>
      <c r="Q951" t="s">
        <v>71</v>
      </c>
      <c r="R951" t="s">
        <v>93</v>
      </c>
      <c r="S951" t="s">
        <v>57</v>
      </c>
      <c r="T951" t="s">
        <v>58</v>
      </c>
      <c r="U951" t="s">
        <v>81</v>
      </c>
      <c r="V951">
        <v>0.418545</v>
      </c>
      <c r="W951">
        <v>2023</v>
      </c>
      <c r="X951" t="s">
        <v>176</v>
      </c>
      <c r="Y951" t="s">
        <v>177</v>
      </c>
      <c r="Z951" t="str">
        <f t="shared" si="28"/>
        <v>Mayor que 20 - hasta 30</v>
      </c>
      <c r="AA951">
        <f t="shared" si="29"/>
        <v>0</v>
      </c>
      <c r="AB951">
        <v>70717</v>
      </c>
      <c r="AC951" t="s">
        <v>341</v>
      </c>
      <c r="AD951" t="s">
        <v>1266</v>
      </c>
      <c r="AE951">
        <v>0.83269199999999999</v>
      </c>
      <c r="AF951" t="s">
        <v>63</v>
      </c>
      <c r="AG951">
        <v>40.000208999999998</v>
      </c>
      <c r="AH951" t="s">
        <v>341</v>
      </c>
      <c r="AI951" t="s">
        <v>349</v>
      </c>
      <c r="AJ951">
        <v>1.242715</v>
      </c>
      <c r="AK951" t="s">
        <v>76</v>
      </c>
      <c r="AL951">
        <v>53.354120000000002</v>
      </c>
      <c r="AM951" t="s">
        <v>64</v>
      </c>
      <c r="AN951" s="7">
        <v>1508.3992114889011</v>
      </c>
      <c r="AO951" t="s">
        <v>65</v>
      </c>
      <c r="AP951" s="3">
        <v>276</v>
      </c>
      <c r="AQ951">
        <v>2</v>
      </c>
      <c r="AR951">
        <v>1195.366753</v>
      </c>
      <c r="AS951" t="s">
        <v>66</v>
      </c>
      <c r="AT951" t="s">
        <v>137</v>
      </c>
    </row>
    <row r="952" spans="1:46">
      <c r="A952">
        <v>619</v>
      </c>
      <c r="B952" t="s">
        <v>46</v>
      </c>
      <c r="C952">
        <v>70</v>
      </c>
      <c r="D952">
        <v>742</v>
      </c>
      <c r="E952" t="s">
        <v>1287</v>
      </c>
      <c r="F952" t="s">
        <v>655</v>
      </c>
      <c r="G952">
        <v>70742</v>
      </c>
      <c r="H952">
        <v>70742</v>
      </c>
      <c r="I952" t="s">
        <v>288</v>
      </c>
      <c r="J952">
        <v>7004</v>
      </c>
      <c r="K952" t="s">
        <v>717</v>
      </c>
      <c r="L952" t="s">
        <v>91</v>
      </c>
      <c r="M952" t="s">
        <v>53</v>
      </c>
      <c r="N952">
        <v>33046</v>
      </c>
      <c r="O952" t="s">
        <v>53</v>
      </c>
      <c r="P952" t="s">
        <v>92</v>
      </c>
      <c r="Q952" t="s">
        <v>71</v>
      </c>
      <c r="R952" t="s">
        <v>72</v>
      </c>
      <c r="S952" t="s">
        <v>57</v>
      </c>
      <c r="T952" t="s">
        <v>58</v>
      </c>
      <c r="U952" t="s">
        <v>81</v>
      </c>
      <c r="V952">
        <v>8.9812000000000003E-2</v>
      </c>
      <c r="W952">
        <v>2023</v>
      </c>
      <c r="X952" t="s">
        <v>310</v>
      </c>
      <c r="Y952" t="s">
        <v>311</v>
      </c>
      <c r="Z952" t="str">
        <f t="shared" si="28"/>
        <v>Mayor que 15 - hasta 20</v>
      </c>
      <c r="AA952">
        <f t="shared" si="29"/>
        <v>0</v>
      </c>
      <c r="AB952">
        <v>70742</v>
      </c>
      <c r="AC952" t="s">
        <v>341</v>
      </c>
      <c r="AD952" t="s">
        <v>1266</v>
      </c>
      <c r="AE952">
        <v>0.58677199999999996</v>
      </c>
      <c r="AF952" t="s">
        <v>63</v>
      </c>
      <c r="AG952">
        <v>21.903658</v>
      </c>
      <c r="AH952" t="s">
        <v>341</v>
      </c>
      <c r="AI952" t="s">
        <v>349</v>
      </c>
      <c r="AJ952">
        <v>1.025811</v>
      </c>
      <c r="AK952" t="s">
        <v>76</v>
      </c>
      <c r="AL952">
        <v>36.423254</v>
      </c>
      <c r="AM952" t="s">
        <v>64</v>
      </c>
      <c r="AN952" s="7">
        <v>14958.86677872301</v>
      </c>
      <c r="AO952" t="s">
        <v>65</v>
      </c>
      <c r="AP952" s="3">
        <v>991</v>
      </c>
      <c r="AQ952">
        <v>2</v>
      </c>
      <c r="AR952">
        <v>13797.824177</v>
      </c>
      <c r="AS952" t="s">
        <v>66</v>
      </c>
      <c r="AT952" t="s">
        <v>53</v>
      </c>
    </row>
    <row r="953" spans="1:46">
      <c r="A953">
        <v>620</v>
      </c>
      <c r="B953" t="s">
        <v>46</v>
      </c>
      <c r="C953">
        <v>70</v>
      </c>
      <c r="D953">
        <v>771</v>
      </c>
      <c r="E953" t="s">
        <v>655</v>
      </c>
      <c r="F953" t="s">
        <v>655</v>
      </c>
      <c r="G953">
        <v>70771</v>
      </c>
      <c r="H953">
        <v>70771</v>
      </c>
      <c r="I953" t="s">
        <v>288</v>
      </c>
      <c r="J953">
        <v>7001</v>
      </c>
      <c r="K953" t="s">
        <v>1276</v>
      </c>
      <c r="L953" t="s">
        <v>69</v>
      </c>
      <c r="M953" t="s">
        <v>53</v>
      </c>
      <c r="N953">
        <v>32573</v>
      </c>
      <c r="O953" t="s">
        <v>53</v>
      </c>
      <c r="P953" t="s">
        <v>92</v>
      </c>
      <c r="Q953" t="s">
        <v>71</v>
      </c>
      <c r="R953" t="s">
        <v>56</v>
      </c>
      <c r="S953" t="s">
        <v>57</v>
      </c>
      <c r="T953" t="s">
        <v>58</v>
      </c>
      <c r="U953" t="s">
        <v>81</v>
      </c>
      <c r="V953">
        <v>0.87165099999999995</v>
      </c>
      <c r="W953">
        <v>2023</v>
      </c>
      <c r="X953" t="s">
        <v>345</v>
      </c>
      <c r="Y953" t="s">
        <v>346</v>
      </c>
      <c r="Z953" t="str">
        <f t="shared" si="28"/>
        <v>Mayor que 8 - hasta 10</v>
      </c>
      <c r="AA953">
        <f t="shared" si="29"/>
        <v>0</v>
      </c>
      <c r="AB953">
        <v>70771</v>
      </c>
      <c r="AC953" t="s">
        <v>341</v>
      </c>
      <c r="AD953" t="s">
        <v>342</v>
      </c>
      <c r="AE953">
        <v>3.1003419999999999</v>
      </c>
      <c r="AF953" t="s">
        <v>84</v>
      </c>
      <c r="AG953">
        <v>100.299913</v>
      </c>
      <c r="AH953" t="s">
        <v>129</v>
      </c>
      <c r="AI953" t="s">
        <v>130</v>
      </c>
      <c r="AJ953">
        <v>5.9123289999999997</v>
      </c>
      <c r="AK953" t="s">
        <v>181</v>
      </c>
      <c r="AL953">
        <v>226.045411</v>
      </c>
      <c r="AM953" t="s">
        <v>64</v>
      </c>
      <c r="AN953" s="7">
        <v>22319.084114369351</v>
      </c>
      <c r="AO953" t="s">
        <v>65</v>
      </c>
      <c r="AP953" s="3">
        <v>1829</v>
      </c>
      <c r="AQ953">
        <v>2</v>
      </c>
      <c r="AR953">
        <v>21110.483967</v>
      </c>
      <c r="AS953" t="s">
        <v>66</v>
      </c>
      <c r="AT953" t="s">
        <v>53</v>
      </c>
    </row>
    <row r="954" spans="1:46">
      <c r="A954">
        <v>621</v>
      </c>
      <c r="B954" t="s">
        <v>46</v>
      </c>
      <c r="C954">
        <v>70</v>
      </c>
      <c r="D954">
        <v>820</v>
      </c>
      <c r="E954" t="s">
        <v>1288</v>
      </c>
      <c r="F954" t="s">
        <v>655</v>
      </c>
      <c r="G954">
        <v>70820</v>
      </c>
      <c r="H954">
        <v>70820</v>
      </c>
      <c r="I954" t="s">
        <v>288</v>
      </c>
      <c r="J954">
        <v>7003</v>
      </c>
      <c r="K954" t="s">
        <v>1269</v>
      </c>
      <c r="L954" t="s">
        <v>91</v>
      </c>
      <c r="M954" t="s">
        <v>53</v>
      </c>
      <c r="N954">
        <v>34472</v>
      </c>
      <c r="O954" t="s">
        <v>53</v>
      </c>
      <c r="P954" t="s">
        <v>92</v>
      </c>
      <c r="Q954" t="s">
        <v>71</v>
      </c>
      <c r="R954" t="s">
        <v>93</v>
      </c>
      <c r="S954" t="s">
        <v>57</v>
      </c>
      <c r="T954" t="s">
        <v>58</v>
      </c>
      <c r="U954" t="s">
        <v>59</v>
      </c>
      <c r="V954">
        <v>0.65285800000000005</v>
      </c>
      <c r="W954">
        <v>2023</v>
      </c>
      <c r="X954" t="s">
        <v>109</v>
      </c>
      <c r="Y954" t="s">
        <v>110</v>
      </c>
      <c r="Z954" t="str">
        <f t="shared" si="28"/>
        <v>Mayor que 30 - hasta 40</v>
      </c>
      <c r="AA954">
        <f t="shared" si="29"/>
        <v>0</v>
      </c>
      <c r="AB954">
        <v>70820</v>
      </c>
      <c r="AC954" t="s">
        <v>341</v>
      </c>
      <c r="AD954" t="s">
        <v>1270</v>
      </c>
      <c r="AE954">
        <v>0</v>
      </c>
      <c r="AF954" t="s">
        <v>63</v>
      </c>
      <c r="AG954">
        <v>0</v>
      </c>
      <c r="AH954" t="s">
        <v>341</v>
      </c>
      <c r="AI954" t="s">
        <v>349</v>
      </c>
      <c r="AJ954">
        <v>0.86462099999999997</v>
      </c>
      <c r="AK954" t="s">
        <v>63</v>
      </c>
      <c r="AL954">
        <v>40.096046000000001</v>
      </c>
      <c r="AM954" t="s">
        <v>97</v>
      </c>
      <c r="AN954" s="7">
        <v>2881.6791054965438</v>
      </c>
      <c r="AO954" t="s">
        <v>64</v>
      </c>
      <c r="AP954" s="3">
        <v>18</v>
      </c>
      <c r="AQ954">
        <v>3</v>
      </c>
      <c r="AR954">
        <v>3699.9529849999999</v>
      </c>
      <c r="AS954" t="s">
        <v>66</v>
      </c>
      <c r="AT954" t="s">
        <v>53</v>
      </c>
    </row>
    <row r="955" spans="1:46">
      <c r="A955">
        <v>622</v>
      </c>
      <c r="B955" t="s">
        <v>46</v>
      </c>
      <c r="C955">
        <v>70</v>
      </c>
      <c r="D955">
        <v>823</v>
      </c>
      <c r="E955" t="s">
        <v>1289</v>
      </c>
      <c r="F955" t="s">
        <v>655</v>
      </c>
      <c r="G955">
        <v>70823</v>
      </c>
      <c r="H955">
        <v>70823</v>
      </c>
      <c r="I955" t="s">
        <v>288</v>
      </c>
      <c r="J955">
        <v>7003</v>
      </c>
      <c r="K955" t="s">
        <v>1269</v>
      </c>
      <c r="L955" t="s">
        <v>69</v>
      </c>
      <c r="M955" t="s">
        <v>53</v>
      </c>
      <c r="N955">
        <v>23099</v>
      </c>
      <c r="O955" t="s">
        <v>53</v>
      </c>
      <c r="P955" t="s">
        <v>70</v>
      </c>
      <c r="Q955" t="s">
        <v>71</v>
      </c>
      <c r="R955" t="s">
        <v>93</v>
      </c>
      <c r="S955" t="s">
        <v>368</v>
      </c>
      <c r="T955" t="s">
        <v>73</v>
      </c>
      <c r="U955" t="s">
        <v>59</v>
      </c>
      <c r="V955">
        <v>0.66785899999999998</v>
      </c>
      <c r="W955">
        <v>2023</v>
      </c>
      <c r="X955" t="s">
        <v>109</v>
      </c>
      <c r="Y955" t="s">
        <v>110</v>
      </c>
      <c r="Z955" t="str">
        <f t="shared" si="28"/>
        <v>Mayor que 30 - hasta 40</v>
      </c>
      <c r="AA955">
        <f t="shared" si="29"/>
        <v>0</v>
      </c>
      <c r="AB955">
        <v>70823</v>
      </c>
      <c r="AC955" t="s">
        <v>341</v>
      </c>
      <c r="AD955" t="s">
        <v>1270</v>
      </c>
      <c r="AE955">
        <v>0.42737199999999997</v>
      </c>
      <c r="AF955" t="s">
        <v>63</v>
      </c>
      <c r="AG955">
        <v>19.313707999999998</v>
      </c>
      <c r="AH955" t="s">
        <v>341</v>
      </c>
      <c r="AI955" t="s">
        <v>349</v>
      </c>
      <c r="AJ955">
        <v>0.46435300000000002</v>
      </c>
      <c r="AK955" t="s">
        <v>63</v>
      </c>
      <c r="AL955">
        <v>21.123759</v>
      </c>
      <c r="AM955" t="s">
        <v>64</v>
      </c>
      <c r="AN955" s="7">
        <v>1577.862805418632</v>
      </c>
      <c r="AO955" t="s">
        <v>65</v>
      </c>
      <c r="AP955" s="3">
        <v>130</v>
      </c>
      <c r="AQ955">
        <v>1</v>
      </c>
      <c r="AR955">
        <v>2661.9514859999999</v>
      </c>
      <c r="AS955" t="s">
        <v>66</v>
      </c>
      <c r="AT955" t="s">
        <v>681</v>
      </c>
    </row>
    <row r="956" spans="1:46">
      <c r="A956">
        <v>1058</v>
      </c>
      <c r="B956" t="s">
        <v>46</v>
      </c>
      <c r="C956">
        <v>73</v>
      </c>
      <c r="D956">
        <v>1</v>
      </c>
      <c r="E956" t="s">
        <v>1290</v>
      </c>
      <c r="F956" t="s">
        <v>1291</v>
      </c>
      <c r="G956">
        <v>73001</v>
      </c>
      <c r="H956">
        <v>73001</v>
      </c>
      <c r="I956" t="s">
        <v>49</v>
      </c>
      <c r="J956">
        <v>7301</v>
      </c>
      <c r="K956" t="s">
        <v>1290</v>
      </c>
      <c r="L956" t="s">
        <v>51</v>
      </c>
      <c r="M956" t="s">
        <v>52</v>
      </c>
      <c r="N956">
        <v>542046</v>
      </c>
      <c r="O956" t="s">
        <v>53</v>
      </c>
      <c r="P956" t="s">
        <v>54</v>
      </c>
      <c r="Q956" t="s">
        <v>138</v>
      </c>
      <c r="R956" t="s">
        <v>122</v>
      </c>
      <c r="S956" t="s">
        <v>57</v>
      </c>
      <c r="T956" t="s">
        <v>58</v>
      </c>
      <c r="U956" t="s">
        <v>119</v>
      </c>
      <c r="V956">
        <v>0.53383199999999997</v>
      </c>
      <c r="W956">
        <v>2017</v>
      </c>
      <c r="X956" t="s">
        <v>190</v>
      </c>
      <c r="Y956" t="s">
        <v>74</v>
      </c>
      <c r="Z956" t="str">
        <f t="shared" si="28"/>
        <v>Mayor que 140 - hasta 160</v>
      </c>
      <c r="AA956">
        <f t="shared" si="29"/>
        <v>1</v>
      </c>
      <c r="AB956">
        <v>73001</v>
      </c>
      <c r="AC956" t="s">
        <v>564</v>
      </c>
      <c r="AD956" t="s">
        <v>565</v>
      </c>
      <c r="AE956">
        <v>0</v>
      </c>
      <c r="AF956" t="s">
        <v>63</v>
      </c>
      <c r="AG956">
        <v>0</v>
      </c>
      <c r="AH956" t="s">
        <v>564</v>
      </c>
      <c r="AI956" t="s">
        <v>565</v>
      </c>
      <c r="AJ956">
        <v>0</v>
      </c>
      <c r="AK956" t="s">
        <v>63</v>
      </c>
      <c r="AL956">
        <v>0</v>
      </c>
      <c r="AM956" t="s">
        <v>97</v>
      </c>
      <c r="AN956" s="7">
        <v>8841.2914453130434</v>
      </c>
      <c r="AO956" t="s">
        <v>65</v>
      </c>
      <c r="AP956" s="3">
        <v>1744</v>
      </c>
      <c r="AQ956">
        <v>2</v>
      </c>
      <c r="AR956">
        <v>18123.550539</v>
      </c>
      <c r="AS956" t="s">
        <v>66</v>
      </c>
      <c r="AT956" t="s">
        <v>53</v>
      </c>
    </row>
    <row r="957" spans="1:46">
      <c r="A957">
        <v>1059</v>
      </c>
      <c r="B957" t="s">
        <v>46</v>
      </c>
      <c r="C957">
        <v>73</v>
      </c>
      <c r="D957">
        <v>24</v>
      </c>
      <c r="E957" t="s">
        <v>1292</v>
      </c>
      <c r="F957" t="s">
        <v>1291</v>
      </c>
      <c r="G957">
        <v>73024</v>
      </c>
      <c r="H957">
        <v>73024</v>
      </c>
      <c r="I957" t="s">
        <v>49</v>
      </c>
      <c r="J957">
        <v>7306</v>
      </c>
      <c r="K957" t="s">
        <v>1293</v>
      </c>
      <c r="L957" t="s">
        <v>80</v>
      </c>
      <c r="M957" t="s">
        <v>53</v>
      </c>
      <c r="N957">
        <v>4693</v>
      </c>
      <c r="O957" t="s">
        <v>53</v>
      </c>
      <c r="P957" t="s">
        <v>70</v>
      </c>
      <c r="Q957" t="s">
        <v>71</v>
      </c>
      <c r="R957" t="s">
        <v>122</v>
      </c>
      <c r="S957" t="s">
        <v>57</v>
      </c>
      <c r="T957" t="s">
        <v>58</v>
      </c>
      <c r="U957" t="s">
        <v>59</v>
      </c>
      <c r="V957">
        <v>0.63175700000000001</v>
      </c>
      <c r="W957">
        <v>2017</v>
      </c>
      <c r="X957" t="s">
        <v>345</v>
      </c>
      <c r="Y957" t="s">
        <v>102</v>
      </c>
      <c r="Z957" t="str">
        <f t="shared" si="28"/>
        <v>Mayor que 20 - hasta 30</v>
      </c>
      <c r="AA957">
        <f t="shared" si="29"/>
        <v>1</v>
      </c>
      <c r="AB957">
        <v>73024</v>
      </c>
      <c r="AC957" t="s">
        <v>632</v>
      </c>
      <c r="AD957" t="s">
        <v>928</v>
      </c>
      <c r="AE957">
        <v>2.5719189999999998</v>
      </c>
      <c r="AF957" t="s">
        <v>77</v>
      </c>
      <c r="AG957">
        <v>86.710469000000003</v>
      </c>
      <c r="AH957" t="s">
        <v>632</v>
      </c>
      <c r="AI957" t="s">
        <v>928</v>
      </c>
      <c r="AJ957">
        <v>2.5220829999999999</v>
      </c>
      <c r="AK957" t="s">
        <v>77</v>
      </c>
      <c r="AL957">
        <v>85.810468999999998</v>
      </c>
      <c r="AM957" t="s">
        <v>64</v>
      </c>
      <c r="AN957" s="7">
        <v>7620.1027409922508</v>
      </c>
      <c r="AO957" t="s">
        <v>65</v>
      </c>
      <c r="AP957" s="3">
        <v>1771</v>
      </c>
      <c r="AQ957">
        <v>3</v>
      </c>
      <c r="AR957">
        <v>13980.455261999999</v>
      </c>
      <c r="AS957" t="s">
        <v>66</v>
      </c>
      <c r="AT957" t="s">
        <v>53</v>
      </c>
    </row>
    <row r="958" spans="1:46">
      <c r="A958">
        <v>1060</v>
      </c>
      <c r="B958" t="s">
        <v>46</v>
      </c>
      <c r="C958">
        <v>73</v>
      </c>
      <c r="D958">
        <v>26</v>
      </c>
      <c r="E958" t="s">
        <v>1294</v>
      </c>
      <c r="F958" t="s">
        <v>1291</v>
      </c>
      <c r="G958">
        <v>73026</v>
      </c>
      <c r="H958">
        <v>73026</v>
      </c>
      <c r="I958" t="s">
        <v>49</v>
      </c>
      <c r="J958">
        <v>7301</v>
      </c>
      <c r="K958" t="s">
        <v>1290</v>
      </c>
      <c r="L958" t="s">
        <v>69</v>
      </c>
      <c r="M958" t="s">
        <v>53</v>
      </c>
      <c r="N958">
        <v>9277</v>
      </c>
      <c r="O958" t="s">
        <v>53</v>
      </c>
      <c r="P958" t="s">
        <v>70</v>
      </c>
      <c r="Q958" t="s">
        <v>71</v>
      </c>
      <c r="R958" t="s">
        <v>93</v>
      </c>
      <c r="S958" t="s">
        <v>57</v>
      </c>
      <c r="T958" t="s">
        <v>73</v>
      </c>
      <c r="U958" t="s">
        <v>59</v>
      </c>
      <c r="V958">
        <v>0.28238200000000002</v>
      </c>
      <c r="W958">
        <v>2017</v>
      </c>
      <c r="X958" t="s">
        <v>217</v>
      </c>
      <c r="Y958" t="s">
        <v>167</v>
      </c>
      <c r="Z958" t="str">
        <f t="shared" si="28"/>
        <v>Mayor que 50 - hasta 60</v>
      </c>
      <c r="AA958">
        <f t="shared" si="29"/>
        <v>1</v>
      </c>
      <c r="AB958">
        <v>73026</v>
      </c>
      <c r="AC958" t="s">
        <v>564</v>
      </c>
      <c r="AD958" t="s">
        <v>565</v>
      </c>
      <c r="AE958">
        <v>1.0477590000000001</v>
      </c>
      <c r="AF958" t="s">
        <v>76</v>
      </c>
      <c r="AG958">
        <v>41.051681000000002</v>
      </c>
      <c r="AH958" t="s">
        <v>564</v>
      </c>
      <c r="AI958" t="s">
        <v>565</v>
      </c>
      <c r="AJ958">
        <v>1.032742</v>
      </c>
      <c r="AK958" t="s">
        <v>76</v>
      </c>
      <c r="AL958">
        <v>40.693102000000003</v>
      </c>
      <c r="AM958" t="s">
        <v>64</v>
      </c>
      <c r="AN958" s="7">
        <v>1307.616814447711</v>
      </c>
      <c r="AO958" t="s">
        <v>65</v>
      </c>
      <c r="AP958" s="3">
        <v>156</v>
      </c>
      <c r="AQ958">
        <v>2</v>
      </c>
      <c r="AR958">
        <v>2366.258785</v>
      </c>
      <c r="AS958" t="s">
        <v>66</v>
      </c>
      <c r="AT958" t="s">
        <v>53</v>
      </c>
    </row>
    <row r="959" spans="1:46">
      <c r="A959">
        <v>1061</v>
      </c>
      <c r="B959" t="s">
        <v>46</v>
      </c>
      <c r="C959">
        <v>73</v>
      </c>
      <c r="D959">
        <v>30</v>
      </c>
      <c r="E959" t="s">
        <v>1295</v>
      </c>
      <c r="F959" t="s">
        <v>1291</v>
      </c>
      <c r="G959">
        <v>73030</v>
      </c>
      <c r="H959">
        <v>73030</v>
      </c>
      <c r="I959" t="s">
        <v>49</v>
      </c>
      <c r="J959">
        <v>7303</v>
      </c>
      <c r="K959" t="s">
        <v>112</v>
      </c>
      <c r="L959" t="s">
        <v>69</v>
      </c>
      <c r="M959" t="s">
        <v>53</v>
      </c>
      <c r="N959">
        <v>6874</v>
      </c>
      <c r="O959" t="s">
        <v>53</v>
      </c>
      <c r="P959" t="s">
        <v>70</v>
      </c>
      <c r="Q959" t="s">
        <v>71</v>
      </c>
      <c r="R959" t="s">
        <v>122</v>
      </c>
      <c r="S959" t="s">
        <v>57</v>
      </c>
      <c r="T959" t="s">
        <v>58</v>
      </c>
      <c r="U959" t="s">
        <v>59</v>
      </c>
      <c r="V959">
        <v>0.38344800000000001</v>
      </c>
      <c r="W959">
        <v>2017</v>
      </c>
      <c r="X959" t="s">
        <v>217</v>
      </c>
      <c r="Y959" t="s">
        <v>218</v>
      </c>
      <c r="Z959" t="str">
        <f t="shared" si="28"/>
        <v>Mayor que 40 - hasta 50</v>
      </c>
      <c r="AA959">
        <f t="shared" si="29"/>
        <v>0</v>
      </c>
      <c r="AB959">
        <v>73030</v>
      </c>
      <c r="AC959" t="s">
        <v>564</v>
      </c>
      <c r="AD959" t="s">
        <v>569</v>
      </c>
      <c r="AE959">
        <v>1.513409</v>
      </c>
      <c r="AF959" t="s">
        <v>76</v>
      </c>
      <c r="AG959">
        <v>71.988433999999998</v>
      </c>
      <c r="AH959" t="s">
        <v>564</v>
      </c>
      <c r="AI959" t="s">
        <v>565</v>
      </c>
      <c r="AJ959">
        <v>2.241104</v>
      </c>
      <c r="AK959" t="s">
        <v>77</v>
      </c>
      <c r="AL959">
        <v>91.364885000000001</v>
      </c>
      <c r="AM959" t="s">
        <v>97</v>
      </c>
      <c r="AN959" s="7">
        <v>1401.507283904705</v>
      </c>
      <c r="AO959" t="s">
        <v>65</v>
      </c>
      <c r="AP959" s="3">
        <v>79</v>
      </c>
      <c r="AQ959">
        <v>3</v>
      </c>
      <c r="AR959">
        <v>1479.5477129999999</v>
      </c>
      <c r="AS959" t="s">
        <v>66</v>
      </c>
      <c r="AT959" t="s">
        <v>53</v>
      </c>
    </row>
    <row r="960" spans="1:46">
      <c r="A960">
        <v>1062</v>
      </c>
      <c r="B960" t="s">
        <v>46</v>
      </c>
      <c r="C960">
        <v>73</v>
      </c>
      <c r="D960">
        <v>43</v>
      </c>
      <c r="E960" t="s">
        <v>1296</v>
      </c>
      <c r="F960" t="s">
        <v>1291</v>
      </c>
      <c r="G960">
        <v>73043</v>
      </c>
      <c r="H960">
        <v>73043</v>
      </c>
      <c r="I960" t="s">
        <v>49</v>
      </c>
      <c r="J960">
        <v>7301</v>
      </c>
      <c r="K960" t="s">
        <v>1290</v>
      </c>
      <c r="L960" t="s">
        <v>80</v>
      </c>
      <c r="M960" t="s">
        <v>53</v>
      </c>
      <c r="N960">
        <v>10516</v>
      </c>
      <c r="O960" t="s">
        <v>53</v>
      </c>
      <c r="P960" t="s">
        <v>70</v>
      </c>
      <c r="Q960" t="s">
        <v>71</v>
      </c>
      <c r="R960" t="s">
        <v>93</v>
      </c>
      <c r="S960" t="s">
        <v>57</v>
      </c>
      <c r="T960" t="s">
        <v>73</v>
      </c>
      <c r="U960" t="s">
        <v>119</v>
      </c>
      <c r="V960">
        <v>0.65586100000000003</v>
      </c>
      <c r="W960">
        <v>2017</v>
      </c>
      <c r="X960" t="s">
        <v>339</v>
      </c>
      <c r="Y960" t="s">
        <v>82</v>
      </c>
      <c r="Z960" t="str">
        <f t="shared" si="28"/>
        <v>Mayor que 15 - hasta 20</v>
      </c>
      <c r="AA960">
        <f t="shared" si="29"/>
        <v>1</v>
      </c>
      <c r="AB960">
        <v>73043</v>
      </c>
      <c r="AC960" t="s">
        <v>564</v>
      </c>
      <c r="AD960" t="s">
        <v>565</v>
      </c>
      <c r="AE960">
        <v>2.1940460000000002</v>
      </c>
      <c r="AF960" t="s">
        <v>77</v>
      </c>
      <c r="AG960">
        <v>78.674935000000005</v>
      </c>
      <c r="AH960" t="s">
        <v>564</v>
      </c>
      <c r="AI960" t="s">
        <v>565</v>
      </c>
      <c r="AJ960">
        <v>2.1790289999999999</v>
      </c>
      <c r="AK960" t="s">
        <v>77</v>
      </c>
      <c r="AL960">
        <v>78.316355999999999</v>
      </c>
      <c r="AM960" t="s">
        <v>65</v>
      </c>
      <c r="AN960" s="7">
        <v>6156.9843925189753</v>
      </c>
      <c r="AO960" t="s">
        <v>65</v>
      </c>
      <c r="AP960" s="3">
        <v>1359</v>
      </c>
      <c r="AQ960">
        <v>4</v>
      </c>
      <c r="AR960">
        <v>9142.9187139999995</v>
      </c>
      <c r="AS960" t="s">
        <v>66</v>
      </c>
      <c r="AT960" t="s">
        <v>53</v>
      </c>
    </row>
    <row r="961" spans="1:46">
      <c r="A961">
        <v>1063</v>
      </c>
      <c r="B961" t="s">
        <v>46</v>
      </c>
      <c r="C961">
        <v>73</v>
      </c>
      <c r="D961">
        <v>55</v>
      </c>
      <c r="E961" t="s">
        <v>1297</v>
      </c>
      <c r="F961" t="s">
        <v>1291</v>
      </c>
      <c r="G961">
        <v>73055</v>
      </c>
      <c r="H961">
        <v>73055</v>
      </c>
      <c r="I961" t="s">
        <v>49</v>
      </c>
      <c r="J961">
        <v>7303</v>
      </c>
      <c r="K961" t="s">
        <v>112</v>
      </c>
      <c r="L961" t="s">
        <v>69</v>
      </c>
      <c r="M961" t="s">
        <v>53</v>
      </c>
      <c r="N961">
        <v>13473</v>
      </c>
      <c r="O961" t="s">
        <v>53</v>
      </c>
      <c r="P961" t="s">
        <v>70</v>
      </c>
      <c r="Q961" t="s">
        <v>71</v>
      </c>
      <c r="R961" t="s">
        <v>56</v>
      </c>
      <c r="S961" t="s">
        <v>57</v>
      </c>
      <c r="T961" t="s">
        <v>58</v>
      </c>
      <c r="U961" t="s">
        <v>59</v>
      </c>
      <c r="V961">
        <v>0.359099</v>
      </c>
      <c r="W961">
        <v>2017</v>
      </c>
      <c r="X961" t="s">
        <v>109</v>
      </c>
      <c r="Y961" t="s">
        <v>110</v>
      </c>
      <c r="Z961" t="str">
        <f t="shared" si="28"/>
        <v>Mayor que 30 - hasta 40</v>
      </c>
      <c r="AA961">
        <f t="shared" si="29"/>
        <v>0</v>
      </c>
      <c r="AB961">
        <v>73055</v>
      </c>
      <c r="AC961" t="s">
        <v>564</v>
      </c>
      <c r="AD961" t="s">
        <v>569</v>
      </c>
      <c r="AE961">
        <v>0.41237800000000002</v>
      </c>
      <c r="AF961" t="s">
        <v>63</v>
      </c>
      <c r="AG961">
        <v>21.053910999999999</v>
      </c>
      <c r="AH961" t="s">
        <v>564</v>
      </c>
      <c r="AI961" t="s">
        <v>565</v>
      </c>
      <c r="AJ961">
        <v>2.217498</v>
      </c>
      <c r="AK961" t="s">
        <v>77</v>
      </c>
      <c r="AL961">
        <v>100.207525</v>
      </c>
      <c r="AM961" t="s">
        <v>64</v>
      </c>
      <c r="AN961" s="7">
        <v>7828.4948101151558</v>
      </c>
      <c r="AO961" t="s">
        <v>65</v>
      </c>
      <c r="AP961" s="3">
        <v>560</v>
      </c>
      <c r="AQ961">
        <v>2</v>
      </c>
      <c r="AR961">
        <v>7579.6425529999997</v>
      </c>
      <c r="AS961" t="s">
        <v>66</v>
      </c>
      <c r="AT961" t="s">
        <v>53</v>
      </c>
    </row>
    <row r="962" spans="1:46">
      <c r="A962">
        <v>1064</v>
      </c>
      <c r="B962" t="s">
        <v>46</v>
      </c>
      <c r="C962">
        <v>73</v>
      </c>
      <c r="D962">
        <v>67</v>
      </c>
      <c r="E962" t="s">
        <v>1298</v>
      </c>
      <c r="F962" t="s">
        <v>1291</v>
      </c>
      <c r="G962">
        <v>73067</v>
      </c>
      <c r="H962">
        <v>73067</v>
      </c>
      <c r="I962" t="s">
        <v>49</v>
      </c>
      <c r="J962">
        <v>7305</v>
      </c>
      <c r="K962" t="s">
        <v>297</v>
      </c>
      <c r="L962" t="s">
        <v>80</v>
      </c>
      <c r="M962" t="s">
        <v>53</v>
      </c>
      <c r="N962">
        <v>19985</v>
      </c>
      <c r="O962" t="s">
        <v>53</v>
      </c>
      <c r="P962" t="s">
        <v>70</v>
      </c>
      <c r="Q962" t="s">
        <v>71</v>
      </c>
      <c r="R962" t="s">
        <v>72</v>
      </c>
      <c r="S962" t="s">
        <v>1299</v>
      </c>
      <c r="T962" t="s">
        <v>73</v>
      </c>
      <c r="U962" t="s">
        <v>101</v>
      </c>
      <c r="V962">
        <v>0.66472699999999996</v>
      </c>
      <c r="W962">
        <v>2017</v>
      </c>
      <c r="X962" t="s">
        <v>109</v>
      </c>
      <c r="Y962" t="s">
        <v>82</v>
      </c>
      <c r="Z962" t="str">
        <f t="shared" si="28"/>
        <v>Mayor que 15 - hasta 20</v>
      </c>
      <c r="AA962">
        <f t="shared" si="29"/>
        <v>1</v>
      </c>
      <c r="AB962">
        <v>73067</v>
      </c>
      <c r="AC962" t="s">
        <v>564</v>
      </c>
      <c r="AD962" t="s">
        <v>1300</v>
      </c>
      <c r="AE962">
        <v>1.1791720000000001</v>
      </c>
      <c r="AF962" t="s">
        <v>76</v>
      </c>
      <c r="AG962">
        <v>34.414928000000003</v>
      </c>
      <c r="AH962" t="s">
        <v>632</v>
      </c>
      <c r="AI962" t="s">
        <v>928</v>
      </c>
      <c r="AJ962">
        <v>2.7056610000000001</v>
      </c>
      <c r="AK962" t="s">
        <v>77</v>
      </c>
      <c r="AL962">
        <v>102.446003</v>
      </c>
      <c r="AM962" t="s">
        <v>65</v>
      </c>
      <c r="AN962" s="7">
        <v>21.189661353455008</v>
      </c>
      <c r="AO962" t="s">
        <v>65</v>
      </c>
      <c r="AP962" s="3">
        <v>20</v>
      </c>
      <c r="AQ962">
        <v>3</v>
      </c>
      <c r="AR962">
        <v>1.43449</v>
      </c>
      <c r="AS962" t="s">
        <v>66</v>
      </c>
      <c r="AT962" t="s">
        <v>53</v>
      </c>
    </row>
    <row r="963" spans="1:46">
      <c r="A963">
        <v>1065</v>
      </c>
      <c r="B963" t="s">
        <v>46</v>
      </c>
      <c r="C963">
        <v>73</v>
      </c>
      <c r="D963">
        <v>124</v>
      </c>
      <c r="E963" t="s">
        <v>1301</v>
      </c>
      <c r="F963" t="s">
        <v>1291</v>
      </c>
      <c r="G963">
        <v>73124</v>
      </c>
      <c r="H963">
        <v>73124</v>
      </c>
      <c r="I963" t="s">
        <v>49</v>
      </c>
      <c r="J963">
        <v>7301</v>
      </c>
      <c r="K963" t="s">
        <v>1290</v>
      </c>
      <c r="L963" t="s">
        <v>69</v>
      </c>
      <c r="M963" t="s">
        <v>53</v>
      </c>
      <c r="N963">
        <v>19312</v>
      </c>
      <c r="O963" t="s">
        <v>53</v>
      </c>
      <c r="P963" t="s">
        <v>70</v>
      </c>
      <c r="Q963" t="s">
        <v>71</v>
      </c>
      <c r="R963" t="s">
        <v>105</v>
      </c>
      <c r="S963" t="s">
        <v>57</v>
      </c>
      <c r="T963" t="s">
        <v>73</v>
      </c>
      <c r="U963" t="s">
        <v>119</v>
      </c>
      <c r="V963">
        <v>0.36516300000000002</v>
      </c>
      <c r="W963">
        <v>2017</v>
      </c>
      <c r="X963" t="s">
        <v>217</v>
      </c>
      <c r="Y963" t="s">
        <v>167</v>
      </c>
      <c r="Z963" t="str">
        <f t="shared" ref="Z963:Z1026" si="30">IF(LEFT(Y963,10)="Irradiado_",
   RIGHT(Y963, LEN(Y963)-10),   Y963)</f>
        <v>Mayor que 50 - hasta 60</v>
      </c>
      <c r="AA963">
        <f t="shared" ref="AA963:AA1026" si="31">IF(LEFT(Y963,10)="Irradiado_", 1, 0)</f>
        <v>1</v>
      </c>
      <c r="AB963">
        <v>73124</v>
      </c>
      <c r="AC963" t="s">
        <v>1159</v>
      </c>
      <c r="AD963" t="s">
        <v>1160</v>
      </c>
      <c r="AE963">
        <v>1.41086</v>
      </c>
      <c r="AF963" t="s">
        <v>76</v>
      </c>
      <c r="AG963">
        <v>33.381833</v>
      </c>
      <c r="AH963" t="s">
        <v>61</v>
      </c>
      <c r="AI963" t="s">
        <v>133</v>
      </c>
      <c r="AJ963">
        <v>1.6224259999999999</v>
      </c>
      <c r="AK963" t="s">
        <v>76</v>
      </c>
      <c r="AL963">
        <v>37.551681000000002</v>
      </c>
      <c r="AM963" t="s">
        <v>65</v>
      </c>
      <c r="AN963" s="7">
        <v>546.75190525962455</v>
      </c>
      <c r="AO963" t="s">
        <v>65</v>
      </c>
      <c r="AP963" s="3">
        <v>379</v>
      </c>
      <c r="AQ963">
        <v>3</v>
      </c>
      <c r="AR963">
        <v>442.32725399999998</v>
      </c>
      <c r="AS963" t="s">
        <v>66</v>
      </c>
      <c r="AT963" t="s">
        <v>53</v>
      </c>
    </row>
    <row r="964" spans="1:46">
      <c r="A964">
        <v>1066</v>
      </c>
      <c r="B964" t="s">
        <v>46</v>
      </c>
      <c r="C964">
        <v>73</v>
      </c>
      <c r="D964">
        <v>148</v>
      </c>
      <c r="E964" t="s">
        <v>1302</v>
      </c>
      <c r="F964" t="s">
        <v>1291</v>
      </c>
      <c r="G964">
        <v>73148</v>
      </c>
      <c r="H964">
        <v>73148</v>
      </c>
      <c r="I964" t="s">
        <v>49</v>
      </c>
      <c r="J964">
        <v>7304</v>
      </c>
      <c r="K964" t="s">
        <v>68</v>
      </c>
      <c r="L964" t="s">
        <v>69</v>
      </c>
      <c r="M964" t="s">
        <v>53</v>
      </c>
      <c r="N964">
        <v>11141</v>
      </c>
      <c r="O964" t="s">
        <v>53</v>
      </c>
      <c r="P964" t="s">
        <v>70</v>
      </c>
      <c r="Q964" t="s">
        <v>71</v>
      </c>
      <c r="R964" t="s">
        <v>122</v>
      </c>
      <c r="S964" t="s">
        <v>57</v>
      </c>
      <c r="T964" t="s">
        <v>58</v>
      </c>
      <c r="U964" t="s">
        <v>81</v>
      </c>
      <c r="V964">
        <v>0.52149800000000002</v>
      </c>
      <c r="W964">
        <v>2017</v>
      </c>
      <c r="X964" t="s">
        <v>217</v>
      </c>
      <c r="Y964" t="s">
        <v>183</v>
      </c>
      <c r="Z964" t="str">
        <f t="shared" si="30"/>
        <v>Mayor que 120 - hasta 140</v>
      </c>
      <c r="AA964">
        <f t="shared" si="31"/>
        <v>1</v>
      </c>
      <c r="AB964">
        <v>73148</v>
      </c>
      <c r="AC964" t="s">
        <v>564</v>
      </c>
      <c r="AD964" t="s">
        <v>771</v>
      </c>
      <c r="AE964">
        <v>0.47092499999999998</v>
      </c>
      <c r="AF964" t="s">
        <v>63</v>
      </c>
      <c r="AG964">
        <v>14.499495</v>
      </c>
      <c r="AH964" t="s">
        <v>564</v>
      </c>
      <c r="AI964" t="s">
        <v>565</v>
      </c>
      <c r="AJ964">
        <v>2.0158369999999999</v>
      </c>
      <c r="AK964" t="s">
        <v>77</v>
      </c>
      <c r="AL964">
        <v>82.079098000000002</v>
      </c>
      <c r="AM964" t="s">
        <v>64</v>
      </c>
      <c r="AN964" s="7">
        <v>3424.4193548214698</v>
      </c>
      <c r="AO964" t="s">
        <v>65</v>
      </c>
      <c r="AP964" s="3">
        <v>3280</v>
      </c>
      <c r="AQ964">
        <v>2</v>
      </c>
      <c r="AR964">
        <v>5147.538356</v>
      </c>
      <c r="AS964" t="s">
        <v>66</v>
      </c>
      <c r="AT964" t="s">
        <v>53</v>
      </c>
    </row>
    <row r="965" spans="1:46">
      <c r="A965">
        <v>1067</v>
      </c>
      <c r="B965" t="s">
        <v>46</v>
      </c>
      <c r="C965">
        <v>73</v>
      </c>
      <c r="D965">
        <v>152</v>
      </c>
      <c r="E965" t="s">
        <v>1303</v>
      </c>
      <c r="F965" t="s">
        <v>1291</v>
      </c>
      <c r="G965">
        <v>73152</v>
      </c>
      <c r="H965">
        <v>73152</v>
      </c>
      <c r="I965" t="s">
        <v>49</v>
      </c>
      <c r="J965">
        <v>7302</v>
      </c>
      <c r="K965" t="s">
        <v>1304</v>
      </c>
      <c r="L965" t="s">
        <v>69</v>
      </c>
      <c r="M965" t="s">
        <v>53</v>
      </c>
      <c r="N965">
        <v>6412</v>
      </c>
      <c r="O965" t="s">
        <v>53</v>
      </c>
      <c r="P965" t="s">
        <v>70</v>
      </c>
      <c r="Q965" t="s">
        <v>71</v>
      </c>
      <c r="R965" t="s">
        <v>122</v>
      </c>
      <c r="S965" t="s">
        <v>57</v>
      </c>
      <c r="T965" t="s">
        <v>73</v>
      </c>
      <c r="U965" t="s">
        <v>119</v>
      </c>
      <c r="V965">
        <v>0.49548599999999998</v>
      </c>
      <c r="W965">
        <v>2024</v>
      </c>
      <c r="X965" t="s">
        <v>176</v>
      </c>
      <c r="Y965" t="s">
        <v>177</v>
      </c>
      <c r="Z965" t="str">
        <f t="shared" si="30"/>
        <v>Mayor que 20 - hasta 30</v>
      </c>
      <c r="AA965">
        <f t="shared" si="31"/>
        <v>0</v>
      </c>
      <c r="AB965">
        <v>73152</v>
      </c>
      <c r="AC965" t="s">
        <v>564</v>
      </c>
      <c r="AD965" t="s">
        <v>569</v>
      </c>
      <c r="AE965">
        <v>1.3280430000000001</v>
      </c>
      <c r="AF965" t="s">
        <v>76</v>
      </c>
      <c r="AG965">
        <v>41.750461999999999</v>
      </c>
      <c r="AH965" t="s">
        <v>161</v>
      </c>
      <c r="AI965" t="s">
        <v>163</v>
      </c>
      <c r="AJ965">
        <v>2.9416639999999998</v>
      </c>
      <c r="AK965" t="s">
        <v>77</v>
      </c>
      <c r="AL965">
        <v>71.290873000000005</v>
      </c>
      <c r="AM965" t="s">
        <v>65</v>
      </c>
      <c r="AN965" s="7">
        <v>3692.671754267697</v>
      </c>
      <c r="AO965" t="s">
        <v>65</v>
      </c>
      <c r="AP965" s="3">
        <v>1206</v>
      </c>
      <c r="AQ965">
        <v>4</v>
      </c>
      <c r="AR965">
        <v>3799.4542369999999</v>
      </c>
      <c r="AS965" t="s">
        <v>66</v>
      </c>
      <c r="AT965" t="s">
        <v>53</v>
      </c>
    </row>
    <row r="966" spans="1:46">
      <c r="A966">
        <v>1068</v>
      </c>
      <c r="B966" t="s">
        <v>46</v>
      </c>
      <c r="C966">
        <v>73</v>
      </c>
      <c r="D966">
        <v>168</v>
      </c>
      <c r="E966" t="s">
        <v>1300</v>
      </c>
      <c r="F966" t="s">
        <v>1291</v>
      </c>
      <c r="G966">
        <v>73168</v>
      </c>
      <c r="H966">
        <v>73168</v>
      </c>
      <c r="I966" t="s">
        <v>49</v>
      </c>
      <c r="J966">
        <v>7305</v>
      </c>
      <c r="K966" t="s">
        <v>297</v>
      </c>
      <c r="L966" t="s">
        <v>91</v>
      </c>
      <c r="M966" t="s">
        <v>53</v>
      </c>
      <c r="N966">
        <v>54452</v>
      </c>
      <c r="O966" t="s">
        <v>53</v>
      </c>
      <c r="P966" t="s">
        <v>92</v>
      </c>
      <c r="Q966" t="s">
        <v>71</v>
      </c>
      <c r="R966" t="s">
        <v>72</v>
      </c>
      <c r="S966" t="s">
        <v>1299</v>
      </c>
      <c r="T966" t="s">
        <v>73</v>
      </c>
      <c r="U966" t="s">
        <v>101</v>
      </c>
      <c r="V966">
        <v>0.58402699999999996</v>
      </c>
      <c r="W966">
        <v>2017</v>
      </c>
      <c r="X966" t="s">
        <v>109</v>
      </c>
      <c r="Y966" t="s">
        <v>110</v>
      </c>
      <c r="Z966" t="str">
        <f t="shared" si="30"/>
        <v>Mayor que 30 - hasta 40</v>
      </c>
      <c r="AA966">
        <f t="shared" si="31"/>
        <v>0</v>
      </c>
      <c r="AB966">
        <v>73168</v>
      </c>
      <c r="AC966" t="s">
        <v>564</v>
      </c>
      <c r="AD966" t="s">
        <v>1300</v>
      </c>
      <c r="AE966">
        <v>0</v>
      </c>
      <c r="AF966" t="s">
        <v>63</v>
      </c>
      <c r="AG966">
        <v>0</v>
      </c>
      <c r="AH966" t="s">
        <v>564</v>
      </c>
      <c r="AI966" t="s">
        <v>565</v>
      </c>
      <c r="AJ966">
        <v>3.213435</v>
      </c>
      <c r="AK966" t="s">
        <v>84</v>
      </c>
      <c r="AL966">
        <v>150.54520199999999</v>
      </c>
      <c r="AM966" t="s">
        <v>64</v>
      </c>
      <c r="AN966" s="7">
        <v>2313.9730172317031</v>
      </c>
      <c r="AO966" t="s">
        <v>65</v>
      </c>
      <c r="AP966" s="3">
        <v>597</v>
      </c>
      <c r="AQ966">
        <v>2</v>
      </c>
      <c r="AR966">
        <v>3587.7216239999998</v>
      </c>
      <c r="AS966" t="s">
        <v>66</v>
      </c>
      <c r="AT966" t="s">
        <v>53</v>
      </c>
    </row>
    <row r="967" spans="1:46">
      <c r="A967">
        <v>1069</v>
      </c>
      <c r="B967" t="s">
        <v>46</v>
      </c>
      <c r="C967">
        <v>73</v>
      </c>
      <c r="D967">
        <v>200</v>
      </c>
      <c r="E967" t="s">
        <v>1305</v>
      </c>
      <c r="F967" t="s">
        <v>1291</v>
      </c>
      <c r="G967">
        <v>73200</v>
      </c>
      <c r="H967">
        <v>73200</v>
      </c>
      <c r="I967" t="s">
        <v>49</v>
      </c>
      <c r="J967">
        <v>7301</v>
      </c>
      <c r="K967" t="s">
        <v>1290</v>
      </c>
      <c r="L967" t="s">
        <v>80</v>
      </c>
      <c r="M967" t="s">
        <v>53</v>
      </c>
      <c r="N967">
        <v>8498</v>
      </c>
      <c r="O967" t="s">
        <v>53</v>
      </c>
      <c r="P967" t="s">
        <v>70</v>
      </c>
      <c r="Q967" t="s">
        <v>71</v>
      </c>
      <c r="R967" t="s">
        <v>72</v>
      </c>
      <c r="S967" t="s">
        <v>57</v>
      </c>
      <c r="T967" t="s">
        <v>58</v>
      </c>
      <c r="U967" t="s">
        <v>81</v>
      </c>
      <c r="V967">
        <v>0.72170400000000001</v>
      </c>
      <c r="W967">
        <v>2017</v>
      </c>
      <c r="X967" t="s">
        <v>217</v>
      </c>
      <c r="Y967" t="s">
        <v>167</v>
      </c>
      <c r="Z967" t="str">
        <f t="shared" si="30"/>
        <v>Mayor que 50 - hasta 60</v>
      </c>
      <c r="AA967">
        <f t="shared" si="31"/>
        <v>1</v>
      </c>
      <c r="AB967">
        <v>73200</v>
      </c>
      <c r="AC967" t="s">
        <v>564</v>
      </c>
      <c r="AD967" t="s">
        <v>754</v>
      </c>
      <c r="AE967">
        <v>0.353043</v>
      </c>
      <c r="AF967" t="s">
        <v>63</v>
      </c>
      <c r="AG967">
        <v>15.688224999999999</v>
      </c>
      <c r="AH967" t="s">
        <v>564</v>
      </c>
      <c r="AI967" t="s">
        <v>565</v>
      </c>
      <c r="AJ967">
        <v>1.4652160000000001</v>
      </c>
      <c r="AK967" t="s">
        <v>76</v>
      </c>
      <c r="AL967">
        <v>53.776659000000002</v>
      </c>
      <c r="AM967" t="s">
        <v>64</v>
      </c>
      <c r="AN967" s="7">
        <v>1592.886646588873</v>
      </c>
      <c r="AO967" t="s">
        <v>65</v>
      </c>
      <c r="AP967" s="3">
        <v>760</v>
      </c>
      <c r="AQ967">
        <v>1</v>
      </c>
      <c r="AR967">
        <v>2728.040692</v>
      </c>
      <c r="AS967" t="s">
        <v>66</v>
      </c>
      <c r="AT967" t="s">
        <v>53</v>
      </c>
    </row>
    <row r="968" spans="1:46">
      <c r="A968">
        <v>1070</v>
      </c>
      <c r="B968" t="s">
        <v>46</v>
      </c>
      <c r="C968">
        <v>73</v>
      </c>
      <c r="D968">
        <v>217</v>
      </c>
      <c r="E968" t="s">
        <v>1306</v>
      </c>
      <c r="F968" t="s">
        <v>1291</v>
      </c>
      <c r="G968">
        <v>73217</v>
      </c>
      <c r="H968">
        <v>73217</v>
      </c>
      <c r="I968" t="s">
        <v>49</v>
      </c>
      <c r="J968">
        <v>7305</v>
      </c>
      <c r="K968" t="s">
        <v>297</v>
      </c>
      <c r="L968" t="s">
        <v>80</v>
      </c>
      <c r="M968" t="s">
        <v>53</v>
      </c>
      <c r="N968">
        <v>23498</v>
      </c>
      <c r="O968" t="s">
        <v>53</v>
      </c>
      <c r="P968" t="s">
        <v>70</v>
      </c>
      <c r="Q968" t="s">
        <v>71</v>
      </c>
      <c r="R968" t="s">
        <v>105</v>
      </c>
      <c r="S968" t="s">
        <v>57</v>
      </c>
      <c r="T968" t="s">
        <v>58</v>
      </c>
      <c r="U968" t="s">
        <v>119</v>
      </c>
      <c r="V968">
        <v>0.84781600000000001</v>
      </c>
      <c r="W968">
        <v>2017</v>
      </c>
      <c r="X968" t="s">
        <v>109</v>
      </c>
      <c r="Y968" t="s">
        <v>87</v>
      </c>
      <c r="Z968" t="str">
        <f t="shared" si="30"/>
        <v>Mayor que 40 - hasta 50</v>
      </c>
      <c r="AA968">
        <f t="shared" si="31"/>
        <v>1</v>
      </c>
      <c r="AB968">
        <v>73217</v>
      </c>
      <c r="AC968" t="s">
        <v>564</v>
      </c>
      <c r="AD968" t="s">
        <v>1300</v>
      </c>
      <c r="AE968">
        <v>1.0196799999999999</v>
      </c>
      <c r="AF968" t="s">
        <v>76</v>
      </c>
      <c r="AG968">
        <v>38.829141</v>
      </c>
      <c r="AH968" t="s">
        <v>564</v>
      </c>
      <c r="AI968" t="s">
        <v>565</v>
      </c>
      <c r="AJ968">
        <v>2.5474380000000001</v>
      </c>
      <c r="AK968" t="s">
        <v>77</v>
      </c>
      <c r="AL968">
        <v>113.89352100000001</v>
      </c>
      <c r="AM968" t="s">
        <v>64</v>
      </c>
      <c r="AN968" s="7">
        <v>21.78578858318237</v>
      </c>
      <c r="AO968" t="s">
        <v>65</v>
      </c>
      <c r="AP968" s="3">
        <v>9</v>
      </c>
      <c r="AQ968">
        <v>3</v>
      </c>
      <c r="AR968">
        <v>20124.079175999999</v>
      </c>
      <c r="AS968" t="s">
        <v>66</v>
      </c>
      <c r="AT968" t="s">
        <v>53</v>
      </c>
    </row>
    <row r="969" spans="1:46">
      <c r="A969">
        <v>1071</v>
      </c>
      <c r="B969" t="s">
        <v>46</v>
      </c>
      <c r="C969">
        <v>73</v>
      </c>
      <c r="D969">
        <v>226</v>
      </c>
      <c r="E969" t="s">
        <v>1307</v>
      </c>
      <c r="F969" t="s">
        <v>1291</v>
      </c>
      <c r="G969">
        <v>73226</v>
      </c>
      <c r="H969">
        <v>73226</v>
      </c>
      <c r="I969" t="s">
        <v>49</v>
      </c>
      <c r="J969">
        <v>7304</v>
      </c>
      <c r="K969" t="s">
        <v>68</v>
      </c>
      <c r="L969" t="s">
        <v>80</v>
      </c>
      <c r="M969" t="s">
        <v>53</v>
      </c>
      <c r="N969">
        <v>8762</v>
      </c>
      <c r="O969" t="s">
        <v>53</v>
      </c>
      <c r="P969" t="s">
        <v>70</v>
      </c>
      <c r="Q969" t="s">
        <v>71</v>
      </c>
      <c r="R969" t="s">
        <v>122</v>
      </c>
      <c r="S969" t="s">
        <v>57</v>
      </c>
      <c r="T969" t="s">
        <v>58</v>
      </c>
      <c r="U969" t="s">
        <v>59</v>
      </c>
      <c r="V969">
        <v>0.56777100000000003</v>
      </c>
      <c r="W969">
        <v>2017</v>
      </c>
      <c r="X969" t="s">
        <v>176</v>
      </c>
      <c r="Y969" t="s">
        <v>116</v>
      </c>
      <c r="Z969" t="str">
        <f t="shared" si="30"/>
        <v>Mayor que 30 - hasta 40</v>
      </c>
      <c r="AA969">
        <f t="shared" si="31"/>
        <v>1</v>
      </c>
      <c r="AB969">
        <v>73226</v>
      </c>
      <c r="AC969" t="s">
        <v>564</v>
      </c>
      <c r="AD969" t="s">
        <v>771</v>
      </c>
      <c r="AE969">
        <v>1.090541</v>
      </c>
      <c r="AF969" t="s">
        <v>76</v>
      </c>
      <c r="AG969">
        <v>28.673506</v>
      </c>
      <c r="AH969" t="s">
        <v>564</v>
      </c>
      <c r="AI969" t="s">
        <v>565</v>
      </c>
      <c r="AJ969">
        <v>2.6156820000000001</v>
      </c>
      <c r="AK969" t="s">
        <v>77</v>
      </c>
      <c r="AL969">
        <v>95.346002999999996</v>
      </c>
      <c r="AM969" t="s">
        <v>64</v>
      </c>
      <c r="AN969" s="7">
        <v>6241.2381478190182</v>
      </c>
      <c r="AO969" t="s">
        <v>65</v>
      </c>
      <c r="AP969" s="3">
        <v>499</v>
      </c>
      <c r="AQ969">
        <v>3</v>
      </c>
      <c r="AR969">
        <v>8569.1409779999994</v>
      </c>
      <c r="AS969" t="s">
        <v>66</v>
      </c>
      <c r="AT969" t="s">
        <v>53</v>
      </c>
    </row>
    <row r="970" spans="1:46">
      <c r="A970">
        <v>1072</v>
      </c>
      <c r="B970" t="s">
        <v>46</v>
      </c>
      <c r="C970">
        <v>73</v>
      </c>
      <c r="D970">
        <v>236</v>
      </c>
      <c r="E970" t="s">
        <v>1308</v>
      </c>
      <c r="F970" t="s">
        <v>1291</v>
      </c>
      <c r="G970">
        <v>73236</v>
      </c>
      <c r="H970">
        <v>73236</v>
      </c>
      <c r="I970" t="s">
        <v>49</v>
      </c>
      <c r="J970">
        <v>7306</v>
      </c>
      <c r="K970" t="s">
        <v>1293</v>
      </c>
      <c r="L970" t="s">
        <v>69</v>
      </c>
      <c r="M970" t="s">
        <v>53</v>
      </c>
      <c r="N970">
        <v>8606</v>
      </c>
      <c r="O970" t="s">
        <v>53</v>
      </c>
      <c r="P970" t="s">
        <v>70</v>
      </c>
      <c r="Q970" t="s">
        <v>71</v>
      </c>
      <c r="R970" t="s">
        <v>122</v>
      </c>
      <c r="S970" t="s">
        <v>57</v>
      </c>
      <c r="T970" t="s">
        <v>73</v>
      </c>
      <c r="U970" t="s">
        <v>119</v>
      </c>
      <c r="V970">
        <v>0.52338600000000002</v>
      </c>
      <c r="W970">
        <v>2017</v>
      </c>
      <c r="X970" t="s">
        <v>345</v>
      </c>
      <c r="Y970" t="s">
        <v>102</v>
      </c>
      <c r="Z970" t="str">
        <f t="shared" si="30"/>
        <v>Mayor que 20 - hasta 30</v>
      </c>
      <c r="AA970">
        <f t="shared" si="31"/>
        <v>1</v>
      </c>
      <c r="AB970">
        <v>73236</v>
      </c>
      <c r="AC970" t="s">
        <v>564</v>
      </c>
      <c r="AD970" t="s">
        <v>1309</v>
      </c>
      <c r="AE970">
        <v>2.470008</v>
      </c>
      <c r="AF970" t="s">
        <v>77</v>
      </c>
      <c r="AG970">
        <v>89.363159999999993</v>
      </c>
      <c r="AH970" t="s">
        <v>632</v>
      </c>
      <c r="AI970" t="s">
        <v>928</v>
      </c>
      <c r="AJ970">
        <v>3.2782269999999998</v>
      </c>
      <c r="AK970" t="s">
        <v>84</v>
      </c>
      <c r="AL970">
        <v>108.555548</v>
      </c>
      <c r="AM970" t="s">
        <v>65</v>
      </c>
      <c r="AN970" s="7">
        <v>4692.0331066516655</v>
      </c>
      <c r="AO970" t="s">
        <v>65</v>
      </c>
      <c r="AP970" s="3">
        <v>1204</v>
      </c>
      <c r="AQ970">
        <v>3</v>
      </c>
      <c r="AR970">
        <v>9009.6667030000008</v>
      </c>
      <c r="AS970" t="s">
        <v>66</v>
      </c>
      <c r="AT970" t="s">
        <v>53</v>
      </c>
    </row>
    <row r="971" spans="1:46">
      <c r="A971">
        <v>1073</v>
      </c>
      <c r="B971" t="s">
        <v>46</v>
      </c>
      <c r="C971">
        <v>73</v>
      </c>
      <c r="D971">
        <v>268</v>
      </c>
      <c r="E971" t="s">
        <v>1310</v>
      </c>
      <c r="F971" t="s">
        <v>1291</v>
      </c>
      <c r="G971">
        <v>73268</v>
      </c>
      <c r="H971">
        <v>73268</v>
      </c>
      <c r="I971" t="s">
        <v>49</v>
      </c>
      <c r="J971">
        <v>7301</v>
      </c>
      <c r="K971" t="s">
        <v>1290</v>
      </c>
      <c r="L971" t="s">
        <v>91</v>
      </c>
      <c r="M971" t="s">
        <v>53</v>
      </c>
      <c r="N971">
        <v>74810</v>
      </c>
      <c r="O971" t="s">
        <v>53</v>
      </c>
      <c r="P971" t="s">
        <v>92</v>
      </c>
      <c r="Q971" t="s">
        <v>125</v>
      </c>
      <c r="R971" t="s">
        <v>56</v>
      </c>
      <c r="S971" t="s">
        <v>57</v>
      </c>
      <c r="T971" t="s">
        <v>58</v>
      </c>
      <c r="U971" t="s">
        <v>81</v>
      </c>
      <c r="V971">
        <v>0.62580100000000005</v>
      </c>
      <c r="W971">
        <v>2017</v>
      </c>
      <c r="X971" t="s">
        <v>147</v>
      </c>
      <c r="Y971" t="s">
        <v>183</v>
      </c>
      <c r="Z971" t="str">
        <f t="shared" si="30"/>
        <v>Mayor que 120 - hasta 140</v>
      </c>
      <c r="AA971">
        <f t="shared" si="31"/>
        <v>1</v>
      </c>
      <c r="AB971">
        <v>73268</v>
      </c>
      <c r="AC971" t="s">
        <v>564</v>
      </c>
      <c r="AD971" t="s">
        <v>1309</v>
      </c>
      <c r="AE971">
        <v>0</v>
      </c>
      <c r="AF971" t="s">
        <v>63</v>
      </c>
      <c r="AG971">
        <v>0</v>
      </c>
      <c r="AH971" t="s">
        <v>564</v>
      </c>
      <c r="AI971" t="s">
        <v>565</v>
      </c>
      <c r="AJ971">
        <v>1.269428</v>
      </c>
      <c r="AK971" t="s">
        <v>76</v>
      </c>
      <c r="AL971">
        <v>53.935237999999998</v>
      </c>
      <c r="AM971" t="s">
        <v>65</v>
      </c>
      <c r="AN971" s="7">
        <v>11913.50070059716</v>
      </c>
      <c r="AO971" t="s">
        <v>65</v>
      </c>
      <c r="AP971" s="3">
        <v>5015</v>
      </c>
      <c r="AQ971">
        <v>1</v>
      </c>
      <c r="AR971">
        <v>17618.170398999999</v>
      </c>
      <c r="AS971" t="s">
        <v>66</v>
      </c>
      <c r="AT971" t="s">
        <v>53</v>
      </c>
    </row>
    <row r="972" spans="1:46">
      <c r="A972">
        <v>1074</v>
      </c>
      <c r="B972" t="s">
        <v>46</v>
      </c>
      <c r="C972">
        <v>73</v>
      </c>
      <c r="D972">
        <v>270</v>
      </c>
      <c r="E972" t="s">
        <v>1311</v>
      </c>
      <c r="F972" t="s">
        <v>1291</v>
      </c>
      <c r="G972">
        <v>73270</v>
      </c>
      <c r="H972">
        <v>73270</v>
      </c>
      <c r="I972" t="s">
        <v>49</v>
      </c>
      <c r="J972">
        <v>7303</v>
      </c>
      <c r="K972" t="s">
        <v>112</v>
      </c>
      <c r="L972" t="s">
        <v>80</v>
      </c>
      <c r="M972" t="s">
        <v>53</v>
      </c>
      <c r="N972">
        <v>7933</v>
      </c>
      <c r="O972" t="s">
        <v>53</v>
      </c>
      <c r="P972" t="s">
        <v>70</v>
      </c>
      <c r="Q972" t="s">
        <v>71</v>
      </c>
      <c r="R972" t="s">
        <v>105</v>
      </c>
      <c r="S972" t="s">
        <v>57</v>
      </c>
      <c r="T972" t="s">
        <v>58</v>
      </c>
      <c r="U972" t="s">
        <v>59</v>
      </c>
      <c r="V972">
        <v>0.46538600000000002</v>
      </c>
      <c r="W972">
        <v>2024</v>
      </c>
      <c r="X972" t="s">
        <v>109</v>
      </c>
      <c r="Y972" t="s">
        <v>110</v>
      </c>
      <c r="Z972" t="str">
        <f t="shared" si="30"/>
        <v>Mayor que 30 - hasta 40</v>
      </c>
      <c r="AA972">
        <f t="shared" si="31"/>
        <v>0</v>
      </c>
      <c r="AB972">
        <v>73270</v>
      </c>
      <c r="AC972" t="s">
        <v>564</v>
      </c>
      <c r="AD972" t="s">
        <v>569</v>
      </c>
      <c r="AE972">
        <v>0.45380500000000001</v>
      </c>
      <c r="AF972" t="s">
        <v>63</v>
      </c>
      <c r="AG972">
        <v>15.566905</v>
      </c>
      <c r="AH972" t="s">
        <v>564</v>
      </c>
      <c r="AI972" t="s">
        <v>565</v>
      </c>
      <c r="AJ972">
        <v>2.679182</v>
      </c>
      <c r="AK972" t="s">
        <v>77</v>
      </c>
      <c r="AL972">
        <v>118.50285700000001</v>
      </c>
      <c r="AM972" t="s">
        <v>65</v>
      </c>
      <c r="AN972" s="7">
        <v>2588.0034266959069</v>
      </c>
      <c r="AO972" t="s">
        <v>65</v>
      </c>
      <c r="AP972" s="3">
        <v>681</v>
      </c>
      <c r="AQ972">
        <v>3</v>
      </c>
      <c r="AR972">
        <v>2674.7236090000001</v>
      </c>
      <c r="AS972" t="s">
        <v>66</v>
      </c>
      <c r="AT972" t="s">
        <v>53</v>
      </c>
    </row>
    <row r="973" spans="1:46">
      <c r="A973">
        <v>1075</v>
      </c>
      <c r="B973" t="s">
        <v>46</v>
      </c>
      <c r="C973">
        <v>73</v>
      </c>
      <c r="D973">
        <v>275</v>
      </c>
      <c r="E973" t="s">
        <v>754</v>
      </c>
      <c r="F973" t="s">
        <v>1291</v>
      </c>
      <c r="G973">
        <v>73275</v>
      </c>
      <c r="H973">
        <v>73275</v>
      </c>
      <c r="I973" t="s">
        <v>49</v>
      </c>
      <c r="J973">
        <v>7301</v>
      </c>
      <c r="K973" t="s">
        <v>1290</v>
      </c>
      <c r="L973" t="s">
        <v>91</v>
      </c>
      <c r="M973" t="s">
        <v>53</v>
      </c>
      <c r="N973">
        <v>30135</v>
      </c>
      <c r="O973" t="s">
        <v>53</v>
      </c>
      <c r="P973" t="s">
        <v>92</v>
      </c>
      <c r="Q973" t="s">
        <v>71</v>
      </c>
      <c r="R973" t="s">
        <v>56</v>
      </c>
      <c r="S973" t="s">
        <v>57</v>
      </c>
      <c r="T973" t="s">
        <v>58</v>
      </c>
      <c r="U973" t="s">
        <v>81</v>
      </c>
      <c r="V973">
        <v>0.50328700000000004</v>
      </c>
      <c r="W973">
        <v>2017</v>
      </c>
      <c r="X973" t="s">
        <v>147</v>
      </c>
      <c r="Y973" t="s">
        <v>183</v>
      </c>
      <c r="Z973" t="str">
        <f t="shared" si="30"/>
        <v>Mayor que 120 - hasta 140</v>
      </c>
      <c r="AA973">
        <f t="shared" si="31"/>
        <v>1</v>
      </c>
      <c r="AB973">
        <v>73275</v>
      </c>
      <c r="AC973" t="s">
        <v>564</v>
      </c>
      <c r="AD973" t="s">
        <v>754</v>
      </c>
      <c r="AE973">
        <v>0</v>
      </c>
      <c r="AF973" t="s">
        <v>63</v>
      </c>
      <c r="AG973">
        <v>0</v>
      </c>
      <c r="AH973" t="s">
        <v>564</v>
      </c>
      <c r="AI973" t="s">
        <v>565</v>
      </c>
      <c r="AJ973">
        <v>1.4822930000000001</v>
      </c>
      <c r="AK973" t="s">
        <v>76</v>
      </c>
      <c r="AL973">
        <v>61.042344999999997</v>
      </c>
      <c r="AM973" t="s">
        <v>64</v>
      </c>
      <c r="AN973" s="7">
        <v>1037.16945585129</v>
      </c>
      <c r="AO973" t="s">
        <v>65</v>
      </c>
      <c r="AP973" s="3">
        <v>326</v>
      </c>
      <c r="AQ973">
        <v>3</v>
      </c>
      <c r="AR973">
        <v>1697.475416</v>
      </c>
      <c r="AS973" t="s">
        <v>66</v>
      </c>
      <c r="AT973" t="s">
        <v>53</v>
      </c>
    </row>
    <row r="974" spans="1:46">
      <c r="A974">
        <v>1076</v>
      </c>
      <c r="B974" t="s">
        <v>46</v>
      </c>
      <c r="C974">
        <v>73</v>
      </c>
      <c r="D974">
        <v>283</v>
      </c>
      <c r="E974" t="s">
        <v>1312</v>
      </c>
      <c r="F974" t="s">
        <v>1291</v>
      </c>
      <c r="G974">
        <v>73283</v>
      </c>
      <c r="H974">
        <v>73283</v>
      </c>
      <c r="I974" t="s">
        <v>49</v>
      </c>
      <c r="J974">
        <v>7303</v>
      </c>
      <c r="K974" t="s">
        <v>112</v>
      </c>
      <c r="L974" t="s">
        <v>91</v>
      </c>
      <c r="M974" t="s">
        <v>53</v>
      </c>
      <c r="N974">
        <v>32011</v>
      </c>
      <c r="O974" t="s">
        <v>53</v>
      </c>
      <c r="P974" t="s">
        <v>92</v>
      </c>
      <c r="Q974" t="s">
        <v>71</v>
      </c>
      <c r="R974" t="s">
        <v>122</v>
      </c>
      <c r="S974" t="s">
        <v>57</v>
      </c>
      <c r="T974" t="s">
        <v>58</v>
      </c>
      <c r="U974" t="s">
        <v>59</v>
      </c>
      <c r="V974">
        <v>0.42726900000000001</v>
      </c>
      <c r="W974">
        <v>2024</v>
      </c>
      <c r="X974" t="s">
        <v>109</v>
      </c>
      <c r="Y974" t="s">
        <v>110</v>
      </c>
      <c r="Z974" t="str">
        <f t="shared" si="30"/>
        <v>Mayor que 30 - hasta 40</v>
      </c>
      <c r="AA974">
        <f t="shared" si="31"/>
        <v>0</v>
      </c>
      <c r="AB974">
        <v>73283</v>
      </c>
      <c r="AC974" t="s">
        <v>564</v>
      </c>
      <c r="AD974" t="s">
        <v>569</v>
      </c>
      <c r="AE974">
        <v>0.68450900000000003</v>
      </c>
      <c r="AF974" t="s">
        <v>63</v>
      </c>
      <c r="AG974">
        <v>21.237973</v>
      </c>
      <c r="AH974" t="s">
        <v>161</v>
      </c>
      <c r="AI974" t="s">
        <v>163</v>
      </c>
      <c r="AJ974">
        <v>3.088295</v>
      </c>
      <c r="AK974" t="s">
        <v>84</v>
      </c>
      <c r="AL974">
        <v>74.766609000000003</v>
      </c>
      <c r="AM974" t="s">
        <v>65</v>
      </c>
      <c r="AN974" s="7">
        <v>4120.7067268637038</v>
      </c>
      <c r="AO974" t="s">
        <v>65</v>
      </c>
      <c r="AP974" s="3">
        <v>1495</v>
      </c>
      <c r="AQ974">
        <v>3</v>
      </c>
      <c r="AR974">
        <v>5923.6033230000003</v>
      </c>
      <c r="AS974" t="s">
        <v>66</v>
      </c>
      <c r="AT974" t="s">
        <v>53</v>
      </c>
    </row>
    <row r="975" spans="1:46">
      <c r="A975">
        <v>1077</v>
      </c>
      <c r="B975" t="s">
        <v>46</v>
      </c>
      <c r="C975">
        <v>73</v>
      </c>
      <c r="D975">
        <v>319</v>
      </c>
      <c r="E975" t="s">
        <v>1313</v>
      </c>
      <c r="F975" t="s">
        <v>1291</v>
      </c>
      <c r="G975">
        <v>73319</v>
      </c>
      <c r="H975">
        <v>73319</v>
      </c>
      <c r="I975" t="s">
        <v>49</v>
      </c>
      <c r="J975">
        <v>7306</v>
      </c>
      <c r="K975" t="s">
        <v>1293</v>
      </c>
      <c r="L975" t="s">
        <v>91</v>
      </c>
      <c r="M975" t="s">
        <v>53</v>
      </c>
      <c r="N975">
        <v>34681</v>
      </c>
      <c r="O975" t="s">
        <v>53</v>
      </c>
      <c r="P975" t="s">
        <v>92</v>
      </c>
      <c r="Q975" t="s">
        <v>71</v>
      </c>
      <c r="R975" t="s">
        <v>105</v>
      </c>
      <c r="S975" t="s">
        <v>57</v>
      </c>
      <c r="T975" t="s">
        <v>58</v>
      </c>
      <c r="U975" t="s">
        <v>81</v>
      </c>
      <c r="V975">
        <v>0.55450500000000003</v>
      </c>
      <c r="W975">
        <v>2017</v>
      </c>
      <c r="X975" t="s">
        <v>147</v>
      </c>
      <c r="Y975" t="s">
        <v>136</v>
      </c>
      <c r="Z975" t="str">
        <f t="shared" si="30"/>
        <v>Mayor que 100 - hasta 120</v>
      </c>
      <c r="AA975">
        <f t="shared" si="31"/>
        <v>1</v>
      </c>
      <c r="AB975">
        <v>73319</v>
      </c>
      <c r="AC975" t="s">
        <v>564</v>
      </c>
      <c r="AD975" t="s">
        <v>1309</v>
      </c>
      <c r="AE975">
        <v>0.33438000000000001</v>
      </c>
      <c r="AF975" t="s">
        <v>63</v>
      </c>
      <c r="AG975">
        <v>17.896550999999999</v>
      </c>
      <c r="AH975" t="s">
        <v>564</v>
      </c>
      <c r="AI975" t="s">
        <v>565</v>
      </c>
      <c r="AJ975">
        <v>1.5173749999999999</v>
      </c>
      <c r="AK975" t="s">
        <v>76</v>
      </c>
      <c r="AL975">
        <v>67.837676999999999</v>
      </c>
      <c r="AM975" t="s">
        <v>64</v>
      </c>
      <c r="AN975" s="7">
        <v>9121.2897229453501</v>
      </c>
      <c r="AO975" t="s">
        <v>65</v>
      </c>
      <c r="AP975" s="3">
        <v>3172</v>
      </c>
      <c r="AQ975">
        <v>1</v>
      </c>
      <c r="AR975">
        <v>16238.180761</v>
      </c>
      <c r="AS975" t="s">
        <v>66</v>
      </c>
      <c r="AT975" t="s">
        <v>53</v>
      </c>
    </row>
    <row r="976" spans="1:46">
      <c r="A976">
        <v>1078</v>
      </c>
      <c r="B976" t="s">
        <v>46</v>
      </c>
      <c r="C976">
        <v>73</v>
      </c>
      <c r="D976">
        <v>347</v>
      </c>
      <c r="E976" t="s">
        <v>1314</v>
      </c>
      <c r="F976" t="s">
        <v>1291</v>
      </c>
      <c r="G976">
        <v>73347</v>
      </c>
      <c r="H976">
        <v>73347</v>
      </c>
      <c r="I976" t="s">
        <v>49</v>
      </c>
      <c r="J976">
        <v>7302</v>
      </c>
      <c r="K976" t="s">
        <v>1304</v>
      </c>
      <c r="L976" t="s">
        <v>80</v>
      </c>
      <c r="M976" t="s">
        <v>53</v>
      </c>
      <c r="N976">
        <v>7657</v>
      </c>
      <c r="O976" t="s">
        <v>53</v>
      </c>
      <c r="P976" t="s">
        <v>70</v>
      </c>
      <c r="Q976" t="s">
        <v>71</v>
      </c>
      <c r="R976" t="s">
        <v>105</v>
      </c>
      <c r="S976" t="s">
        <v>57</v>
      </c>
      <c r="T976" t="s">
        <v>73</v>
      </c>
      <c r="U976" t="s">
        <v>119</v>
      </c>
      <c r="V976">
        <v>0.45133400000000001</v>
      </c>
      <c r="W976">
        <v>2024</v>
      </c>
      <c r="X976" t="s">
        <v>176</v>
      </c>
      <c r="Y976" t="s">
        <v>177</v>
      </c>
      <c r="Z976" t="str">
        <f t="shared" si="30"/>
        <v>Mayor que 20 - hasta 30</v>
      </c>
      <c r="AA976">
        <f t="shared" si="31"/>
        <v>0</v>
      </c>
      <c r="AB976">
        <v>73347</v>
      </c>
      <c r="AC976" t="s">
        <v>564</v>
      </c>
      <c r="AD976" t="s">
        <v>569</v>
      </c>
      <c r="AE976">
        <v>2.1042640000000001</v>
      </c>
      <c r="AF976" t="s">
        <v>77</v>
      </c>
      <c r="AG976">
        <v>49.527417</v>
      </c>
      <c r="AH976" t="s">
        <v>161</v>
      </c>
      <c r="AI976" t="s">
        <v>163</v>
      </c>
      <c r="AJ976">
        <v>2.3118439999999998</v>
      </c>
      <c r="AK976" t="s">
        <v>77</v>
      </c>
      <c r="AL976">
        <v>55.974221</v>
      </c>
      <c r="AM976" t="s">
        <v>65</v>
      </c>
      <c r="AN976" s="7">
        <v>3796.4171042710009</v>
      </c>
      <c r="AO976" t="s">
        <v>65</v>
      </c>
      <c r="AP976" s="3">
        <v>1507</v>
      </c>
      <c r="AQ976">
        <v>4</v>
      </c>
      <c r="AR976">
        <v>3167.351189</v>
      </c>
      <c r="AS976" t="s">
        <v>66</v>
      </c>
      <c r="AT976" t="s">
        <v>53</v>
      </c>
    </row>
    <row r="977" spans="1:46">
      <c r="A977">
        <v>1115</v>
      </c>
      <c r="B977" t="s">
        <v>46</v>
      </c>
      <c r="C977">
        <v>73</v>
      </c>
      <c r="D977">
        <v>349</v>
      </c>
      <c r="E977" t="s">
        <v>1315</v>
      </c>
      <c r="F977" t="s">
        <v>1291</v>
      </c>
      <c r="G977">
        <v>73349</v>
      </c>
      <c r="H977">
        <v>73349</v>
      </c>
      <c r="I977" t="s">
        <v>49</v>
      </c>
      <c r="J977">
        <v>7303</v>
      </c>
      <c r="K977" t="s">
        <v>112</v>
      </c>
      <c r="L977" t="s">
        <v>51</v>
      </c>
      <c r="M977" t="s">
        <v>53</v>
      </c>
      <c r="N977">
        <v>25997</v>
      </c>
      <c r="O977" t="s">
        <v>53</v>
      </c>
      <c r="P977" t="s">
        <v>70</v>
      </c>
      <c r="Q977" t="s">
        <v>71</v>
      </c>
      <c r="R977" t="s">
        <v>72</v>
      </c>
      <c r="S977" t="s">
        <v>57</v>
      </c>
      <c r="T977" t="s">
        <v>58</v>
      </c>
      <c r="U977" t="s">
        <v>59</v>
      </c>
      <c r="V977">
        <v>0.20549899999999999</v>
      </c>
      <c r="W977">
        <v>2017</v>
      </c>
      <c r="X977" t="s">
        <v>109</v>
      </c>
      <c r="Y977" t="s">
        <v>110</v>
      </c>
      <c r="Z977" t="str">
        <f t="shared" si="30"/>
        <v>Mayor que 30 - hasta 40</v>
      </c>
      <c r="AA977">
        <f t="shared" si="31"/>
        <v>0</v>
      </c>
      <c r="AB977">
        <v>73349</v>
      </c>
      <c r="AC977" t="s">
        <v>564</v>
      </c>
      <c r="AD977" t="s">
        <v>569</v>
      </c>
      <c r="AE977">
        <v>0.69819100000000001</v>
      </c>
      <c r="AF977" t="s">
        <v>63</v>
      </c>
      <c r="AG977">
        <v>19.958074</v>
      </c>
      <c r="AH977" t="s">
        <v>564</v>
      </c>
      <c r="AI977" t="s">
        <v>565</v>
      </c>
      <c r="AJ977">
        <v>3.2307610000000002</v>
      </c>
      <c r="AK977" t="s">
        <v>84</v>
      </c>
      <c r="AL977">
        <v>140.33666700000001</v>
      </c>
      <c r="AM977" t="s">
        <v>97</v>
      </c>
      <c r="AN977" s="7">
        <v>3066.8683499218432</v>
      </c>
      <c r="AO977" t="s">
        <v>65</v>
      </c>
      <c r="AP977" s="3">
        <v>61</v>
      </c>
      <c r="AQ977">
        <v>1</v>
      </c>
      <c r="AR977">
        <v>2125.3601650000001</v>
      </c>
      <c r="AS977" t="s">
        <v>66</v>
      </c>
      <c r="AT977" t="s">
        <v>53</v>
      </c>
    </row>
    <row r="978" spans="1:46">
      <c r="A978">
        <v>1079</v>
      </c>
      <c r="B978" t="s">
        <v>46</v>
      </c>
      <c r="C978">
        <v>73</v>
      </c>
      <c r="D978">
        <v>352</v>
      </c>
      <c r="E978" t="s">
        <v>1316</v>
      </c>
      <c r="F978" t="s">
        <v>1291</v>
      </c>
      <c r="G978">
        <v>73352</v>
      </c>
      <c r="H978">
        <v>73352</v>
      </c>
      <c r="I978" t="s">
        <v>49</v>
      </c>
      <c r="J978">
        <v>7304</v>
      </c>
      <c r="K978" t="s">
        <v>68</v>
      </c>
      <c r="L978" t="s">
        <v>69</v>
      </c>
      <c r="M978" t="s">
        <v>53</v>
      </c>
      <c r="N978">
        <v>12542</v>
      </c>
      <c r="O978" t="s">
        <v>53</v>
      </c>
      <c r="P978" t="s">
        <v>70</v>
      </c>
      <c r="Q978" t="s">
        <v>71</v>
      </c>
      <c r="R978" t="s">
        <v>56</v>
      </c>
      <c r="S978" t="s">
        <v>57</v>
      </c>
      <c r="T978" t="s">
        <v>58</v>
      </c>
      <c r="U978" t="s">
        <v>119</v>
      </c>
      <c r="V978">
        <v>0.55445500000000003</v>
      </c>
      <c r="W978">
        <v>2017</v>
      </c>
      <c r="X978" t="s">
        <v>345</v>
      </c>
      <c r="Y978" t="s">
        <v>116</v>
      </c>
      <c r="Z978" t="str">
        <f t="shared" si="30"/>
        <v>Mayor que 30 - hasta 40</v>
      </c>
      <c r="AA978">
        <f t="shared" si="31"/>
        <v>1</v>
      </c>
      <c r="AB978">
        <v>73352</v>
      </c>
      <c r="AC978" t="s">
        <v>564</v>
      </c>
      <c r="AD978" t="s">
        <v>771</v>
      </c>
      <c r="AE978">
        <v>0.77038799999999996</v>
      </c>
      <c r="AF978" t="s">
        <v>63</v>
      </c>
      <c r="AG978">
        <v>17.092388</v>
      </c>
      <c r="AH978" t="s">
        <v>564</v>
      </c>
      <c r="AI978" t="s">
        <v>565</v>
      </c>
      <c r="AJ978">
        <v>2.6103239999999999</v>
      </c>
      <c r="AK978" t="s">
        <v>77</v>
      </c>
      <c r="AL978">
        <v>101.834228</v>
      </c>
      <c r="AM978" t="s">
        <v>65</v>
      </c>
      <c r="AN978" s="7">
        <v>4560.5616100967036</v>
      </c>
      <c r="AO978" t="s">
        <v>65</v>
      </c>
      <c r="AP978" s="3">
        <v>1815</v>
      </c>
      <c r="AQ978">
        <v>3</v>
      </c>
      <c r="AR978">
        <v>3735.5505159999998</v>
      </c>
      <c r="AS978" t="s">
        <v>66</v>
      </c>
      <c r="AT978" t="s">
        <v>53</v>
      </c>
    </row>
    <row r="979" spans="1:46">
      <c r="A979">
        <v>1080</v>
      </c>
      <c r="B979" t="s">
        <v>46</v>
      </c>
      <c r="C979">
        <v>73</v>
      </c>
      <c r="D979">
        <v>408</v>
      </c>
      <c r="E979" t="s">
        <v>1317</v>
      </c>
      <c r="F979" t="s">
        <v>1291</v>
      </c>
      <c r="G979">
        <v>73408</v>
      </c>
      <c r="H979">
        <v>73408</v>
      </c>
      <c r="I979" t="s">
        <v>49</v>
      </c>
      <c r="J979">
        <v>7302</v>
      </c>
      <c r="K979" t="s">
        <v>1304</v>
      </c>
      <c r="L979" t="s">
        <v>91</v>
      </c>
      <c r="M979" t="s">
        <v>53</v>
      </c>
      <c r="N979">
        <v>18712</v>
      </c>
      <c r="O979" t="s">
        <v>53</v>
      </c>
      <c r="P979" t="s">
        <v>70</v>
      </c>
      <c r="Q979" t="s">
        <v>71</v>
      </c>
      <c r="R979" t="s">
        <v>105</v>
      </c>
      <c r="S979" t="s">
        <v>57</v>
      </c>
      <c r="T979" t="s">
        <v>73</v>
      </c>
      <c r="U979" t="s">
        <v>59</v>
      </c>
      <c r="V979">
        <v>0.330793</v>
      </c>
      <c r="W979">
        <v>2017</v>
      </c>
      <c r="X979" t="s">
        <v>141</v>
      </c>
      <c r="Y979" t="s">
        <v>142</v>
      </c>
      <c r="Z979" t="str">
        <f t="shared" si="30"/>
        <v>Mayor que 60 - hasta 70</v>
      </c>
      <c r="AA979">
        <f t="shared" si="31"/>
        <v>0</v>
      </c>
      <c r="AB979">
        <v>73408</v>
      </c>
      <c r="AC979" t="s">
        <v>564</v>
      </c>
      <c r="AD979" t="s">
        <v>569</v>
      </c>
      <c r="AE979">
        <v>0.79881599999999997</v>
      </c>
      <c r="AF979" t="s">
        <v>63</v>
      </c>
      <c r="AG979">
        <v>43.053404999999998</v>
      </c>
      <c r="AH979" t="s">
        <v>564</v>
      </c>
      <c r="AI979" t="s">
        <v>565</v>
      </c>
      <c r="AJ979">
        <v>1.825474</v>
      </c>
      <c r="AK979" t="s">
        <v>76</v>
      </c>
      <c r="AL979">
        <v>78.666608999999994</v>
      </c>
      <c r="AM979" t="s">
        <v>64</v>
      </c>
      <c r="AN979" s="7">
        <v>2104.3466682096491</v>
      </c>
      <c r="AO979" t="s">
        <v>65</v>
      </c>
      <c r="AP979" s="3">
        <v>369</v>
      </c>
      <c r="AQ979">
        <v>1</v>
      </c>
      <c r="AR979">
        <v>2902.718449</v>
      </c>
      <c r="AS979" t="s">
        <v>66</v>
      </c>
      <c r="AT979" t="s">
        <v>53</v>
      </c>
    </row>
    <row r="980" spans="1:46">
      <c r="A980">
        <v>1081</v>
      </c>
      <c r="B980" t="s">
        <v>46</v>
      </c>
      <c r="C980">
        <v>73</v>
      </c>
      <c r="D980">
        <v>411</v>
      </c>
      <c r="E980" t="s">
        <v>1318</v>
      </c>
      <c r="F980" t="s">
        <v>1291</v>
      </c>
      <c r="G980">
        <v>73411</v>
      </c>
      <c r="H980">
        <v>73411</v>
      </c>
      <c r="I980" t="s">
        <v>49</v>
      </c>
      <c r="J980">
        <v>7302</v>
      </c>
      <c r="K980" t="s">
        <v>1304</v>
      </c>
      <c r="L980" t="s">
        <v>91</v>
      </c>
      <c r="M980" t="s">
        <v>53</v>
      </c>
      <c r="N980">
        <v>37886</v>
      </c>
      <c r="O980" t="s">
        <v>53</v>
      </c>
      <c r="P980" t="s">
        <v>92</v>
      </c>
      <c r="Q980" t="s">
        <v>71</v>
      </c>
      <c r="R980" t="s">
        <v>105</v>
      </c>
      <c r="S980" t="s">
        <v>57</v>
      </c>
      <c r="T980" t="s">
        <v>58</v>
      </c>
      <c r="U980" t="s">
        <v>59</v>
      </c>
      <c r="V980">
        <v>0.35398200000000002</v>
      </c>
      <c r="W980">
        <v>2024</v>
      </c>
      <c r="X980" t="s">
        <v>147</v>
      </c>
      <c r="Y980" t="s">
        <v>148</v>
      </c>
      <c r="Z980" t="str">
        <f t="shared" si="30"/>
        <v>Mayor que 50 - hasta 60</v>
      </c>
      <c r="AA980">
        <f t="shared" si="31"/>
        <v>0</v>
      </c>
      <c r="AB980">
        <v>73411</v>
      </c>
      <c r="AC980" t="s">
        <v>564</v>
      </c>
      <c r="AD980" t="s">
        <v>569</v>
      </c>
      <c r="AE980">
        <v>1.46818</v>
      </c>
      <c r="AF980" t="s">
        <v>76</v>
      </c>
      <c r="AG980">
        <v>54.555844</v>
      </c>
      <c r="AH980" t="s">
        <v>564</v>
      </c>
      <c r="AI980" t="s">
        <v>565</v>
      </c>
      <c r="AJ980">
        <v>2.9098250000000001</v>
      </c>
      <c r="AK980" t="s">
        <v>77</v>
      </c>
      <c r="AL980">
        <v>96.197474999999997</v>
      </c>
      <c r="AM980" t="s">
        <v>65</v>
      </c>
      <c r="AN980" s="7">
        <v>3868.5752966830828</v>
      </c>
      <c r="AO980" t="s">
        <v>65</v>
      </c>
      <c r="AP980" s="3">
        <v>1255</v>
      </c>
      <c r="AQ980">
        <v>3</v>
      </c>
      <c r="AR980">
        <v>3793.2968839999999</v>
      </c>
      <c r="AS980" t="s">
        <v>66</v>
      </c>
      <c r="AT980" t="s">
        <v>53</v>
      </c>
    </row>
    <row r="981" spans="1:46">
      <c r="A981">
        <v>1082</v>
      </c>
      <c r="B981" t="s">
        <v>46</v>
      </c>
      <c r="C981">
        <v>73</v>
      </c>
      <c r="D981">
        <v>443</v>
      </c>
      <c r="E981" t="s">
        <v>1319</v>
      </c>
      <c r="F981" t="s">
        <v>1291</v>
      </c>
      <c r="G981">
        <v>73443</v>
      </c>
      <c r="H981">
        <v>73443</v>
      </c>
      <c r="I981" t="s">
        <v>49</v>
      </c>
      <c r="J981">
        <v>7303</v>
      </c>
      <c r="K981" t="s">
        <v>112</v>
      </c>
      <c r="L981" t="s">
        <v>91</v>
      </c>
      <c r="M981" t="s">
        <v>53</v>
      </c>
      <c r="N981">
        <v>39314</v>
      </c>
      <c r="O981" t="s">
        <v>53</v>
      </c>
      <c r="P981" t="s">
        <v>92</v>
      </c>
      <c r="Q981" t="s">
        <v>71</v>
      </c>
      <c r="R981" t="s">
        <v>105</v>
      </c>
      <c r="S981" t="s">
        <v>57</v>
      </c>
      <c r="T981" t="s">
        <v>58</v>
      </c>
      <c r="U981" t="s">
        <v>59</v>
      </c>
      <c r="V981">
        <v>0.49532300000000001</v>
      </c>
      <c r="W981">
        <v>2017</v>
      </c>
      <c r="X981" t="s">
        <v>147</v>
      </c>
      <c r="Y981" t="s">
        <v>148</v>
      </c>
      <c r="Z981" t="str">
        <f t="shared" si="30"/>
        <v>Mayor que 50 - hasta 60</v>
      </c>
      <c r="AA981">
        <f t="shared" si="31"/>
        <v>0</v>
      </c>
      <c r="AB981">
        <v>73443</v>
      </c>
      <c r="AC981" t="s">
        <v>564</v>
      </c>
      <c r="AD981" t="s">
        <v>569</v>
      </c>
      <c r="AE981">
        <v>0</v>
      </c>
      <c r="AF981" t="s">
        <v>63</v>
      </c>
      <c r="AG981">
        <v>0</v>
      </c>
      <c r="AH981" t="s">
        <v>564</v>
      </c>
      <c r="AI981" t="s">
        <v>565</v>
      </c>
      <c r="AJ981">
        <v>2.53714</v>
      </c>
      <c r="AK981" t="s">
        <v>77</v>
      </c>
      <c r="AL981">
        <v>120.578593</v>
      </c>
      <c r="AM981" t="s">
        <v>64</v>
      </c>
      <c r="AN981" s="7">
        <v>751.02422135763049</v>
      </c>
      <c r="AO981" t="s">
        <v>65</v>
      </c>
      <c r="AP981" s="3">
        <v>60</v>
      </c>
      <c r="AQ981">
        <v>3</v>
      </c>
      <c r="AR981">
        <v>642.24823800000001</v>
      </c>
      <c r="AS981" t="s">
        <v>66</v>
      </c>
      <c r="AT981" t="s">
        <v>53</v>
      </c>
    </row>
    <row r="982" spans="1:46">
      <c r="A982">
        <v>1083</v>
      </c>
      <c r="B982" t="s">
        <v>46</v>
      </c>
      <c r="C982">
        <v>73</v>
      </c>
      <c r="D982">
        <v>449</v>
      </c>
      <c r="E982" t="s">
        <v>771</v>
      </c>
      <c r="F982" t="s">
        <v>1291</v>
      </c>
      <c r="G982">
        <v>73449</v>
      </c>
      <c r="H982">
        <v>73449</v>
      </c>
      <c r="I982" t="s">
        <v>49</v>
      </c>
      <c r="J982">
        <v>7304</v>
      </c>
      <c r="K982" t="s">
        <v>68</v>
      </c>
      <c r="L982" t="s">
        <v>91</v>
      </c>
      <c r="M982" t="s">
        <v>53</v>
      </c>
      <c r="N982">
        <v>38016</v>
      </c>
      <c r="O982" t="s">
        <v>53</v>
      </c>
      <c r="P982" t="s">
        <v>92</v>
      </c>
      <c r="Q982" t="s">
        <v>134</v>
      </c>
      <c r="R982" t="s">
        <v>56</v>
      </c>
      <c r="S982" t="s">
        <v>57</v>
      </c>
      <c r="T982" t="s">
        <v>58</v>
      </c>
      <c r="U982" t="s">
        <v>81</v>
      </c>
      <c r="V982">
        <v>0.433535</v>
      </c>
      <c r="W982">
        <v>2017</v>
      </c>
      <c r="X982" t="s">
        <v>217</v>
      </c>
      <c r="Y982" t="s">
        <v>74</v>
      </c>
      <c r="Z982" t="str">
        <f t="shared" si="30"/>
        <v>Mayor que 140 - hasta 160</v>
      </c>
      <c r="AA982">
        <f t="shared" si="31"/>
        <v>1</v>
      </c>
      <c r="AB982">
        <v>73449</v>
      </c>
      <c r="AC982" t="s">
        <v>564</v>
      </c>
      <c r="AD982" t="s">
        <v>771</v>
      </c>
      <c r="AE982">
        <v>0</v>
      </c>
      <c r="AF982" t="s">
        <v>63</v>
      </c>
      <c r="AG982">
        <v>0</v>
      </c>
      <c r="AH982" t="s">
        <v>564</v>
      </c>
      <c r="AI982" t="s">
        <v>565</v>
      </c>
      <c r="AJ982">
        <v>1.954888</v>
      </c>
      <c r="AK982" t="s">
        <v>76</v>
      </c>
      <c r="AL982">
        <v>85.283260999999996</v>
      </c>
      <c r="AM982" t="s">
        <v>64</v>
      </c>
      <c r="AN982" s="7">
        <v>1993.6353020736119</v>
      </c>
      <c r="AO982" t="s">
        <v>65</v>
      </c>
      <c r="AP982" s="3">
        <v>1158</v>
      </c>
      <c r="AQ982">
        <v>2</v>
      </c>
      <c r="AR982">
        <v>1792.852386</v>
      </c>
      <c r="AS982" t="s">
        <v>66</v>
      </c>
      <c r="AT982" t="s">
        <v>53</v>
      </c>
    </row>
    <row r="983" spans="1:46">
      <c r="A983">
        <v>1084</v>
      </c>
      <c r="B983" t="s">
        <v>46</v>
      </c>
      <c r="C983">
        <v>73</v>
      </c>
      <c r="D983">
        <v>461</v>
      </c>
      <c r="E983" t="s">
        <v>1320</v>
      </c>
      <c r="F983" t="s">
        <v>1291</v>
      </c>
      <c r="G983">
        <v>73461</v>
      </c>
      <c r="H983">
        <v>73461</v>
      </c>
      <c r="I983" t="s">
        <v>49</v>
      </c>
      <c r="J983">
        <v>7302</v>
      </c>
      <c r="K983" t="s">
        <v>1304</v>
      </c>
      <c r="L983" t="s">
        <v>80</v>
      </c>
      <c r="M983" t="s">
        <v>53</v>
      </c>
      <c r="N983">
        <v>4451</v>
      </c>
      <c r="O983" t="s">
        <v>53</v>
      </c>
      <c r="P983" t="s">
        <v>70</v>
      </c>
      <c r="Q983" t="s">
        <v>71</v>
      </c>
      <c r="R983" t="s">
        <v>105</v>
      </c>
      <c r="S983" t="s">
        <v>57</v>
      </c>
      <c r="T983" t="s">
        <v>73</v>
      </c>
      <c r="U983" t="s">
        <v>119</v>
      </c>
      <c r="V983">
        <v>0.86579399999999995</v>
      </c>
      <c r="W983">
        <v>2024</v>
      </c>
      <c r="X983" t="s">
        <v>217</v>
      </c>
      <c r="Y983" t="s">
        <v>218</v>
      </c>
      <c r="Z983" t="str">
        <f t="shared" si="30"/>
        <v>Mayor que 40 - hasta 50</v>
      </c>
      <c r="AA983">
        <f t="shared" si="31"/>
        <v>0</v>
      </c>
      <c r="AB983">
        <v>73461</v>
      </c>
      <c r="AC983" t="s">
        <v>564</v>
      </c>
      <c r="AD983" t="s">
        <v>569</v>
      </c>
      <c r="AE983">
        <v>2.0529310000000001</v>
      </c>
      <c r="AF983" t="s">
        <v>77</v>
      </c>
      <c r="AG983">
        <v>72.172495999999995</v>
      </c>
      <c r="AH983" t="s">
        <v>161</v>
      </c>
      <c r="AI983" t="s">
        <v>163</v>
      </c>
      <c r="AJ983">
        <v>2.8019159999999999</v>
      </c>
      <c r="AK983" t="s">
        <v>77</v>
      </c>
      <c r="AL983">
        <v>65.631074999999996</v>
      </c>
      <c r="AM983" t="s">
        <v>64</v>
      </c>
      <c r="AN983" s="7">
        <v>2910.0283775173671</v>
      </c>
      <c r="AO983" t="s">
        <v>65</v>
      </c>
      <c r="AP983" s="3">
        <v>187</v>
      </c>
      <c r="AQ983">
        <v>3</v>
      </c>
      <c r="AR983">
        <v>2042.43686</v>
      </c>
      <c r="AS983" t="s">
        <v>66</v>
      </c>
      <c r="AT983" t="s">
        <v>53</v>
      </c>
    </row>
    <row r="984" spans="1:46">
      <c r="A984">
        <v>1085</v>
      </c>
      <c r="B984" t="s">
        <v>46</v>
      </c>
      <c r="C984">
        <v>73</v>
      </c>
      <c r="D984">
        <v>483</v>
      </c>
      <c r="E984" t="s">
        <v>1321</v>
      </c>
      <c r="F984" t="s">
        <v>1291</v>
      </c>
      <c r="G984">
        <v>73483</v>
      </c>
      <c r="H984">
        <v>73483</v>
      </c>
      <c r="I984" t="s">
        <v>49</v>
      </c>
      <c r="J984">
        <v>7305</v>
      </c>
      <c r="K984" t="s">
        <v>297</v>
      </c>
      <c r="L984" t="s">
        <v>69</v>
      </c>
      <c r="M984" t="s">
        <v>53</v>
      </c>
      <c r="N984">
        <v>14852</v>
      </c>
      <c r="O984" t="s">
        <v>53</v>
      </c>
      <c r="P984" t="s">
        <v>70</v>
      </c>
      <c r="Q984" t="s">
        <v>71</v>
      </c>
      <c r="R984" t="s">
        <v>93</v>
      </c>
      <c r="S984" t="s">
        <v>57</v>
      </c>
      <c r="T984" t="s">
        <v>58</v>
      </c>
      <c r="U984" t="s">
        <v>119</v>
      </c>
      <c r="V984">
        <v>0.76600599999999996</v>
      </c>
      <c r="W984">
        <v>2017</v>
      </c>
      <c r="X984" t="s">
        <v>176</v>
      </c>
      <c r="Y984" t="s">
        <v>116</v>
      </c>
      <c r="Z984" t="str">
        <f t="shared" si="30"/>
        <v>Mayor que 30 - hasta 40</v>
      </c>
      <c r="AA984">
        <f t="shared" si="31"/>
        <v>1</v>
      </c>
      <c r="AB984">
        <v>73483</v>
      </c>
      <c r="AC984" t="s">
        <v>564</v>
      </c>
      <c r="AD984" t="s">
        <v>1309</v>
      </c>
      <c r="AE984">
        <v>1.274783</v>
      </c>
      <c r="AF984" t="s">
        <v>76</v>
      </c>
      <c r="AG984">
        <v>69.119804999999999</v>
      </c>
      <c r="AH984" t="s">
        <v>632</v>
      </c>
      <c r="AI984" t="s">
        <v>928</v>
      </c>
      <c r="AJ984">
        <v>1.907011</v>
      </c>
      <c r="AK984" t="s">
        <v>76</v>
      </c>
      <c r="AL984">
        <v>91.736457000000001</v>
      </c>
      <c r="AM984" t="s">
        <v>64</v>
      </c>
      <c r="AN984" s="7">
        <v>9871.9377329059371</v>
      </c>
      <c r="AO984" t="s">
        <v>65</v>
      </c>
      <c r="AP984" s="3">
        <v>3139</v>
      </c>
      <c r="AQ984">
        <v>2</v>
      </c>
      <c r="AR984">
        <v>10562.462073000001</v>
      </c>
      <c r="AS984" t="s">
        <v>66</v>
      </c>
      <c r="AT984" t="s">
        <v>53</v>
      </c>
    </row>
    <row r="985" spans="1:46">
      <c r="A985">
        <v>1086</v>
      </c>
      <c r="B985" t="s">
        <v>46</v>
      </c>
      <c r="C985">
        <v>73</v>
      </c>
      <c r="D985">
        <v>504</v>
      </c>
      <c r="E985" t="s">
        <v>1322</v>
      </c>
      <c r="F985" t="s">
        <v>1291</v>
      </c>
      <c r="G985">
        <v>73504</v>
      </c>
      <c r="H985">
        <v>73504</v>
      </c>
      <c r="I985" t="s">
        <v>49</v>
      </c>
      <c r="J985">
        <v>7305</v>
      </c>
      <c r="K985" t="s">
        <v>297</v>
      </c>
      <c r="L985" t="s">
        <v>80</v>
      </c>
      <c r="M985" t="s">
        <v>53</v>
      </c>
      <c r="N985">
        <v>34690</v>
      </c>
      <c r="O985" t="s">
        <v>53</v>
      </c>
      <c r="P985" t="s">
        <v>92</v>
      </c>
      <c r="Q985" t="s">
        <v>71</v>
      </c>
      <c r="R985" t="s">
        <v>72</v>
      </c>
      <c r="S985" t="s">
        <v>57</v>
      </c>
      <c r="T985" t="s">
        <v>73</v>
      </c>
      <c r="U985" t="s">
        <v>119</v>
      </c>
      <c r="V985">
        <v>0.70533299999999999</v>
      </c>
      <c r="W985">
        <v>2017</v>
      </c>
      <c r="X985" t="s">
        <v>109</v>
      </c>
      <c r="Y985" t="s">
        <v>110</v>
      </c>
      <c r="Z985" t="str">
        <f t="shared" si="30"/>
        <v>Mayor que 30 - hasta 40</v>
      </c>
      <c r="AA985">
        <f t="shared" si="31"/>
        <v>0</v>
      </c>
      <c r="AB985">
        <v>73504</v>
      </c>
      <c r="AC985" t="s">
        <v>564</v>
      </c>
      <c r="AD985" t="s">
        <v>1309</v>
      </c>
      <c r="AE985">
        <v>1.0310569999999999</v>
      </c>
      <c r="AF985" t="s">
        <v>76</v>
      </c>
      <c r="AG985">
        <v>56.434018999999999</v>
      </c>
      <c r="AH985" t="s">
        <v>564</v>
      </c>
      <c r="AI985" t="s">
        <v>565</v>
      </c>
      <c r="AJ985">
        <v>2.214051</v>
      </c>
      <c r="AK985" t="s">
        <v>77</v>
      </c>
      <c r="AL985">
        <v>106.37514400000001</v>
      </c>
      <c r="AM985" t="s">
        <v>64</v>
      </c>
      <c r="AN985" s="7">
        <v>8296.2230430111595</v>
      </c>
      <c r="AO985" t="s">
        <v>65</v>
      </c>
      <c r="AP985" s="3">
        <v>3054</v>
      </c>
      <c r="AQ985">
        <v>3</v>
      </c>
      <c r="AR985">
        <v>10496.509749000001</v>
      </c>
      <c r="AS985" t="s">
        <v>66</v>
      </c>
      <c r="AT985" t="s">
        <v>53</v>
      </c>
    </row>
    <row r="986" spans="1:46">
      <c r="A986">
        <v>1087</v>
      </c>
      <c r="B986" t="s">
        <v>46</v>
      </c>
      <c r="C986">
        <v>73</v>
      </c>
      <c r="D986">
        <v>520</v>
      </c>
      <c r="E986" t="s">
        <v>1323</v>
      </c>
      <c r="F986" t="s">
        <v>1291</v>
      </c>
      <c r="G986">
        <v>73520</v>
      </c>
      <c r="H986">
        <v>73520</v>
      </c>
      <c r="I986" t="s">
        <v>49</v>
      </c>
      <c r="J986">
        <v>7303</v>
      </c>
      <c r="K986" t="s">
        <v>112</v>
      </c>
      <c r="L986" t="s">
        <v>91</v>
      </c>
      <c r="M986" t="s">
        <v>53</v>
      </c>
      <c r="N986">
        <v>9718</v>
      </c>
      <c r="O986" t="s">
        <v>53</v>
      </c>
      <c r="P986" t="s">
        <v>70</v>
      </c>
      <c r="Q986" t="s">
        <v>71</v>
      </c>
      <c r="R986" t="s">
        <v>56</v>
      </c>
      <c r="S986" t="s">
        <v>57</v>
      </c>
      <c r="T986" t="s">
        <v>58</v>
      </c>
      <c r="U986" t="s">
        <v>59</v>
      </c>
      <c r="V986">
        <v>0.82436600000000004</v>
      </c>
      <c r="W986">
        <v>2024</v>
      </c>
      <c r="X986" t="s">
        <v>147</v>
      </c>
      <c r="Y986" t="s">
        <v>148</v>
      </c>
      <c r="Z986" t="str">
        <f t="shared" si="30"/>
        <v>Mayor que 50 - hasta 60</v>
      </c>
      <c r="AA986">
        <f t="shared" si="31"/>
        <v>0</v>
      </c>
      <c r="AB986">
        <v>73520</v>
      </c>
      <c r="AC986" t="s">
        <v>564</v>
      </c>
      <c r="AD986" t="s">
        <v>569</v>
      </c>
      <c r="AE986">
        <v>0.75169799999999998</v>
      </c>
      <c r="AF986" t="s">
        <v>63</v>
      </c>
      <c r="AG986">
        <v>24.792387999999999</v>
      </c>
      <c r="AH986" t="s">
        <v>564</v>
      </c>
      <c r="AI986" t="s">
        <v>565</v>
      </c>
      <c r="AJ986">
        <v>2.9770750000000001</v>
      </c>
      <c r="AK986" t="s">
        <v>77</v>
      </c>
      <c r="AL986">
        <v>127.72834</v>
      </c>
      <c r="AM986" t="s">
        <v>65</v>
      </c>
      <c r="AN986" s="7">
        <v>1409.8261862074769</v>
      </c>
      <c r="AO986" t="s">
        <v>65</v>
      </c>
      <c r="AP986" s="3">
        <v>838</v>
      </c>
      <c r="AQ986">
        <v>3</v>
      </c>
      <c r="AR986">
        <v>1137.4804119999999</v>
      </c>
      <c r="AS986" t="s">
        <v>66</v>
      </c>
      <c r="AT986" t="s">
        <v>53</v>
      </c>
    </row>
    <row r="987" spans="1:46">
      <c r="A987">
        <v>1088</v>
      </c>
      <c r="B987" t="s">
        <v>46</v>
      </c>
      <c r="C987">
        <v>73</v>
      </c>
      <c r="D987">
        <v>547</v>
      </c>
      <c r="E987" t="s">
        <v>1324</v>
      </c>
      <c r="F987" t="s">
        <v>1291</v>
      </c>
      <c r="G987">
        <v>73547</v>
      </c>
      <c r="H987">
        <v>73547</v>
      </c>
      <c r="I987" t="s">
        <v>49</v>
      </c>
      <c r="J987">
        <v>7301</v>
      </c>
      <c r="K987" t="s">
        <v>1290</v>
      </c>
      <c r="L987" t="s">
        <v>69</v>
      </c>
      <c r="M987" t="s">
        <v>53</v>
      </c>
      <c r="N987">
        <v>7034</v>
      </c>
      <c r="O987" t="s">
        <v>53</v>
      </c>
      <c r="P987" t="s">
        <v>70</v>
      </c>
      <c r="Q987" t="s">
        <v>71</v>
      </c>
      <c r="R987" t="s">
        <v>93</v>
      </c>
      <c r="S987" t="s">
        <v>57</v>
      </c>
      <c r="T987" t="s">
        <v>58</v>
      </c>
      <c r="U987" t="s">
        <v>81</v>
      </c>
      <c r="V987">
        <v>0.44978400000000002</v>
      </c>
      <c r="W987">
        <v>2017</v>
      </c>
      <c r="X987" t="s">
        <v>106</v>
      </c>
      <c r="Y987" t="s">
        <v>127</v>
      </c>
      <c r="Z987" t="str">
        <f t="shared" si="30"/>
        <v>Mayor que 70 - hasta 80</v>
      </c>
      <c r="AA987">
        <f t="shared" si="31"/>
        <v>1</v>
      </c>
      <c r="AB987">
        <v>73547</v>
      </c>
      <c r="AC987" t="s">
        <v>564</v>
      </c>
      <c r="AD987" t="s">
        <v>754</v>
      </c>
      <c r="AE987">
        <v>1.3196920000000001</v>
      </c>
      <c r="AF987" t="s">
        <v>76</v>
      </c>
      <c r="AG987">
        <v>57.757063000000002</v>
      </c>
      <c r="AH987" t="s">
        <v>564</v>
      </c>
      <c r="AI987" t="s">
        <v>565</v>
      </c>
      <c r="AJ987">
        <v>1.36466</v>
      </c>
      <c r="AK987" t="s">
        <v>76</v>
      </c>
      <c r="AL987">
        <v>51.401429</v>
      </c>
      <c r="AM987" t="s">
        <v>64</v>
      </c>
      <c r="AN987" s="7">
        <v>358.26966104770338</v>
      </c>
      <c r="AO987" t="s">
        <v>97</v>
      </c>
      <c r="AP987" s="3">
        <v>6</v>
      </c>
      <c r="AQ987">
        <v>2</v>
      </c>
      <c r="AR987">
        <v>484.19199500000002</v>
      </c>
      <c r="AS987" t="s">
        <v>66</v>
      </c>
      <c r="AT987" t="s">
        <v>53</v>
      </c>
    </row>
    <row r="988" spans="1:46">
      <c r="A988">
        <v>1089</v>
      </c>
      <c r="B988" t="s">
        <v>46</v>
      </c>
      <c r="C988">
        <v>73</v>
      </c>
      <c r="D988">
        <v>555</v>
      </c>
      <c r="E988" t="s">
        <v>1325</v>
      </c>
      <c r="F988" t="s">
        <v>1291</v>
      </c>
      <c r="G988">
        <v>73555</v>
      </c>
      <c r="H988">
        <v>73555</v>
      </c>
      <c r="I988" t="s">
        <v>49</v>
      </c>
      <c r="J988">
        <v>7305</v>
      </c>
      <c r="K988" t="s">
        <v>297</v>
      </c>
      <c r="L988" t="s">
        <v>80</v>
      </c>
      <c r="M988" t="s">
        <v>53</v>
      </c>
      <c r="N988">
        <v>27293</v>
      </c>
      <c r="O988" t="s">
        <v>53</v>
      </c>
      <c r="P988" t="s">
        <v>70</v>
      </c>
      <c r="Q988" t="s">
        <v>71</v>
      </c>
      <c r="R988" t="s">
        <v>93</v>
      </c>
      <c r="S988" t="s">
        <v>1299</v>
      </c>
      <c r="T988" t="s">
        <v>73</v>
      </c>
      <c r="U988" t="s">
        <v>115</v>
      </c>
      <c r="V988">
        <v>0.51225500000000002</v>
      </c>
      <c r="W988">
        <v>2017</v>
      </c>
      <c r="X988" t="s">
        <v>310</v>
      </c>
      <c r="Y988" t="s">
        <v>116</v>
      </c>
      <c r="Z988" t="str">
        <f t="shared" si="30"/>
        <v>Mayor que 30 - hasta 40</v>
      </c>
      <c r="AA988">
        <f t="shared" si="31"/>
        <v>1</v>
      </c>
      <c r="AB988">
        <v>73555</v>
      </c>
      <c r="AC988" t="s">
        <v>564</v>
      </c>
      <c r="AD988" t="s">
        <v>1300</v>
      </c>
      <c r="AE988">
        <v>3.1350419999999999</v>
      </c>
      <c r="AF988" t="s">
        <v>84</v>
      </c>
      <c r="AG988">
        <v>77.049452000000002</v>
      </c>
      <c r="AH988" t="s">
        <v>632</v>
      </c>
      <c r="AI988" t="s">
        <v>928</v>
      </c>
      <c r="AJ988">
        <v>4.3281689999999999</v>
      </c>
      <c r="AK988" t="s">
        <v>85</v>
      </c>
      <c r="AL988">
        <v>94.477373999999998</v>
      </c>
      <c r="AM988" t="s">
        <v>64</v>
      </c>
      <c r="AN988" s="7">
        <v>2070.1857022238451</v>
      </c>
      <c r="AO988" t="s">
        <v>65</v>
      </c>
      <c r="AP988" s="3">
        <v>506</v>
      </c>
      <c r="AQ988">
        <v>2</v>
      </c>
      <c r="AR988">
        <v>4725.4505159999999</v>
      </c>
      <c r="AS988" t="s">
        <v>66</v>
      </c>
      <c r="AT988" t="s">
        <v>53</v>
      </c>
    </row>
    <row r="989" spans="1:46">
      <c r="A989">
        <v>1090</v>
      </c>
      <c r="B989" t="s">
        <v>46</v>
      </c>
      <c r="C989">
        <v>73</v>
      </c>
      <c r="D989">
        <v>563</v>
      </c>
      <c r="E989" t="s">
        <v>1326</v>
      </c>
      <c r="F989" t="s">
        <v>1291</v>
      </c>
      <c r="G989">
        <v>73563</v>
      </c>
      <c r="H989">
        <v>73563</v>
      </c>
      <c r="I989" t="s">
        <v>49</v>
      </c>
      <c r="J989">
        <v>7306</v>
      </c>
      <c r="K989" t="s">
        <v>1293</v>
      </c>
      <c r="L989" t="s">
        <v>69</v>
      </c>
      <c r="M989" t="s">
        <v>53</v>
      </c>
      <c r="N989">
        <v>8777</v>
      </c>
      <c r="O989" t="s">
        <v>53</v>
      </c>
      <c r="P989" t="s">
        <v>70</v>
      </c>
      <c r="Q989" t="s">
        <v>71</v>
      </c>
      <c r="R989" t="s">
        <v>122</v>
      </c>
      <c r="S989" t="s">
        <v>57</v>
      </c>
      <c r="T989" t="s">
        <v>73</v>
      </c>
      <c r="U989" t="s">
        <v>59</v>
      </c>
      <c r="V989">
        <v>0.56130999999999998</v>
      </c>
      <c r="W989">
        <v>2017</v>
      </c>
      <c r="X989" t="s">
        <v>109</v>
      </c>
      <c r="Y989" t="s">
        <v>127</v>
      </c>
      <c r="Z989" t="str">
        <f t="shared" si="30"/>
        <v>Mayor que 70 - hasta 80</v>
      </c>
      <c r="AA989">
        <f t="shared" si="31"/>
        <v>1</v>
      </c>
      <c r="AB989">
        <v>73563</v>
      </c>
      <c r="AC989" t="s">
        <v>564</v>
      </c>
      <c r="AD989" t="s">
        <v>1309</v>
      </c>
      <c r="AE989">
        <v>1.3770180000000001</v>
      </c>
      <c r="AF989" t="s">
        <v>76</v>
      </c>
      <c r="AG989">
        <v>58.751176000000001</v>
      </c>
      <c r="AH989" t="s">
        <v>564</v>
      </c>
      <c r="AI989" t="s">
        <v>565</v>
      </c>
      <c r="AJ989">
        <v>2.5600130000000001</v>
      </c>
      <c r="AK989" t="s">
        <v>77</v>
      </c>
      <c r="AL989">
        <v>108.692302</v>
      </c>
      <c r="AM989" t="s">
        <v>65</v>
      </c>
      <c r="AN989" s="7">
        <v>2277.6086798752572</v>
      </c>
      <c r="AO989" t="s">
        <v>65</v>
      </c>
      <c r="AP989" s="3">
        <v>825</v>
      </c>
      <c r="AQ989">
        <v>1</v>
      </c>
      <c r="AR989">
        <v>3269.5837459999998</v>
      </c>
      <c r="AS989" t="s">
        <v>66</v>
      </c>
      <c r="AT989" t="s">
        <v>53</v>
      </c>
    </row>
    <row r="990" spans="1:46">
      <c r="A990">
        <v>1091</v>
      </c>
      <c r="B990" t="s">
        <v>46</v>
      </c>
      <c r="C990">
        <v>73</v>
      </c>
      <c r="D990">
        <v>585</v>
      </c>
      <c r="E990" t="s">
        <v>1327</v>
      </c>
      <c r="F990" t="s">
        <v>1291</v>
      </c>
      <c r="G990">
        <v>73585</v>
      </c>
      <c r="H990">
        <v>73585</v>
      </c>
      <c r="I990" t="s">
        <v>49</v>
      </c>
      <c r="J990">
        <v>7306</v>
      </c>
      <c r="K990" t="s">
        <v>1293</v>
      </c>
      <c r="L990" t="s">
        <v>91</v>
      </c>
      <c r="M990" t="s">
        <v>53</v>
      </c>
      <c r="N990">
        <v>23963</v>
      </c>
      <c r="O990" t="s">
        <v>53</v>
      </c>
      <c r="P990" t="s">
        <v>70</v>
      </c>
      <c r="Q990" t="s">
        <v>71</v>
      </c>
      <c r="R990" t="s">
        <v>93</v>
      </c>
      <c r="S990" t="s">
        <v>57</v>
      </c>
      <c r="T990" t="s">
        <v>58</v>
      </c>
      <c r="U990" t="s">
        <v>81</v>
      </c>
      <c r="V990">
        <v>0.57890600000000003</v>
      </c>
      <c r="W990">
        <v>2017</v>
      </c>
      <c r="X990" t="s">
        <v>109</v>
      </c>
      <c r="Y990" t="s">
        <v>165</v>
      </c>
      <c r="Z990" t="str">
        <f t="shared" si="30"/>
        <v>Mayor que 60 - hasta 70</v>
      </c>
      <c r="AA990">
        <f t="shared" si="31"/>
        <v>1</v>
      </c>
      <c r="AB990">
        <v>73585</v>
      </c>
      <c r="AC990" t="s">
        <v>564</v>
      </c>
      <c r="AD990" t="s">
        <v>1309</v>
      </c>
      <c r="AE990">
        <v>0.97633099999999995</v>
      </c>
      <c r="AF990" t="s">
        <v>63</v>
      </c>
      <c r="AG990">
        <v>45.801428999999999</v>
      </c>
      <c r="AH990" t="s">
        <v>564</v>
      </c>
      <c r="AI990" t="s">
        <v>565</v>
      </c>
      <c r="AJ990">
        <v>2.1593260000000001</v>
      </c>
      <c r="AK990" t="s">
        <v>77</v>
      </c>
      <c r="AL990">
        <v>95.742553999999998</v>
      </c>
      <c r="AM990" t="s">
        <v>65</v>
      </c>
      <c r="AN990" s="7">
        <v>5767.8494997718444</v>
      </c>
      <c r="AO990" t="s">
        <v>65</v>
      </c>
      <c r="AP990" s="3">
        <v>2851</v>
      </c>
      <c r="AQ990">
        <v>1</v>
      </c>
      <c r="AR990">
        <v>9635.2196309999999</v>
      </c>
      <c r="AS990" t="s">
        <v>66</v>
      </c>
      <c r="AT990" t="s">
        <v>53</v>
      </c>
    </row>
    <row r="991" spans="1:46">
      <c r="A991">
        <v>1092</v>
      </c>
      <c r="B991" t="s">
        <v>46</v>
      </c>
      <c r="C991">
        <v>73</v>
      </c>
      <c r="D991">
        <v>616</v>
      </c>
      <c r="E991" t="s">
        <v>1328</v>
      </c>
      <c r="F991" t="s">
        <v>1291</v>
      </c>
      <c r="G991">
        <v>73616</v>
      </c>
      <c r="H991">
        <v>73616</v>
      </c>
      <c r="I991" t="s">
        <v>49</v>
      </c>
      <c r="J991">
        <v>7305</v>
      </c>
      <c r="K991" t="s">
        <v>297</v>
      </c>
      <c r="L991" t="s">
        <v>80</v>
      </c>
      <c r="M991" t="s">
        <v>53</v>
      </c>
      <c r="N991">
        <v>23293</v>
      </c>
      <c r="O991" t="s">
        <v>53</v>
      </c>
      <c r="P991" t="s">
        <v>70</v>
      </c>
      <c r="Q991" t="s">
        <v>71</v>
      </c>
      <c r="R991" t="s">
        <v>72</v>
      </c>
      <c r="S991" t="s">
        <v>1299</v>
      </c>
      <c r="T991" t="s">
        <v>73</v>
      </c>
      <c r="U991" t="s">
        <v>101</v>
      </c>
      <c r="V991">
        <v>0.64715699999999998</v>
      </c>
      <c r="W991">
        <v>2017</v>
      </c>
      <c r="X991" t="s">
        <v>310</v>
      </c>
      <c r="Y991" t="s">
        <v>116</v>
      </c>
      <c r="Z991" t="str">
        <f t="shared" si="30"/>
        <v>Mayor que 30 - hasta 40</v>
      </c>
      <c r="AA991">
        <f t="shared" si="31"/>
        <v>1</v>
      </c>
      <c r="AB991">
        <v>73616</v>
      </c>
      <c r="AC991" t="s">
        <v>564</v>
      </c>
      <c r="AD991" t="s">
        <v>1300</v>
      </c>
      <c r="AE991">
        <v>1.6795370000000001</v>
      </c>
      <c r="AF991" t="s">
        <v>76</v>
      </c>
      <c r="AG991">
        <v>42.161732000000001</v>
      </c>
      <c r="AH991" t="s">
        <v>632</v>
      </c>
      <c r="AI991" t="s">
        <v>928</v>
      </c>
      <c r="AJ991">
        <v>4.6916840000000004</v>
      </c>
      <c r="AK991" t="s">
        <v>85</v>
      </c>
      <c r="AL991">
        <v>158.82855000000001</v>
      </c>
      <c r="AM991" t="s">
        <v>64</v>
      </c>
      <c r="AN991" s="7">
        <v>1188.1246386683581</v>
      </c>
      <c r="AO991" t="s">
        <v>65</v>
      </c>
      <c r="AP991" s="3">
        <v>287</v>
      </c>
      <c r="AQ991">
        <v>2</v>
      </c>
      <c r="AR991">
        <v>1707.3798670000001</v>
      </c>
      <c r="AS991" t="s">
        <v>66</v>
      </c>
      <c r="AT991" t="s">
        <v>53</v>
      </c>
    </row>
    <row r="992" spans="1:46">
      <c r="A992">
        <v>1093</v>
      </c>
      <c r="B992" t="s">
        <v>46</v>
      </c>
      <c r="C992">
        <v>73</v>
      </c>
      <c r="D992">
        <v>622</v>
      </c>
      <c r="E992" t="s">
        <v>1329</v>
      </c>
      <c r="F992" t="s">
        <v>1291</v>
      </c>
      <c r="G992">
        <v>73622</v>
      </c>
      <c r="H992">
        <v>73622</v>
      </c>
      <c r="I992" t="s">
        <v>49</v>
      </c>
      <c r="J992">
        <v>7305</v>
      </c>
      <c r="K992" t="s">
        <v>297</v>
      </c>
      <c r="L992" t="s">
        <v>80</v>
      </c>
      <c r="M992" t="s">
        <v>53</v>
      </c>
      <c r="N992">
        <v>5625</v>
      </c>
      <c r="O992" t="s">
        <v>53</v>
      </c>
      <c r="P992" t="s">
        <v>70</v>
      </c>
      <c r="Q992" t="s">
        <v>71</v>
      </c>
      <c r="R992" t="s">
        <v>72</v>
      </c>
      <c r="S992" t="s">
        <v>57</v>
      </c>
      <c r="T992" t="s">
        <v>73</v>
      </c>
      <c r="U992" t="s">
        <v>101</v>
      </c>
      <c r="V992">
        <v>0.62148800000000004</v>
      </c>
      <c r="W992">
        <v>2017</v>
      </c>
      <c r="X992" t="s">
        <v>383</v>
      </c>
      <c r="Y992" t="s">
        <v>277</v>
      </c>
      <c r="Z992" t="str">
        <f t="shared" si="30"/>
        <v>Mayor que 10 - hasta 15</v>
      </c>
      <c r="AA992">
        <f t="shared" si="31"/>
        <v>1</v>
      </c>
      <c r="AB992">
        <v>73622</v>
      </c>
      <c r="AC992" t="s">
        <v>564</v>
      </c>
      <c r="AD992" t="s">
        <v>1300</v>
      </c>
      <c r="AE992">
        <v>2.6192310000000001</v>
      </c>
      <c r="AF992" t="s">
        <v>77</v>
      </c>
      <c r="AG992">
        <v>67.948232000000004</v>
      </c>
      <c r="AH992" t="s">
        <v>564</v>
      </c>
      <c r="AI992" t="s">
        <v>565</v>
      </c>
      <c r="AJ992">
        <v>3.6291039999999999</v>
      </c>
      <c r="AK992" t="s">
        <v>84</v>
      </c>
      <c r="AL992">
        <v>94.780316999999997</v>
      </c>
      <c r="AM992" t="s">
        <v>64</v>
      </c>
      <c r="AN992" s="7">
        <v>3697.2919281565728</v>
      </c>
      <c r="AO992" t="s">
        <v>64</v>
      </c>
      <c r="AP992" s="3">
        <v>188</v>
      </c>
      <c r="AQ992">
        <v>3</v>
      </c>
      <c r="AR992">
        <v>6090.3837469999999</v>
      </c>
      <c r="AS992" t="s">
        <v>66</v>
      </c>
      <c r="AT992" t="s">
        <v>53</v>
      </c>
    </row>
    <row r="993" spans="1:46">
      <c r="A993">
        <v>1094</v>
      </c>
      <c r="B993" t="s">
        <v>46</v>
      </c>
      <c r="C993">
        <v>73</v>
      </c>
      <c r="D993">
        <v>624</v>
      </c>
      <c r="E993" t="s">
        <v>1330</v>
      </c>
      <c r="F993" t="s">
        <v>1291</v>
      </c>
      <c r="G993">
        <v>73624</v>
      </c>
      <c r="H993">
        <v>73624</v>
      </c>
      <c r="I993" t="s">
        <v>49</v>
      </c>
      <c r="J993">
        <v>7301</v>
      </c>
      <c r="K993" t="s">
        <v>1290</v>
      </c>
      <c r="L993" t="s">
        <v>69</v>
      </c>
      <c r="M993" t="s">
        <v>53</v>
      </c>
      <c r="N993">
        <v>22360</v>
      </c>
      <c r="O993" t="s">
        <v>53</v>
      </c>
      <c r="P993" t="s">
        <v>70</v>
      </c>
      <c r="Q993" t="s">
        <v>71</v>
      </c>
      <c r="R993" t="s">
        <v>93</v>
      </c>
      <c r="S993" t="s">
        <v>57</v>
      </c>
      <c r="T993" t="s">
        <v>73</v>
      </c>
      <c r="U993" t="s">
        <v>101</v>
      </c>
      <c r="V993">
        <v>0.68910300000000002</v>
      </c>
      <c r="W993">
        <v>2017</v>
      </c>
      <c r="X993" t="s">
        <v>109</v>
      </c>
      <c r="Y993" t="s">
        <v>110</v>
      </c>
      <c r="Z993" t="str">
        <f t="shared" si="30"/>
        <v>Mayor que 30 - hasta 40</v>
      </c>
      <c r="AA993">
        <f t="shared" si="31"/>
        <v>0</v>
      </c>
      <c r="AB993">
        <v>73624</v>
      </c>
      <c r="AC993" t="s">
        <v>564</v>
      </c>
      <c r="AD993" t="s">
        <v>565</v>
      </c>
      <c r="AE993">
        <v>1.2072350000000001</v>
      </c>
      <c r="AF993" t="s">
        <v>76</v>
      </c>
      <c r="AG993">
        <v>28.114927999999999</v>
      </c>
      <c r="AH993" t="s">
        <v>564</v>
      </c>
      <c r="AI993" t="s">
        <v>565</v>
      </c>
      <c r="AJ993">
        <v>1.192218</v>
      </c>
      <c r="AK993" t="s">
        <v>76</v>
      </c>
      <c r="AL993">
        <v>27.756349</v>
      </c>
      <c r="AM993" t="s">
        <v>64</v>
      </c>
      <c r="AN993" s="7">
        <v>657.61052085868266</v>
      </c>
      <c r="AO993" t="s">
        <v>65</v>
      </c>
      <c r="AP993" s="3">
        <v>209</v>
      </c>
      <c r="AQ993">
        <v>2</v>
      </c>
      <c r="AR993">
        <v>1041.7963299999999</v>
      </c>
      <c r="AS993" t="s">
        <v>66</v>
      </c>
      <c r="AT993" t="s">
        <v>53</v>
      </c>
    </row>
    <row r="994" spans="1:46">
      <c r="A994">
        <v>1095</v>
      </c>
      <c r="B994" t="s">
        <v>46</v>
      </c>
      <c r="C994">
        <v>73</v>
      </c>
      <c r="D994">
        <v>671</v>
      </c>
      <c r="E994" t="s">
        <v>1331</v>
      </c>
      <c r="F994" t="s">
        <v>1291</v>
      </c>
      <c r="G994">
        <v>73671</v>
      </c>
      <c r="H994">
        <v>73671</v>
      </c>
      <c r="I994" t="s">
        <v>49</v>
      </c>
      <c r="J994">
        <v>7306</v>
      </c>
      <c r="K994" t="s">
        <v>1293</v>
      </c>
      <c r="L994" t="s">
        <v>91</v>
      </c>
      <c r="M994" t="s">
        <v>53</v>
      </c>
      <c r="N994">
        <v>14882</v>
      </c>
      <c r="O994" t="s">
        <v>53</v>
      </c>
      <c r="P994" t="s">
        <v>70</v>
      </c>
      <c r="Q994" t="s">
        <v>71</v>
      </c>
      <c r="R994" t="s">
        <v>105</v>
      </c>
      <c r="S994" t="s">
        <v>57</v>
      </c>
      <c r="T994" t="s">
        <v>58</v>
      </c>
      <c r="U994" t="s">
        <v>81</v>
      </c>
      <c r="V994">
        <v>0.60759799999999997</v>
      </c>
      <c r="W994">
        <v>2017</v>
      </c>
      <c r="X994" t="s">
        <v>109</v>
      </c>
      <c r="Y994" t="s">
        <v>127</v>
      </c>
      <c r="Z994" t="str">
        <f t="shared" si="30"/>
        <v>Mayor que 70 - hasta 80</v>
      </c>
      <c r="AA994">
        <f t="shared" si="31"/>
        <v>1</v>
      </c>
      <c r="AB994">
        <v>73671</v>
      </c>
      <c r="AC994" t="s">
        <v>564</v>
      </c>
      <c r="AD994" t="s">
        <v>1309</v>
      </c>
      <c r="AE994">
        <v>0.57309200000000005</v>
      </c>
      <c r="AF994" t="s">
        <v>63</v>
      </c>
      <c r="AG994">
        <v>31.681833000000001</v>
      </c>
      <c r="AH994" t="s">
        <v>564</v>
      </c>
      <c r="AI994" t="s">
        <v>565</v>
      </c>
      <c r="AJ994">
        <v>1.756086</v>
      </c>
      <c r="AK994" t="s">
        <v>76</v>
      </c>
      <c r="AL994">
        <v>81.622957999999997</v>
      </c>
      <c r="AM994" t="s">
        <v>64</v>
      </c>
      <c r="AN994" s="7">
        <v>3562.3340087860852</v>
      </c>
      <c r="AO994" t="s">
        <v>65</v>
      </c>
      <c r="AP994" s="3">
        <v>1270</v>
      </c>
      <c r="AQ994">
        <v>1</v>
      </c>
      <c r="AR994">
        <v>5930.2183560000003</v>
      </c>
      <c r="AS994" t="s">
        <v>66</v>
      </c>
      <c r="AT994" t="s">
        <v>53</v>
      </c>
    </row>
    <row r="995" spans="1:46">
      <c r="A995">
        <v>1096</v>
      </c>
      <c r="B995" t="s">
        <v>46</v>
      </c>
      <c r="C995">
        <v>73</v>
      </c>
      <c r="D995">
        <v>675</v>
      </c>
      <c r="E995" t="s">
        <v>1332</v>
      </c>
      <c r="F995" t="s">
        <v>1291</v>
      </c>
      <c r="G995">
        <v>73675</v>
      </c>
      <c r="H995">
        <v>73675</v>
      </c>
      <c r="I995" t="s">
        <v>49</v>
      </c>
      <c r="J995">
        <v>7305</v>
      </c>
      <c r="K995" t="s">
        <v>297</v>
      </c>
      <c r="L995" t="s">
        <v>80</v>
      </c>
      <c r="M995" t="s">
        <v>53</v>
      </c>
      <c r="N995">
        <v>13429</v>
      </c>
      <c r="O995" t="s">
        <v>53</v>
      </c>
      <c r="P995" t="s">
        <v>70</v>
      </c>
      <c r="Q995" t="s">
        <v>71</v>
      </c>
      <c r="R995" t="s">
        <v>93</v>
      </c>
      <c r="S995" t="s">
        <v>57</v>
      </c>
      <c r="T995" t="s">
        <v>73</v>
      </c>
      <c r="U995" t="s">
        <v>101</v>
      </c>
      <c r="V995">
        <v>0.60506099999999996</v>
      </c>
      <c r="W995">
        <v>2017</v>
      </c>
      <c r="X995" t="s">
        <v>176</v>
      </c>
      <c r="Y995" t="s">
        <v>116</v>
      </c>
      <c r="Z995" t="str">
        <f t="shared" si="30"/>
        <v>Mayor que 30 - hasta 40</v>
      </c>
      <c r="AA995">
        <f t="shared" si="31"/>
        <v>1</v>
      </c>
      <c r="AB995">
        <v>73675</v>
      </c>
      <c r="AC995" t="s">
        <v>564</v>
      </c>
      <c r="AD995" t="s">
        <v>1300</v>
      </c>
      <c r="AE995">
        <v>1.1702950000000001</v>
      </c>
      <c r="AF995" t="s">
        <v>76</v>
      </c>
      <c r="AG995">
        <v>31.580613</v>
      </c>
      <c r="AH995" t="s">
        <v>564</v>
      </c>
      <c r="AI995" t="s">
        <v>565</v>
      </c>
      <c r="AJ995">
        <v>3.4054419999999999</v>
      </c>
      <c r="AK995" t="s">
        <v>84</v>
      </c>
      <c r="AL995">
        <v>89.686205000000001</v>
      </c>
      <c r="AM995" t="s">
        <v>65</v>
      </c>
      <c r="AN995" s="7">
        <v>97.518337958969951</v>
      </c>
      <c r="AO995" t="s">
        <v>65</v>
      </c>
      <c r="AP995" s="3">
        <v>44</v>
      </c>
      <c r="AQ995">
        <v>1</v>
      </c>
      <c r="AR995">
        <v>179.42524800000001</v>
      </c>
      <c r="AS995" t="s">
        <v>66</v>
      </c>
      <c r="AT995" t="s">
        <v>53</v>
      </c>
    </row>
    <row r="996" spans="1:46">
      <c r="A996">
        <v>1097</v>
      </c>
      <c r="B996" t="s">
        <v>46</v>
      </c>
      <c r="C996">
        <v>73</v>
      </c>
      <c r="D996">
        <v>678</v>
      </c>
      <c r="E996" t="s">
        <v>250</v>
      </c>
      <c r="F996" t="s">
        <v>1291</v>
      </c>
      <c r="G996">
        <v>73678</v>
      </c>
      <c r="H996">
        <v>73678</v>
      </c>
      <c r="I996" t="s">
        <v>49</v>
      </c>
      <c r="J996">
        <v>7301</v>
      </c>
      <c r="K996" t="s">
        <v>1290</v>
      </c>
      <c r="L996" t="s">
        <v>80</v>
      </c>
      <c r="M996" t="s">
        <v>53</v>
      </c>
      <c r="N996">
        <v>13441</v>
      </c>
      <c r="O996" t="s">
        <v>53</v>
      </c>
      <c r="P996" t="s">
        <v>70</v>
      </c>
      <c r="Q996" t="s">
        <v>71</v>
      </c>
      <c r="R996" t="s">
        <v>72</v>
      </c>
      <c r="S996" t="s">
        <v>57</v>
      </c>
      <c r="T996" t="s">
        <v>58</v>
      </c>
      <c r="U996" t="s">
        <v>59</v>
      </c>
      <c r="V996">
        <v>0.45947199999999999</v>
      </c>
      <c r="W996">
        <v>2017</v>
      </c>
      <c r="X996" t="s">
        <v>176</v>
      </c>
      <c r="Y996" t="s">
        <v>167</v>
      </c>
      <c r="Z996" t="str">
        <f t="shared" si="30"/>
        <v>Mayor que 50 - hasta 60</v>
      </c>
      <c r="AA996">
        <f t="shared" si="31"/>
        <v>1</v>
      </c>
      <c r="AB996">
        <v>73678</v>
      </c>
      <c r="AC996" t="s">
        <v>564</v>
      </c>
      <c r="AD996" t="s">
        <v>1309</v>
      </c>
      <c r="AE996">
        <v>0.91458300000000003</v>
      </c>
      <c r="AF996" t="s">
        <v>63</v>
      </c>
      <c r="AG996">
        <v>38.775945</v>
      </c>
      <c r="AH996" t="s">
        <v>564</v>
      </c>
      <c r="AI996" t="s">
        <v>565</v>
      </c>
      <c r="AJ996">
        <v>1.6113059999999999</v>
      </c>
      <c r="AK996" t="s">
        <v>76</v>
      </c>
      <c r="AL996">
        <v>47.111479000000003</v>
      </c>
      <c r="AM996" t="s">
        <v>65</v>
      </c>
      <c r="AN996" s="7">
        <v>9094.8523326292561</v>
      </c>
      <c r="AO996" t="s">
        <v>65</v>
      </c>
      <c r="AP996" s="3">
        <v>3011</v>
      </c>
      <c r="AQ996">
        <v>3</v>
      </c>
      <c r="AR996">
        <v>13139.179206000001</v>
      </c>
      <c r="AS996" t="s">
        <v>66</v>
      </c>
      <c r="AT996" t="s">
        <v>53</v>
      </c>
    </row>
    <row r="997" spans="1:46">
      <c r="A997">
        <v>1098</v>
      </c>
      <c r="B997" t="s">
        <v>46</v>
      </c>
      <c r="C997">
        <v>73</v>
      </c>
      <c r="D997">
        <v>686</v>
      </c>
      <c r="E997" t="s">
        <v>1333</v>
      </c>
      <c r="F997" t="s">
        <v>1291</v>
      </c>
      <c r="G997">
        <v>73686</v>
      </c>
      <c r="H997">
        <v>73686</v>
      </c>
      <c r="I997" t="s">
        <v>49</v>
      </c>
      <c r="J997">
        <v>7302</v>
      </c>
      <c r="K997" t="s">
        <v>1304</v>
      </c>
      <c r="L997" t="s">
        <v>69</v>
      </c>
      <c r="M997" t="s">
        <v>53</v>
      </c>
      <c r="N997">
        <v>5784</v>
      </c>
      <c r="O997" t="s">
        <v>53</v>
      </c>
      <c r="P997" t="s">
        <v>70</v>
      </c>
      <c r="Q997" t="s">
        <v>71</v>
      </c>
      <c r="R997" t="s">
        <v>105</v>
      </c>
      <c r="S997" t="s">
        <v>57</v>
      </c>
      <c r="T997" t="s">
        <v>73</v>
      </c>
      <c r="U997" t="s">
        <v>119</v>
      </c>
      <c r="V997">
        <v>0.45033099999999998</v>
      </c>
      <c r="W997">
        <v>2017</v>
      </c>
      <c r="X997" t="s">
        <v>310</v>
      </c>
      <c r="Y997" t="s">
        <v>311</v>
      </c>
      <c r="Z997" t="str">
        <f t="shared" si="30"/>
        <v>Mayor que 15 - hasta 20</v>
      </c>
      <c r="AA997">
        <f t="shared" si="31"/>
        <v>0</v>
      </c>
      <c r="AB997">
        <v>73686</v>
      </c>
      <c r="AC997" t="s">
        <v>564</v>
      </c>
      <c r="AD997" t="s">
        <v>569</v>
      </c>
      <c r="AE997">
        <v>1.8775569999999999</v>
      </c>
      <c r="AF997" t="s">
        <v>76</v>
      </c>
      <c r="AG997">
        <v>78.031075000000001</v>
      </c>
      <c r="AH997" t="s">
        <v>564</v>
      </c>
      <c r="AI997" t="s">
        <v>565</v>
      </c>
      <c r="AJ997">
        <v>2.325088</v>
      </c>
      <c r="AK997" t="s">
        <v>77</v>
      </c>
      <c r="AL997">
        <v>84.702143000000007</v>
      </c>
      <c r="AM997" t="s">
        <v>64</v>
      </c>
      <c r="AN997" s="7">
        <v>1923.942794055705</v>
      </c>
      <c r="AO997" t="s">
        <v>65</v>
      </c>
      <c r="AP997" s="3">
        <v>292</v>
      </c>
      <c r="AQ997">
        <v>3</v>
      </c>
      <c r="AR997">
        <v>3201.952233</v>
      </c>
      <c r="AS997" t="s">
        <v>66</v>
      </c>
      <c r="AT997" t="s">
        <v>53</v>
      </c>
    </row>
    <row r="998" spans="1:46">
      <c r="A998">
        <v>1099</v>
      </c>
      <c r="B998" t="s">
        <v>46</v>
      </c>
      <c r="C998">
        <v>73</v>
      </c>
      <c r="D998">
        <v>770</v>
      </c>
      <c r="E998" t="s">
        <v>654</v>
      </c>
      <c r="F998" t="s">
        <v>1291</v>
      </c>
      <c r="G998">
        <v>73770</v>
      </c>
      <c r="H998">
        <v>73770</v>
      </c>
      <c r="I998" t="s">
        <v>49</v>
      </c>
      <c r="J998">
        <v>7306</v>
      </c>
      <c r="K998" t="s">
        <v>1293</v>
      </c>
      <c r="L998" t="s">
        <v>69</v>
      </c>
      <c r="M998" t="s">
        <v>53</v>
      </c>
      <c r="N998">
        <v>3919</v>
      </c>
      <c r="O998" t="s">
        <v>53</v>
      </c>
      <c r="P998" t="s">
        <v>70</v>
      </c>
      <c r="Q998" t="s">
        <v>71</v>
      </c>
      <c r="R998" t="s">
        <v>122</v>
      </c>
      <c r="S998" t="s">
        <v>57</v>
      </c>
      <c r="T998" t="s">
        <v>58</v>
      </c>
      <c r="U998" t="s">
        <v>81</v>
      </c>
      <c r="V998">
        <v>0.74788699999999997</v>
      </c>
      <c r="W998">
        <v>2017</v>
      </c>
      <c r="X998" t="s">
        <v>217</v>
      </c>
      <c r="Y998" t="s">
        <v>167</v>
      </c>
      <c r="Z998" t="str">
        <f t="shared" si="30"/>
        <v>Mayor que 50 - hasta 60</v>
      </c>
      <c r="AA998">
        <f t="shared" si="31"/>
        <v>1</v>
      </c>
      <c r="AB998">
        <v>73770</v>
      </c>
      <c r="AC998" t="s">
        <v>564</v>
      </c>
      <c r="AD998" t="s">
        <v>1309</v>
      </c>
      <c r="AE998">
        <v>0.47375600000000001</v>
      </c>
      <c r="AF998" t="s">
        <v>63</v>
      </c>
      <c r="AG998">
        <v>16.733809999999998</v>
      </c>
      <c r="AH998" t="s">
        <v>564</v>
      </c>
      <c r="AI998" t="s">
        <v>565</v>
      </c>
      <c r="AJ998">
        <v>1.7085600000000001</v>
      </c>
      <c r="AK998" t="s">
        <v>76</v>
      </c>
      <c r="AL998">
        <v>69.586205000000007</v>
      </c>
      <c r="AM998" t="s">
        <v>64</v>
      </c>
      <c r="AN998" s="7">
        <v>3881.0851648519561</v>
      </c>
      <c r="AO998" t="s">
        <v>65</v>
      </c>
      <c r="AP998" s="3">
        <v>789</v>
      </c>
      <c r="AQ998">
        <v>2</v>
      </c>
      <c r="AR998">
        <v>6789.4347820000003</v>
      </c>
      <c r="AS998" t="s">
        <v>66</v>
      </c>
      <c r="AT998" t="s">
        <v>53</v>
      </c>
    </row>
    <row r="999" spans="1:46">
      <c r="A999">
        <v>1100</v>
      </c>
      <c r="B999" t="s">
        <v>46</v>
      </c>
      <c r="C999">
        <v>73</v>
      </c>
      <c r="D999">
        <v>854</v>
      </c>
      <c r="E999" t="s">
        <v>1334</v>
      </c>
      <c r="F999" t="s">
        <v>1291</v>
      </c>
      <c r="G999">
        <v>73854</v>
      </c>
      <c r="H999">
        <v>73854</v>
      </c>
      <c r="I999" t="s">
        <v>49</v>
      </c>
      <c r="J999">
        <v>7301</v>
      </c>
      <c r="K999" t="s">
        <v>1290</v>
      </c>
      <c r="L999" t="s">
        <v>69</v>
      </c>
      <c r="M999" t="s">
        <v>53</v>
      </c>
      <c r="N999">
        <v>5505</v>
      </c>
      <c r="O999" t="s">
        <v>53</v>
      </c>
      <c r="P999" t="s">
        <v>70</v>
      </c>
      <c r="Q999" t="s">
        <v>71</v>
      </c>
      <c r="R999" t="s">
        <v>93</v>
      </c>
      <c r="S999" t="s">
        <v>57</v>
      </c>
      <c r="T999" t="s">
        <v>58</v>
      </c>
      <c r="U999" t="s">
        <v>59</v>
      </c>
      <c r="V999">
        <v>0.61483600000000005</v>
      </c>
      <c r="W999">
        <v>2017</v>
      </c>
      <c r="X999" t="s">
        <v>310</v>
      </c>
      <c r="Y999" t="s">
        <v>102</v>
      </c>
      <c r="Z999" t="str">
        <f t="shared" si="30"/>
        <v>Mayor que 20 - hasta 30</v>
      </c>
      <c r="AA999">
        <f t="shared" si="31"/>
        <v>1</v>
      </c>
      <c r="AB999">
        <v>73854</v>
      </c>
      <c r="AC999" t="s">
        <v>564</v>
      </c>
      <c r="AD999" t="s">
        <v>1309</v>
      </c>
      <c r="AE999">
        <v>1.137813</v>
      </c>
      <c r="AF999" t="s">
        <v>76</v>
      </c>
      <c r="AG999">
        <v>41.555844</v>
      </c>
      <c r="AH999" t="s">
        <v>564</v>
      </c>
      <c r="AI999" t="s">
        <v>565</v>
      </c>
      <c r="AJ999">
        <v>1.347648</v>
      </c>
      <c r="AK999" t="s">
        <v>76</v>
      </c>
      <c r="AL999">
        <v>39.521529999999998</v>
      </c>
      <c r="AM999" t="s">
        <v>64</v>
      </c>
      <c r="AN999" s="7">
        <v>4559.1816718094951</v>
      </c>
      <c r="AO999" t="s">
        <v>65</v>
      </c>
      <c r="AP999" s="3">
        <v>714</v>
      </c>
      <c r="AQ999">
        <v>3</v>
      </c>
      <c r="AR999">
        <v>4357.4034449999999</v>
      </c>
      <c r="AS999" t="s">
        <v>66</v>
      </c>
      <c r="AT999" t="s">
        <v>53</v>
      </c>
    </row>
    <row r="1000" spans="1:46">
      <c r="A1000">
        <v>1101</v>
      </c>
      <c r="B1000" t="s">
        <v>46</v>
      </c>
      <c r="C1000">
        <v>73</v>
      </c>
      <c r="D1000">
        <v>861</v>
      </c>
      <c r="E1000" t="s">
        <v>1335</v>
      </c>
      <c r="F1000" t="s">
        <v>1291</v>
      </c>
      <c r="G1000">
        <v>73861</v>
      </c>
      <c r="H1000">
        <v>73861</v>
      </c>
      <c r="I1000" t="s">
        <v>49</v>
      </c>
      <c r="J1000">
        <v>7302</v>
      </c>
      <c r="K1000" t="s">
        <v>1304</v>
      </c>
      <c r="L1000" t="s">
        <v>91</v>
      </c>
      <c r="M1000" t="s">
        <v>53</v>
      </c>
      <c r="N1000">
        <v>13217</v>
      </c>
      <c r="O1000" t="s">
        <v>53</v>
      </c>
      <c r="P1000" t="s">
        <v>70</v>
      </c>
      <c r="Q1000" t="s">
        <v>71</v>
      </c>
      <c r="R1000" t="s">
        <v>105</v>
      </c>
      <c r="S1000" t="s">
        <v>57</v>
      </c>
      <c r="T1000" t="s">
        <v>73</v>
      </c>
      <c r="U1000" t="s">
        <v>59</v>
      </c>
      <c r="V1000">
        <v>0.35636699999999999</v>
      </c>
      <c r="W1000">
        <v>2017</v>
      </c>
      <c r="X1000" t="s">
        <v>217</v>
      </c>
      <c r="Y1000" t="s">
        <v>218</v>
      </c>
      <c r="Z1000" t="str">
        <f t="shared" si="30"/>
        <v>Mayor que 40 - hasta 50</v>
      </c>
      <c r="AA1000">
        <f t="shared" si="31"/>
        <v>0</v>
      </c>
      <c r="AB1000">
        <v>73861</v>
      </c>
      <c r="AC1000" t="s">
        <v>564</v>
      </c>
      <c r="AD1000" t="s">
        <v>569</v>
      </c>
      <c r="AE1000">
        <v>1.2628010000000001</v>
      </c>
      <c r="AF1000" t="s">
        <v>76</v>
      </c>
      <c r="AG1000">
        <v>62.087215</v>
      </c>
      <c r="AH1000" t="s">
        <v>564</v>
      </c>
      <c r="AI1000" t="s">
        <v>565</v>
      </c>
      <c r="AJ1000">
        <v>1.4210309999999999</v>
      </c>
      <c r="AK1000" t="s">
        <v>76</v>
      </c>
      <c r="AL1000">
        <v>59.174221000000003</v>
      </c>
      <c r="AM1000" t="s">
        <v>97</v>
      </c>
      <c r="AN1000" s="7">
        <v>4220.6559389913718</v>
      </c>
      <c r="AO1000" t="s">
        <v>65</v>
      </c>
      <c r="AP1000" s="3">
        <v>152</v>
      </c>
      <c r="AQ1000">
        <v>2</v>
      </c>
      <c r="AR1000">
        <v>7440.8761139999997</v>
      </c>
      <c r="AS1000" t="s">
        <v>66</v>
      </c>
      <c r="AT1000" t="s">
        <v>53</v>
      </c>
    </row>
    <row r="1001" spans="1:46">
      <c r="A1001">
        <v>1102</v>
      </c>
      <c r="B1001" t="s">
        <v>46</v>
      </c>
      <c r="C1001">
        <v>73</v>
      </c>
      <c r="D1001">
        <v>870</v>
      </c>
      <c r="E1001" t="s">
        <v>1336</v>
      </c>
      <c r="F1001" t="s">
        <v>1291</v>
      </c>
      <c r="G1001">
        <v>73870</v>
      </c>
      <c r="H1001">
        <v>73870</v>
      </c>
      <c r="I1001" t="s">
        <v>49</v>
      </c>
      <c r="J1001">
        <v>7302</v>
      </c>
      <c r="K1001" t="s">
        <v>1304</v>
      </c>
      <c r="L1001" t="s">
        <v>69</v>
      </c>
      <c r="M1001" t="s">
        <v>53</v>
      </c>
      <c r="N1001">
        <v>9720</v>
      </c>
      <c r="O1001" t="s">
        <v>53</v>
      </c>
      <c r="P1001" t="s">
        <v>70</v>
      </c>
      <c r="Q1001" t="s">
        <v>71</v>
      </c>
      <c r="R1001" t="s">
        <v>72</v>
      </c>
      <c r="S1001" t="s">
        <v>57</v>
      </c>
      <c r="T1001" t="s">
        <v>73</v>
      </c>
      <c r="U1001" t="s">
        <v>119</v>
      </c>
      <c r="V1001">
        <v>0.45111600000000002</v>
      </c>
      <c r="W1001">
        <v>2024</v>
      </c>
      <c r="X1001" t="s">
        <v>109</v>
      </c>
      <c r="Y1001" t="s">
        <v>110</v>
      </c>
      <c r="Z1001" t="str">
        <f t="shared" si="30"/>
        <v>Mayor que 30 - hasta 40</v>
      </c>
      <c r="AA1001">
        <f t="shared" si="31"/>
        <v>0</v>
      </c>
      <c r="AB1001">
        <v>73870</v>
      </c>
      <c r="AC1001" t="s">
        <v>564</v>
      </c>
      <c r="AD1001" t="s">
        <v>569</v>
      </c>
      <c r="AE1001">
        <v>1.6845810000000001</v>
      </c>
      <c r="AF1001" t="s">
        <v>76</v>
      </c>
      <c r="AG1001">
        <v>48.368837999999997</v>
      </c>
      <c r="AH1001" t="s">
        <v>161</v>
      </c>
      <c r="AI1001" t="s">
        <v>163</v>
      </c>
      <c r="AJ1001">
        <v>3.294168</v>
      </c>
      <c r="AK1001" t="s">
        <v>84</v>
      </c>
      <c r="AL1001">
        <v>77.792091999999997</v>
      </c>
      <c r="AM1001" t="s">
        <v>65</v>
      </c>
      <c r="AN1001" s="7">
        <v>196.4887794967664</v>
      </c>
      <c r="AO1001" t="s">
        <v>65</v>
      </c>
      <c r="AP1001" s="3">
        <v>100</v>
      </c>
      <c r="AQ1001">
        <v>4</v>
      </c>
      <c r="AR1001">
        <v>185.06486000000001</v>
      </c>
      <c r="AS1001" t="s">
        <v>66</v>
      </c>
      <c r="AT1001" t="s">
        <v>53</v>
      </c>
    </row>
    <row r="1002" spans="1:46">
      <c r="A1002">
        <v>1103</v>
      </c>
      <c r="B1002" t="s">
        <v>46</v>
      </c>
      <c r="C1002">
        <v>73</v>
      </c>
      <c r="D1002">
        <v>873</v>
      </c>
      <c r="E1002" t="s">
        <v>1337</v>
      </c>
      <c r="F1002" t="s">
        <v>1291</v>
      </c>
      <c r="G1002">
        <v>73873</v>
      </c>
      <c r="H1002">
        <v>73873</v>
      </c>
      <c r="I1002" t="s">
        <v>49</v>
      </c>
      <c r="J1002">
        <v>7304</v>
      </c>
      <c r="K1002" t="s">
        <v>68</v>
      </c>
      <c r="L1002" t="s">
        <v>69</v>
      </c>
      <c r="M1002" t="s">
        <v>53</v>
      </c>
      <c r="N1002">
        <v>5192</v>
      </c>
      <c r="O1002" t="s">
        <v>53</v>
      </c>
      <c r="P1002" t="s">
        <v>70</v>
      </c>
      <c r="Q1002" t="s">
        <v>71</v>
      </c>
      <c r="R1002" t="s">
        <v>105</v>
      </c>
      <c r="S1002" t="s">
        <v>57</v>
      </c>
      <c r="T1002" t="s">
        <v>73</v>
      </c>
      <c r="U1002" t="s">
        <v>59</v>
      </c>
      <c r="V1002">
        <v>0.67917499999999997</v>
      </c>
      <c r="W1002">
        <v>2017</v>
      </c>
      <c r="X1002" t="s">
        <v>345</v>
      </c>
      <c r="Y1002" t="s">
        <v>102</v>
      </c>
      <c r="Z1002" t="str">
        <f t="shared" si="30"/>
        <v>Mayor que 20 - hasta 30</v>
      </c>
      <c r="AA1002">
        <f t="shared" si="31"/>
        <v>1</v>
      </c>
      <c r="AB1002">
        <v>73873</v>
      </c>
      <c r="AC1002" t="s">
        <v>564</v>
      </c>
      <c r="AD1002" t="s">
        <v>771</v>
      </c>
      <c r="AE1002">
        <v>1.970807</v>
      </c>
      <c r="AF1002" t="s">
        <v>76</v>
      </c>
      <c r="AG1002">
        <v>53.581327999999999</v>
      </c>
      <c r="AH1002" t="s">
        <v>564</v>
      </c>
      <c r="AI1002" t="s">
        <v>565</v>
      </c>
      <c r="AJ1002">
        <v>3.495949</v>
      </c>
      <c r="AK1002" t="s">
        <v>84</v>
      </c>
      <c r="AL1002">
        <v>120.25382399999999</v>
      </c>
      <c r="AM1002" t="s">
        <v>65</v>
      </c>
      <c r="AN1002" s="7">
        <v>27.197239089272589</v>
      </c>
      <c r="AO1002" t="s">
        <v>65</v>
      </c>
      <c r="AP1002" s="3">
        <v>25</v>
      </c>
      <c r="AQ1002">
        <v>3</v>
      </c>
      <c r="AR1002">
        <v>6381.6991909999997</v>
      </c>
      <c r="AS1002" t="s">
        <v>66</v>
      </c>
      <c r="AT1002" t="s">
        <v>53</v>
      </c>
    </row>
    <row r="1003" spans="1:46">
      <c r="A1003">
        <v>57</v>
      </c>
      <c r="B1003" t="s">
        <v>46</v>
      </c>
      <c r="C1003">
        <v>76</v>
      </c>
      <c r="D1003">
        <v>1</v>
      </c>
      <c r="E1003" t="s">
        <v>1338</v>
      </c>
      <c r="F1003" t="s">
        <v>1339</v>
      </c>
      <c r="G1003">
        <v>76001</v>
      </c>
      <c r="H1003">
        <v>76001</v>
      </c>
      <c r="I1003" t="s">
        <v>49</v>
      </c>
      <c r="J1003">
        <v>7605</v>
      </c>
      <c r="K1003" t="s">
        <v>297</v>
      </c>
      <c r="L1003" t="s">
        <v>51</v>
      </c>
      <c r="M1003" t="s">
        <v>52</v>
      </c>
      <c r="N1003">
        <v>2280522</v>
      </c>
      <c r="O1003" t="s">
        <v>53</v>
      </c>
      <c r="P1003" t="s">
        <v>54</v>
      </c>
      <c r="Q1003" t="s">
        <v>55</v>
      </c>
      <c r="R1003" t="s">
        <v>93</v>
      </c>
      <c r="S1003" t="s">
        <v>57</v>
      </c>
      <c r="T1003" t="s">
        <v>58</v>
      </c>
      <c r="U1003" t="s">
        <v>59</v>
      </c>
      <c r="V1003">
        <v>0.26064300000000001</v>
      </c>
      <c r="W1003" t="s">
        <v>53</v>
      </c>
      <c r="X1003" t="s">
        <v>53</v>
      </c>
      <c r="Y1003" t="s">
        <v>795</v>
      </c>
      <c r="Z1003" t="str">
        <f t="shared" si="30"/>
        <v>Mayor que 500 - hasta 600</v>
      </c>
      <c r="AA1003">
        <f t="shared" si="31"/>
        <v>1</v>
      </c>
      <c r="AB1003">
        <v>76001</v>
      </c>
      <c r="AC1003" t="s">
        <v>619</v>
      </c>
      <c r="AD1003" t="s">
        <v>1340</v>
      </c>
      <c r="AE1003">
        <v>0</v>
      </c>
      <c r="AF1003" t="s">
        <v>63</v>
      </c>
      <c r="AG1003">
        <v>0</v>
      </c>
      <c r="AH1003" t="s">
        <v>619</v>
      </c>
      <c r="AI1003" t="s">
        <v>620</v>
      </c>
      <c r="AJ1003">
        <v>0</v>
      </c>
      <c r="AK1003" t="s">
        <v>63</v>
      </c>
      <c r="AL1003">
        <v>0</v>
      </c>
      <c r="AM1003" s="4" t="s">
        <v>64</v>
      </c>
      <c r="AN1003" s="5">
        <v>8074.8447793188561</v>
      </c>
      <c r="AO1003" s="4" t="s">
        <v>65</v>
      </c>
      <c r="AP1003" s="6">
        <v>1861</v>
      </c>
      <c r="AQ1003">
        <v>4</v>
      </c>
      <c r="AR1003">
        <v>6410.8884740000003</v>
      </c>
      <c r="AS1003" t="s">
        <v>66</v>
      </c>
      <c r="AT1003" t="s">
        <v>53</v>
      </c>
    </row>
    <row r="1004" spans="1:46">
      <c r="A1004">
        <v>74</v>
      </c>
      <c r="B1004" t="s">
        <v>46</v>
      </c>
      <c r="C1004">
        <v>76</v>
      </c>
      <c r="D1004">
        <v>20</v>
      </c>
      <c r="E1004" t="s">
        <v>1341</v>
      </c>
      <c r="F1004" t="s">
        <v>1339</v>
      </c>
      <c r="G1004">
        <v>76020</v>
      </c>
      <c r="H1004">
        <v>76020</v>
      </c>
      <c r="I1004" t="s">
        <v>49</v>
      </c>
      <c r="J1004">
        <v>7602</v>
      </c>
      <c r="K1004" t="s">
        <v>112</v>
      </c>
      <c r="L1004" t="s">
        <v>91</v>
      </c>
      <c r="M1004" t="s">
        <v>53</v>
      </c>
      <c r="N1004">
        <v>14825</v>
      </c>
      <c r="O1004" t="s">
        <v>53</v>
      </c>
      <c r="P1004" t="s">
        <v>70</v>
      </c>
      <c r="Q1004" t="s">
        <v>71</v>
      </c>
      <c r="R1004" t="s">
        <v>93</v>
      </c>
      <c r="S1004" t="s">
        <v>57</v>
      </c>
      <c r="T1004" t="s">
        <v>58</v>
      </c>
      <c r="U1004" t="s">
        <v>81</v>
      </c>
      <c r="V1004">
        <v>0.35870200000000002</v>
      </c>
      <c r="W1004" t="s">
        <v>53</v>
      </c>
      <c r="X1004" t="s">
        <v>53</v>
      </c>
      <c r="Y1004" t="s">
        <v>127</v>
      </c>
      <c r="Z1004" t="str">
        <f t="shared" si="30"/>
        <v>Mayor que 70 - hasta 80</v>
      </c>
      <c r="AA1004">
        <f t="shared" si="31"/>
        <v>1</v>
      </c>
      <c r="AB1004">
        <v>76020</v>
      </c>
      <c r="AC1004" t="s">
        <v>1159</v>
      </c>
      <c r="AD1004" t="s">
        <v>1166</v>
      </c>
      <c r="AE1004">
        <v>0.17375699999999999</v>
      </c>
      <c r="AF1004" t="s">
        <v>63</v>
      </c>
      <c r="AG1004">
        <v>6.9597980000000002</v>
      </c>
      <c r="AH1004" t="s">
        <v>61</v>
      </c>
      <c r="AI1004" t="s">
        <v>133</v>
      </c>
      <c r="AJ1004">
        <v>0.64861500000000005</v>
      </c>
      <c r="AK1004" t="s">
        <v>63</v>
      </c>
      <c r="AL1004">
        <v>27.862237</v>
      </c>
      <c r="AM1004" s="4" t="s">
        <v>65</v>
      </c>
      <c r="AN1004" s="5">
        <v>3418.9454678856641</v>
      </c>
      <c r="AO1004" s="4" t="s">
        <v>65</v>
      </c>
      <c r="AP1004" s="6">
        <v>1346</v>
      </c>
      <c r="AQ1004">
        <v>2</v>
      </c>
      <c r="AR1004">
        <v>3368.3765060000001</v>
      </c>
      <c r="AS1004" t="s">
        <v>66</v>
      </c>
      <c r="AT1004" t="s">
        <v>53</v>
      </c>
    </row>
    <row r="1005" spans="1:46">
      <c r="A1005">
        <v>58</v>
      </c>
      <c r="B1005" t="s">
        <v>46</v>
      </c>
      <c r="C1005">
        <v>76</v>
      </c>
      <c r="D1005">
        <v>36</v>
      </c>
      <c r="E1005" t="s">
        <v>1342</v>
      </c>
      <c r="F1005" t="s">
        <v>1339</v>
      </c>
      <c r="G1005">
        <v>76036</v>
      </c>
      <c r="H1005">
        <v>76036</v>
      </c>
      <c r="I1005" t="s">
        <v>49</v>
      </c>
      <c r="J1005">
        <v>7601</v>
      </c>
      <c r="K1005" t="s">
        <v>409</v>
      </c>
      <c r="L1005" t="s">
        <v>91</v>
      </c>
      <c r="M1005" t="s">
        <v>53</v>
      </c>
      <c r="N1005">
        <v>22990</v>
      </c>
      <c r="O1005" t="s">
        <v>53</v>
      </c>
      <c r="P1005" t="s">
        <v>70</v>
      </c>
      <c r="Q1005" t="s">
        <v>71</v>
      </c>
      <c r="R1005" t="s">
        <v>105</v>
      </c>
      <c r="S1005" t="s">
        <v>57</v>
      </c>
      <c r="T1005" t="s">
        <v>58</v>
      </c>
      <c r="U1005" t="s">
        <v>119</v>
      </c>
      <c r="V1005">
        <v>0.459227</v>
      </c>
      <c r="W1005" t="s">
        <v>53</v>
      </c>
      <c r="X1005" t="s">
        <v>53</v>
      </c>
      <c r="Y1005" t="s">
        <v>167</v>
      </c>
      <c r="Z1005" t="str">
        <f t="shared" si="30"/>
        <v>Mayor que 50 - hasta 60</v>
      </c>
      <c r="AA1005">
        <f t="shared" si="31"/>
        <v>1</v>
      </c>
      <c r="AB1005">
        <v>76036</v>
      </c>
      <c r="AC1005" t="s">
        <v>619</v>
      </c>
      <c r="AD1005" t="s">
        <v>1343</v>
      </c>
      <c r="AE1005">
        <v>0.29810199999999998</v>
      </c>
      <c r="AF1005" t="s">
        <v>63</v>
      </c>
      <c r="AG1005">
        <v>13.056854</v>
      </c>
      <c r="AH1005" t="s">
        <v>61</v>
      </c>
      <c r="AI1005" t="s">
        <v>133</v>
      </c>
      <c r="AJ1005">
        <v>1.9830099999999999</v>
      </c>
      <c r="AK1005" t="s">
        <v>76</v>
      </c>
      <c r="AL1005">
        <v>78.420518999999999</v>
      </c>
      <c r="AM1005" s="4" t="s">
        <v>64</v>
      </c>
      <c r="AN1005" s="5">
        <v>5390.7672995363901</v>
      </c>
      <c r="AO1005" s="4" t="s">
        <v>65</v>
      </c>
      <c r="AP1005" s="6">
        <v>1579</v>
      </c>
      <c r="AQ1005">
        <v>1</v>
      </c>
      <c r="AR1005">
        <v>4591.0981769999999</v>
      </c>
      <c r="AS1005" t="s">
        <v>66</v>
      </c>
      <c r="AT1005" t="s">
        <v>53</v>
      </c>
    </row>
    <row r="1006" spans="1:46">
      <c r="A1006">
        <v>59</v>
      </c>
      <c r="B1006" t="s">
        <v>46</v>
      </c>
      <c r="C1006">
        <v>76</v>
      </c>
      <c r="D1006">
        <v>41</v>
      </c>
      <c r="E1006" t="s">
        <v>1344</v>
      </c>
      <c r="F1006" t="s">
        <v>1339</v>
      </c>
      <c r="G1006">
        <v>76041</v>
      </c>
      <c r="H1006">
        <v>76041</v>
      </c>
      <c r="I1006" t="s">
        <v>49</v>
      </c>
      <c r="J1006">
        <v>7602</v>
      </c>
      <c r="K1006" t="s">
        <v>112</v>
      </c>
      <c r="L1006" t="s">
        <v>91</v>
      </c>
      <c r="M1006" t="s">
        <v>53</v>
      </c>
      <c r="N1006">
        <v>18270</v>
      </c>
      <c r="O1006" t="s">
        <v>53</v>
      </c>
      <c r="P1006" t="s">
        <v>70</v>
      </c>
      <c r="Q1006" t="s">
        <v>71</v>
      </c>
      <c r="R1006" t="s">
        <v>122</v>
      </c>
      <c r="S1006" t="s">
        <v>57</v>
      </c>
      <c r="T1006" t="s">
        <v>73</v>
      </c>
      <c r="U1006" t="s">
        <v>81</v>
      </c>
      <c r="V1006">
        <v>0.368199</v>
      </c>
      <c r="W1006" t="s">
        <v>53</v>
      </c>
      <c r="X1006" t="s">
        <v>53</v>
      </c>
      <c r="Y1006" t="s">
        <v>127</v>
      </c>
      <c r="Z1006" t="str">
        <f t="shared" si="30"/>
        <v>Mayor que 70 - hasta 80</v>
      </c>
      <c r="AA1006">
        <f t="shared" si="31"/>
        <v>1</v>
      </c>
      <c r="AB1006">
        <v>76041</v>
      </c>
      <c r="AC1006" t="s">
        <v>619</v>
      </c>
      <c r="AD1006" t="s">
        <v>923</v>
      </c>
      <c r="AE1006">
        <v>0.24202599999999999</v>
      </c>
      <c r="AF1006" t="s">
        <v>63</v>
      </c>
      <c r="AG1006">
        <v>8.6669049999999999</v>
      </c>
      <c r="AH1006" t="s">
        <v>555</v>
      </c>
      <c r="AI1006" t="s">
        <v>557</v>
      </c>
      <c r="AJ1006">
        <v>1.0298510000000001</v>
      </c>
      <c r="AK1006" t="s">
        <v>76</v>
      </c>
      <c r="AL1006">
        <v>43.785995999999997</v>
      </c>
      <c r="AM1006" s="4" t="s">
        <v>64</v>
      </c>
      <c r="AN1006" s="5">
        <v>14834.00207257914</v>
      </c>
      <c r="AO1006" s="4" t="s">
        <v>65</v>
      </c>
      <c r="AP1006" s="6">
        <v>1939</v>
      </c>
      <c r="AQ1006">
        <v>3</v>
      </c>
      <c r="AR1006">
        <v>15472.004209000001</v>
      </c>
      <c r="AS1006" t="s">
        <v>66</v>
      </c>
      <c r="AT1006" t="s">
        <v>53</v>
      </c>
    </row>
    <row r="1007" spans="1:46">
      <c r="A1007">
        <v>60</v>
      </c>
      <c r="B1007" t="s">
        <v>46</v>
      </c>
      <c r="C1007">
        <v>76</v>
      </c>
      <c r="D1007">
        <v>54</v>
      </c>
      <c r="E1007" t="s">
        <v>132</v>
      </c>
      <c r="F1007" t="s">
        <v>1339</v>
      </c>
      <c r="G1007">
        <v>76054</v>
      </c>
      <c r="H1007">
        <v>76054</v>
      </c>
      <c r="I1007" t="s">
        <v>49</v>
      </c>
      <c r="J1007">
        <v>7602</v>
      </c>
      <c r="K1007" t="s">
        <v>112</v>
      </c>
      <c r="L1007" t="s">
        <v>91</v>
      </c>
      <c r="M1007" t="s">
        <v>53</v>
      </c>
      <c r="N1007">
        <v>5533</v>
      </c>
      <c r="O1007" t="s">
        <v>53</v>
      </c>
      <c r="P1007" t="s">
        <v>70</v>
      </c>
      <c r="Q1007" t="s">
        <v>71</v>
      </c>
      <c r="R1007" t="s">
        <v>93</v>
      </c>
      <c r="S1007" t="s">
        <v>57</v>
      </c>
      <c r="T1007" t="s">
        <v>73</v>
      </c>
      <c r="U1007" t="s">
        <v>59</v>
      </c>
      <c r="V1007">
        <v>0.27255299999999999</v>
      </c>
      <c r="W1007" t="s">
        <v>53</v>
      </c>
      <c r="X1007" t="s">
        <v>53</v>
      </c>
      <c r="Y1007" t="s">
        <v>277</v>
      </c>
      <c r="Z1007" t="str">
        <f t="shared" si="30"/>
        <v>Mayor que 10 - hasta 15</v>
      </c>
      <c r="AA1007">
        <f t="shared" si="31"/>
        <v>1</v>
      </c>
      <c r="AB1007">
        <v>76054</v>
      </c>
      <c r="AC1007" t="s">
        <v>619</v>
      </c>
      <c r="AD1007" t="s">
        <v>923</v>
      </c>
      <c r="AE1007">
        <v>1.157278</v>
      </c>
      <c r="AF1007" t="s">
        <v>76</v>
      </c>
      <c r="AG1007">
        <v>30.187719999999999</v>
      </c>
      <c r="AH1007" t="s">
        <v>555</v>
      </c>
      <c r="AI1007" t="s">
        <v>557</v>
      </c>
      <c r="AJ1007">
        <v>1.945103</v>
      </c>
      <c r="AK1007" t="s">
        <v>76</v>
      </c>
      <c r="AL1007">
        <v>65.306810999999996</v>
      </c>
      <c r="AM1007" s="4" t="s">
        <v>65</v>
      </c>
      <c r="AN1007" s="5">
        <v>44.583960992511919</v>
      </c>
      <c r="AO1007" s="4" t="s">
        <v>65</v>
      </c>
      <c r="AP1007" s="6">
        <v>6</v>
      </c>
      <c r="AQ1007">
        <v>4</v>
      </c>
      <c r="AR1007">
        <v>101.146715</v>
      </c>
      <c r="AS1007" t="s">
        <v>66</v>
      </c>
      <c r="AT1007" t="s">
        <v>53</v>
      </c>
    </row>
    <row r="1008" spans="1:46">
      <c r="A1008">
        <v>96</v>
      </c>
      <c r="B1008" t="s">
        <v>46</v>
      </c>
      <c r="C1008">
        <v>76</v>
      </c>
      <c r="D1008">
        <v>100</v>
      </c>
      <c r="E1008" t="s">
        <v>334</v>
      </c>
      <c r="F1008" t="s">
        <v>1339</v>
      </c>
      <c r="G1008">
        <v>76100</v>
      </c>
      <c r="H1008">
        <v>76100</v>
      </c>
      <c r="I1008" t="s">
        <v>49</v>
      </c>
      <c r="J1008">
        <v>7602</v>
      </c>
      <c r="K1008" t="s">
        <v>112</v>
      </c>
      <c r="L1008" t="s">
        <v>80</v>
      </c>
      <c r="M1008" t="s">
        <v>53</v>
      </c>
      <c r="N1008">
        <v>16412</v>
      </c>
      <c r="O1008" t="s">
        <v>53</v>
      </c>
      <c r="P1008" t="s">
        <v>70</v>
      </c>
      <c r="Q1008" t="s">
        <v>71</v>
      </c>
      <c r="R1008" t="s">
        <v>93</v>
      </c>
      <c r="S1008" t="s">
        <v>57</v>
      </c>
      <c r="T1008" t="s">
        <v>73</v>
      </c>
      <c r="U1008" t="s">
        <v>119</v>
      </c>
      <c r="V1008">
        <v>0.44460300000000003</v>
      </c>
      <c r="W1008" t="s">
        <v>53</v>
      </c>
      <c r="X1008" t="s">
        <v>53</v>
      </c>
      <c r="Y1008" t="s">
        <v>82</v>
      </c>
      <c r="Z1008" t="str">
        <f t="shared" si="30"/>
        <v>Mayor que 15 - hasta 20</v>
      </c>
      <c r="AA1008">
        <f t="shared" si="31"/>
        <v>1</v>
      </c>
      <c r="AB1008">
        <v>76100</v>
      </c>
      <c r="AC1008" t="s">
        <v>619</v>
      </c>
      <c r="AD1008" t="s">
        <v>1345</v>
      </c>
      <c r="AE1008">
        <v>0.28886499999999998</v>
      </c>
      <c r="AF1008" t="s">
        <v>63</v>
      </c>
      <c r="AG1008">
        <v>12.112489</v>
      </c>
      <c r="AH1008" t="s">
        <v>555</v>
      </c>
      <c r="AI1008" t="s">
        <v>557</v>
      </c>
      <c r="AJ1008">
        <v>2.0290020000000002</v>
      </c>
      <c r="AK1008" t="s">
        <v>77</v>
      </c>
      <c r="AL1008">
        <v>99.822958</v>
      </c>
      <c r="AM1008" s="4" t="s">
        <v>64</v>
      </c>
      <c r="AN1008" s="5">
        <v>8622.2714169409937</v>
      </c>
      <c r="AO1008" s="4" t="s">
        <v>65</v>
      </c>
      <c r="AP1008" s="6">
        <v>1650</v>
      </c>
      <c r="AQ1008">
        <v>4</v>
      </c>
      <c r="AR1008">
        <v>8502.3772410000001</v>
      </c>
      <c r="AS1008" t="s">
        <v>66</v>
      </c>
      <c r="AT1008" t="s">
        <v>53</v>
      </c>
    </row>
    <row r="1009" spans="1:46">
      <c r="A1009">
        <v>98</v>
      </c>
      <c r="B1009" t="s">
        <v>46</v>
      </c>
      <c r="C1009">
        <v>76</v>
      </c>
      <c r="D1009">
        <v>109</v>
      </c>
      <c r="E1009" t="s">
        <v>1346</v>
      </c>
      <c r="F1009" t="s">
        <v>1339</v>
      </c>
      <c r="G1009">
        <v>76109</v>
      </c>
      <c r="H1009">
        <v>76109</v>
      </c>
      <c r="I1009" t="s">
        <v>49</v>
      </c>
      <c r="J1009">
        <v>7603</v>
      </c>
      <c r="K1009" t="s">
        <v>79</v>
      </c>
      <c r="L1009" t="s">
        <v>51</v>
      </c>
      <c r="M1009" t="s">
        <v>53</v>
      </c>
      <c r="N1009">
        <v>323360</v>
      </c>
      <c r="O1009" t="s">
        <v>53</v>
      </c>
      <c r="P1009" t="s">
        <v>54</v>
      </c>
      <c r="Q1009" t="s">
        <v>138</v>
      </c>
      <c r="R1009" t="s">
        <v>56</v>
      </c>
      <c r="S1009" t="s">
        <v>630</v>
      </c>
      <c r="T1009" t="s">
        <v>73</v>
      </c>
      <c r="U1009" t="s">
        <v>101</v>
      </c>
      <c r="V1009">
        <v>0.45768399999999998</v>
      </c>
      <c r="W1009" t="s">
        <v>53</v>
      </c>
      <c r="X1009" t="s">
        <v>53</v>
      </c>
      <c r="Y1009" t="s">
        <v>82</v>
      </c>
      <c r="Z1009" t="str">
        <f t="shared" si="30"/>
        <v>Mayor que 15 - hasta 20</v>
      </c>
      <c r="AA1009">
        <f t="shared" si="31"/>
        <v>1</v>
      </c>
      <c r="AB1009">
        <v>76109</v>
      </c>
      <c r="AC1009" t="s">
        <v>619</v>
      </c>
      <c r="AD1009" t="s">
        <v>911</v>
      </c>
      <c r="AE1009">
        <v>0</v>
      </c>
      <c r="AF1009" t="s">
        <v>63</v>
      </c>
      <c r="AG1009">
        <v>0</v>
      </c>
      <c r="AH1009" t="s">
        <v>619</v>
      </c>
      <c r="AI1009" t="s">
        <v>620</v>
      </c>
      <c r="AJ1009">
        <v>4.8066000000000004</v>
      </c>
      <c r="AK1009" t="s">
        <v>85</v>
      </c>
      <c r="AL1009">
        <v>119.219509</v>
      </c>
      <c r="AM1009" s="4" t="s">
        <v>64</v>
      </c>
      <c r="AN1009" s="5">
        <v>83.814841379728719</v>
      </c>
      <c r="AO1009" s="4" t="s">
        <v>65</v>
      </c>
      <c r="AP1009" s="6">
        <v>38</v>
      </c>
      <c r="AQ1009">
        <v>3</v>
      </c>
      <c r="AR1009">
        <v>1287.600017</v>
      </c>
      <c r="AS1009" t="s">
        <v>66</v>
      </c>
      <c r="AT1009" t="s">
        <v>53</v>
      </c>
    </row>
    <row r="1010" spans="1:46">
      <c r="A1010">
        <v>61</v>
      </c>
      <c r="B1010" t="s">
        <v>46</v>
      </c>
      <c r="C1010">
        <v>76</v>
      </c>
      <c r="D1010">
        <v>111</v>
      </c>
      <c r="E1010" t="s">
        <v>1347</v>
      </c>
      <c r="F1010" t="s">
        <v>1339</v>
      </c>
      <c r="G1010">
        <v>76111</v>
      </c>
      <c r="H1010">
        <v>76111</v>
      </c>
      <c r="I1010" t="s">
        <v>49</v>
      </c>
      <c r="J1010">
        <v>7601</v>
      </c>
      <c r="K1010" t="s">
        <v>409</v>
      </c>
      <c r="L1010" t="s">
        <v>51</v>
      </c>
      <c r="M1010" t="s">
        <v>53</v>
      </c>
      <c r="N1010">
        <v>133322</v>
      </c>
      <c r="O1010" t="s">
        <v>53</v>
      </c>
      <c r="P1010" t="s">
        <v>54</v>
      </c>
      <c r="Q1010" t="s">
        <v>210</v>
      </c>
      <c r="R1010" t="s">
        <v>294</v>
      </c>
      <c r="S1010" t="s">
        <v>57</v>
      </c>
      <c r="T1010" t="s">
        <v>58</v>
      </c>
      <c r="U1010" t="s">
        <v>59</v>
      </c>
      <c r="V1010">
        <v>0.42163499999999998</v>
      </c>
      <c r="W1010" t="s">
        <v>53</v>
      </c>
      <c r="X1010" t="s">
        <v>53</v>
      </c>
      <c r="Y1010" t="s">
        <v>187</v>
      </c>
      <c r="Z1010" t="str">
        <f t="shared" si="30"/>
        <v>Mayor que 80 - hasta 100</v>
      </c>
      <c r="AA1010">
        <f t="shared" si="31"/>
        <v>1</v>
      </c>
      <c r="AB1010">
        <v>76111</v>
      </c>
      <c r="AC1010" t="s">
        <v>619</v>
      </c>
      <c r="AD1010" t="s">
        <v>1348</v>
      </c>
      <c r="AE1010">
        <v>0</v>
      </c>
      <c r="AF1010" t="s">
        <v>63</v>
      </c>
      <c r="AG1010">
        <v>0</v>
      </c>
      <c r="AH1010" t="s">
        <v>619</v>
      </c>
      <c r="AI1010" t="s">
        <v>620</v>
      </c>
      <c r="AJ1010">
        <v>1.4235679999999999</v>
      </c>
      <c r="AK1010" t="s">
        <v>76</v>
      </c>
      <c r="AL1010">
        <v>71.498485000000002</v>
      </c>
      <c r="AM1010" s="4" t="s">
        <v>64</v>
      </c>
      <c r="AN1010" s="5">
        <v>28970.386918555025</v>
      </c>
      <c r="AO1010" s="4" t="s">
        <v>65</v>
      </c>
      <c r="AP1010" s="6">
        <v>2402</v>
      </c>
      <c r="AQ1010">
        <v>4</v>
      </c>
      <c r="AR1010">
        <v>24584.901292999999</v>
      </c>
      <c r="AS1010" t="s">
        <v>66</v>
      </c>
      <c r="AT1010" t="s">
        <v>53</v>
      </c>
    </row>
    <row r="1011" spans="1:46">
      <c r="A1011">
        <v>62</v>
      </c>
      <c r="B1011" t="s">
        <v>46</v>
      </c>
      <c r="C1011">
        <v>76</v>
      </c>
      <c r="D1011">
        <v>113</v>
      </c>
      <c r="E1011" t="s">
        <v>1349</v>
      </c>
      <c r="F1011" t="s">
        <v>1339</v>
      </c>
      <c r="G1011">
        <v>76113</v>
      </c>
      <c r="H1011">
        <v>76113</v>
      </c>
      <c r="I1011" t="s">
        <v>49</v>
      </c>
      <c r="J1011">
        <v>7601</v>
      </c>
      <c r="K1011" t="s">
        <v>409</v>
      </c>
      <c r="L1011" t="s">
        <v>69</v>
      </c>
      <c r="M1011" t="s">
        <v>53</v>
      </c>
      <c r="N1011">
        <v>26020</v>
      </c>
      <c r="O1011" t="s">
        <v>53</v>
      </c>
      <c r="P1011" t="s">
        <v>70</v>
      </c>
      <c r="Q1011" t="s">
        <v>118</v>
      </c>
      <c r="R1011" t="s">
        <v>105</v>
      </c>
      <c r="S1011" t="s">
        <v>57</v>
      </c>
      <c r="T1011" t="s">
        <v>58</v>
      </c>
      <c r="U1011" t="s">
        <v>119</v>
      </c>
      <c r="V1011">
        <v>0.55208299999999999</v>
      </c>
      <c r="W1011" t="s">
        <v>53</v>
      </c>
      <c r="X1011" t="s">
        <v>53</v>
      </c>
      <c r="Y1011" t="s">
        <v>165</v>
      </c>
      <c r="Z1011" t="str">
        <f t="shared" si="30"/>
        <v>Mayor que 60 - hasta 70</v>
      </c>
      <c r="AA1011">
        <f t="shared" si="31"/>
        <v>1</v>
      </c>
      <c r="AB1011">
        <v>76113</v>
      </c>
      <c r="AC1011" t="s">
        <v>619</v>
      </c>
      <c r="AD1011" t="s">
        <v>1343</v>
      </c>
      <c r="AE1011">
        <v>0.39073099999999999</v>
      </c>
      <c r="AF1011" t="s">
        <v>63</v>
      </c>
      <c r="AG1011">
        <v>18.095331999999999</v>
      </c>
      <c r="AH1011" t="s">
        <v>61</v>
      </c>
      <c r="AI1011" t="s">
        <v>133</v>
      </c>
      <c r="AJ1011">
        <v>1.8984639999999999</v>
      </c>
      <c r="AK1011" t="s">
        <v>76</v>
      </c>
      <c r="AL1011">
        <v>73.664884999999998</v>
      </c>
      <c r="AM1011" s="4" t="s">
        <v>97</v>
      </c>
      <c r="AN1011" s="5">
        <v>19385.715798505378</v>
      </c>
      <c r="AO1011" s="4" t="s">
        <v>65</v>
      </c>
      <c r="AP1011" s="6">
        <v>2516</v>
      </c>
      <c r="AQ1011">
        <v>3</v>
      </c>
      <c r="AR1011">
        <v>12723.242808000001</v>
      </c>
      <c r="AS1011" t="s">
        <v>66</v>
      </c>
      <c r="AT1011" t="s">
        <v>53</v>
      </c>
    </row>
    <row r="1012" spans="1:46">
      <c r="A1012">
        <v>63</v>
      </c>
      <c r="B1012" t="s">
        <v>46</v>
      </c>
      <c r="C1012">
        <v>76</v>
      </c>
      <c r="D1012">
        <v>122</v>
      </c>
      <c r="E1012" t="s">
        <v>1350</v>
      </c>
      <c r="F1012" t="s">
        <v>1339</v>
      </c>
      <c r="G1012">
        <v>76122</v>
      </c>
      <c r="H1012">
        <v>76122</v>
      </c>
      <c r="I1012" t="s">
        <v>49</v>
      </c>
      <c r="J1012">
        <v>7604</v>
      </c>
      <c r="K1012" t="s">
        <v>68</v>
      </c>
      <c r="L1012" t="s">
        <v>91</v>
      </c>
      <c r="M1012" t="s">
        <v>53</v>
      </c>
      <c r="N1012">
        <v>29542</v>
      </c>
      <c r="O1012" t="s">
        <v>53</v>
      </c>
      <c r="P1012" t="s">
        <v>92</v>
      </c>
      <c r="Q1012" t="s">
        <v>71</v>
      </c>
      <c r="R1012" t="s">
        <v>122</v>
      </c>
      <c r="S1012" t="s">
        <v>57</v>
      </c>
      <c r="T1012" t="s">
        <v>73</v>
      </c>
      <c r="U1012" t="s">
        <v>59</v>
      </c>
      <c r="V1012">
        <v>0.31818200000000002</v>
      </c>
      <c r="W1012" t="s">
        <v>53</v>
      </c>
      <c r="X1012" t="s">
        <v>53</v>
      </c>
      <c r="Y1012" t="s">
        <v>167</v>
      </c>
      <c r="Z1012" t="str">
        <f t="shared" si="30"/>
        <v>Mayor que 50 - hasta 60</v>
      </c>
      <c r="AA1012">
        <f t="shared" si="31"/>
        <v>1</v>
      </c>
      <c r="AB1012">
        <v>76122</v>
      </c>
      <c r="AC1012" t="s">
        <v>1159</v>
      </c>
      <c r="AD1012" t="s">
        <v>1168</v>
      </c>
      <c r="AE1012">
        <v>0.62182999999999999</v>
      </c>
      <c r="AF1012" t="s">
        <v>63</v>
      </c>
      <c r="AG1012">
        <v>27.103657999999999</v>
      </c>
      <c r="AH1012" t="s">
        <v>61</v>
      </c>
      <c r="AI1012" t="s">
        <v>133</v>
      </c>
      <c r="AJ1012">
        <v>1.0955619999999999</v>
      </c>
      <c r="AK1012" t="s">
        <v>76</v>
      </c>
      <c r="AL1012">
        <v>43.175944999999999</v>
      </c>
      <c r="AM1012" s="4" t="s">
        <v>64</v>
      </c>
      <c r="AN1012" s="5">
        <v>8618.3170711392049</v>
      </c>
      <c r="AO1012" s="4" t="s">
        <v>65</v>
      </c>
      <c r="AP1012" s="6">
        <v>1259</v>
      </c>
      <c r="AQ1012">
        <v>3</v>
      </c>
      <c r="AR1012">
        <v>8856.9408839999996</v>
      </c>
      <c r="AS1012" t="s">
        <v>66</v>
      </c>
      <c r="AT1012" t="s">
        <v>53</v>
      </c>
    </row>
    <row r="1013" spans="1:46">
      <c r="A1013">
        <v>64</v>
      </c>
      <c r="B1013" t="s">
        <v>46</v>
      </c>
      <c r="C1013">
        <v>76</v>
      </c>
      <c r="D1013">
        <v>126</v>
      </c>
      <c r="E1013" t="s">
        <v>1351</v>
      </c>
      <c r="F1013" t="s">
        <v>1339</v>
      </c>
      <c r="G1013">
        <v>76126</v>
      </c>
      <c r="H1013">
        <v>76126</v>
      </c>
      <c r="I1013" t="s">
        <v>49</v>
      </c>
      <c r="J1013">
        <v>7601</v>
      </c>
      <c r="K1013" t="s">
        <v>409</v>
      </c>
      <c r="L1013" t="s">
        <v>69</v>
      </c>
      <c r="M1013" t="s">
        <v>53</v>
      </c>
      <c r="N1013">
        <v>19348</v>
      </c>
      <c r="O1013" t="s">
        <v>53</v>
      </c>
      <c r="P1013" t="s">
        <v>92</v>
      </c>
      <c r="Q1013" t="s">
        <v>71</v>
      </c>
      <c r="R1013" t="s">
        <v>72</v>
      </c>
      <c r="S1013" t="s">
        <v>57</v>
      </c>
      <c r="T1013" t="s">
        <v>73</v>
      </c>
      <c r="U1013" t="s">
        <v>119</v>
      </c>
      <c r="V1013">
        <v>0.199046</v>
      </c>
      <c r="W1013" t="s">
        <v>53</v>
      </c>
      <c r="X1013" t="s">
        <v>53</v>
      </c>
      <c r="Y1013" t="s">
        <v>187</v>
      </c>
      <c r="Z1013" t="str">
        <f t="shared" si="30"/>
        <v>Mayor que 80 - hasta 100</v>
      </c>
      <c r="AA1013">
        <f t="shared" si="31"/>
        <v>1</v>
      </c>
      <c r="AB1013">
        <v>76126</v>
      </c>
      <c r="AC1013" t="s">
        <v>619</v>
      </c>
      <c r="AD1013" t="s">
        <v>1348</v>
      </c>
      <c r="AE1013">
        <v>0.94506100000000004</v>
      </c>
      <c r="AF1013" t="s">
        <v>63</v>
      </c>
      <c r="AG1013">
        <v>36.123254000000003</v>
      </c>
      <c r="AH1013" t="s">
        <v>619</v>
      </c>
      <c r="AI1013" t="s">
        <v>620</v>
      </c>
      <c r="AJ1013">
        <v>1.9061129999999999</v>
      </c>
      <c r="AK1013" t="s">
        <v>76</v>
      </c>
      <c r="AL1013">
        <v>89.603362000000004</v>
      </c>
      <c r="AM1013" s="4" t="s">
        <v>97</v>
      </c>
      <c r="AN1013" s="5">
        <v>250.92243803881598</v>
      </c>
      <c r="AO1013" s="4" t="s">
        <v>65</v>
      </c>
      <c r="AP1013" s="6">
        <v>14</v>
      </c>
      <c r="AQ1013">
        <v>2</v>
      </c>
      <c r="AR1013">
        <v>236.90865400000001</v>
      </c>
      <c r="AS1013" t="s">
        <v>66</v>
      </c>
      <c r="AT1013" t="s">
        <v>53</v>
      </c>
    </row>
    <row r="1014" spans="1:46">
      <c r="A1014">
        <v>65</v>
      </c>
      <c r="B1014" t="s">
        <v>46</v>
      </c>
      <c r="C1014">
        <v>76</v>
      </c>
      <c r="D1014">
        <v>130</v>
      </c>
      <c r="E1014" t="s">
        <v>300</v>
      </c>
      <c r="F1014" t="s">
        <v>1339</v>
      </c>
      <c r="G1014">
        <v>76130</v>
      </c>
      <c r="H1014">
        <v>76130</v>
      </c>
      <c r="I1014" t="s">
        <v>49</v>
      </c>
      <c r="J1014">
        <v>7605</v>
      </c>
      <c r="K1014" t="s">
        <v>297</v>
      </c>
      <c r="L1014" t="s">
        <v>51</v>
      </c>
      <c r="M1014" t="s">
        <v>53</v>
      </c>
      <c r="N1014">
        <v>93932</v>
      </c>
      <c r="O1014" t="s">
        <v>53</v>
      </c>
      <c r="P1014" t="s">
        <v>92</v>
      </c>
      <c r="Q1014" t="s">
        <v>125</v>
      </c>
      <c r="R1014" t="s">
        <v>105</v>
      </c>
      <c r="S1014" t="s">
        <v>57</v>
      </c>
      <c r="T1014" t="s">
        <v>58</v>
      </c>
      <c r="U1014" t="s">
        <v>81</v>
      </c>
      <c r="V1014">
        <v>0.603711</v>
      </c>
      <c r="W1014" t="s">
        <v>53</v>
      </c>
      <c r="X1014" t="s">
        <v>53</v>
      </c>
      <c r="Y1014" t="s">
        <v>165</v>
      </c>
      <c r="Z1014" t="str">
        <f t="shared" si="30"/>
        <v>Mayor que 60 - hasta 70</v>
      </c>
      <c r="AA1014">
        <f t="shared" si="31"/>
        <v>1</v>
      </c>
      <c r="AB1014">
        <v>76130</v>
      </c>
      <c r="AC1014" t="s">
        <v>619</v>
      </c>
      <c r="AD1014" t="s">
        <v>300</v>
      </c>
      <c r="AE1014">
        <v>0</v>
      </c>
      <c r="AF1014" t="s">
        <v>63</v>
      </c>
      <c r="AG1014">
        <v>0</v>
      </c>
      <c r="AH1014" t="s">
        <v>619</v>
      </c>
      <c r="AI1014" t="s">
        <v>620</v>
      </c>
      <c r="AJ1014">
        <v>0.67184600000000005</v>
      </c>
      <c r="AK1014" t="s">
        <v>63</v>
      </c>
      <c r="AL1014">
        <v>28.648022999999998</v>
      </c>
      <c r="AM1014" s="4" t="s">
        <v>64</v>
      </c>
      <c r="AN1014" s="5">
        <v>17300.304766391189</v>
      </c>
      <c r="AO1014" s="4" t="s">
        <v>65</v>
      </c>
      <c r="AP1014" s="6">
        <v>2460</v>
      </c>
      <c r="AQ1014">
        <v>1</v>
      </c>
      <c r="AR1014">
        <v>18205.591647000001</v>
      </c>
      <c r="AS1014" t="s">
        <v>66</v>
      </c>
      <c r="AT1014" t="s">
        <v>53</v>
      </c>
    </row>
    <row r="1015" spans="1:46">
      <c r="A1015">
        <v>66</v>
      </c>
      <c r="B1015" t="s">
        <v>46</v>
      </c>
      <c r="C1015">
        <v>76</v>
      </c>
      <c r="D1015">
        <v>147</v>
      </c>
      <c r="E1015" t="s">
        <v>923</v>
      </c>
      <c r="F1015" t="s">
        <v>1339</v>
      </c>
      <c r="G1015">
        <v>76147</v>
      </c>
      <c r="H1015">
        <v>76147</v>
      </c>
      <c r="I1015" t="s">
        <v>49</v>
      </c>
      <c r="J1015">
        <v>7602</v>
      </c>
      <c r="K1015" t="s">
        <v>112</v>
      </c>
      <c r="L1015" t="s">
        <v>51</v>
      </c>
      <c r="M1015" t="s">
        <v>53</v>
      </c>
      <c r="N1015">
        <v>142902</v>
      </c>
      <c r="O1015" t="s">
        <v>53</v>
      </c>
      <c r="P1015" t="s">
        <v>54</v>
      </c>
      <c r="Q1015" t="s">
        <v>134</v>
      </c>
      <c r="R1015" t="s">
        <v>72</v>
      </c>
      <c r="S1015" t="s">
        <v>57</v>
      </c>
      <c r="T1015" t="s">
        <v>58</v>
      </c>
      <c r="U1015" t="s">
        <v>81</v>
      </c>
      <c r="V1015">
        <v>0.30152099999999998</v>
      </c>
      <c r="W1015" t="s">
        <v>53</v>
      </c>
      <c r="X1015" t="s">
        <v>53</v>
      </c>
      <c r="Y1015" t="s">
        <v>127</v>
      </c>
      <c r="Z1015" t="str">
        <f t="shared" si="30"/>
        <v>Mayor que 70 - hasta 80</v>
      </c>
      <c r="AA1015">
        <f t="shared" si="31"/>
        <v>1</v>
      </c>
      <c r="AB1015">
        <v>76147</v>
      </c>
      <c r="AC1015" t="s">
        <v>619</v>
      </c>
      <c r="AD1015" t="s">
        <v>923</v>
      </c>
      <c r="AE1015">
        <v>0</v>
      </c>
      <c r="AF1015" t="s">
        <v>63</v>
      </c>
      <c r="AG1015">
        <v>0</v>
      </c>
      <c r="AH1015" t="s">
        <v>555</v>
      </c>
      <c r="AI1015" t="s">
        <v>557</v>
      </c>
      <c r="AJ1015">
        <v>0.88507800000000003</v>
      </c>
      <c r="AK1015" t="s">
        <v>63</v>
      </c>
      <c r="AL1015">
        <v>35.684775999999999</v>
      </c>
      <c r="AM1015" s="4" t="s">
        <v>64</v>
      </c>
      <c r="AN1015" s="5">
        <v>12659.327845977825</v>
      </c>
      <c r="AO1015" s="4" t="s">
        <v>65</v>
      </c>
      <c r="AP1015" s="6">
        <v>927</v>
      </c>
      <c r="AQ1015">
        <v>4</v>
      </c>
      <c r="AR1015">
        <v>13424.583504</v>
      </c>
      <c r="AS1015" t="s">
        <v>66</v>
      </c>
      <c r="AT1015" t="s">
        <v>53</v>
      </c>
    </row>
    <row r="1016" spans="1:46">
      <c r="A1016">
        <v>97</v>
      </c>
      <c r="B1016" t="s">
        <v>46</v>
      </c>
      <c r="C1016">
        <v>76</v>
      </c>
      <c r="D1016">
        <v>233</v>
      </c>
      <c r="E1016" t="s">
        <v>1352</v>
      </c>
      <c r="F1016" t="s">
        <v>1339</v>
      </c>
      <c r="G1016">
        <v>76233</v>
      </c>
      <c r="H1016">
        <v>76233</v>
      </c>
      <c r="I1016" t="s">
        <v>49</v>
      </c>
      <c r="J1016">
        <v>7605</v>
      </c>
      <c r="K1016" t="s">
        <v>297</v>
      </c>
      <c r="L1016" t="s">
        <v>80</v>
      </c>
      <c r="M1016" t="s">
        <v>53</v>
      </c>
      <c r="N1016">
        <v>49658</v>
      </c>
      <c r="O1016" t="s">
        <v>53</v>
      </c>
      <c r="P1016" t="s">
        <v>92</v>
      </c>
      <c r="Q1016" t="s">
        <v>71</v>
      </c>
      <c r="R1016" t="s">
        <v>122</v>
      </c>
      <c r="S1016" t="s">
        <v>57</v>
      </c>
      <c r="T1016" t="s">
        <v>73</v>
      </c>
      <c r="U1016" t="s">
        <v>119</v>
      </c>
      <c r="V1016">
        <v>0.44300600000000001</v>
      </c>
      <c r="W1016" t="s">
        <v>53</v>
      </c>
      <c r="X1016" t="s">
        <v>53</v>
      </c>
      <c r="Y1016" t="s">
        <v>87</v>
      </c>
      <c r="Z1016" t="str">
        <f t="shared" si="30"/>
        <v>Mayor que 40 - hasta 50</v>
      </c>
      <c r="AA1016">
        <f t="shared" si="31"/>
        <v>1</v>
      </c>
      <c r="AB1016">
        <v>76233</v>
      </c>
      <c r="AC1016" t="s">
        <v>619</v>
      </c>
      <c r="AD1016" t="s">
        <v>1340</v>
      </c>
      <c r="AE1016">
        <v>1.511469</v>
      </c>
      <c r="AF1016" t="s">
        <v>76</v>
      </c>
      <c r="AG1016">
        <v>50.255844000000003</v>
      </c>
      <c r="AH1016" t="s">
        <v>619</v>
      </c>
      <c r="AI1016" t="s">
        <v>620</v>
      </c>
      <c r="AJ1016">
        <v>1.5224169999999999</v>
      </c>
      <c r="AK1016" t="s">
        <v>76</v>
      </c>
      <c r="AL1016">
        <v>49.014423000000001</v>
      </c>
      <c r="AM1016" s="4" t="s">
        <v>64</v>
      </c>
      <c r="AN1016" s="5">
        <v>3958.0226176154856</v>
      </c>
      <c r="AO1016" s="4" t="s">
        <v>65</v>
      </c>
      <c r="AP1016" s="6">
        <v>1358</v>
      </c>
      <c r="AQ1016">
        <v>4</v>
      </c>
      <c r="AR1016">
        <v>4686.7222549999997</v>
      </c>
      <c r="AS1016" t="s">
        <v>66</v>
      </c>
      <c r="AT1016" t="s">
        <v>53</v>
      </c>
    </row>
    <row r="1017" spans="1:46">
      <c r="A1017">
        <v>67</v>
      </c>
      <c r="B1017" t="s">
        <v>46</v>
      </c>
      <c r="C1017">
        <v>76</v>
      </c>
      <c r="D1017">
        <v>243</v>
      </c>
      <c r="E1017" t="s">
        <v>1353</v>
      </c>
      <c r="F1017" t="s">
        <v>1339</v>
      </c>
      <c r="G1017">
        <v>76243</v>
      </c>
      <c r="H1017">
        <v>76243</v>
      </c>
      <c r="I1017" t="s">
        <v>49</v>
      </c>
      <c r="J1017">
        <v>7602</v>
      </c>
      <c r="K1017" t="s">
        <v>112</v>
      </c>
      <c r="L1017" t="s">
        <v>80</v>
      </c>
      <c r="M1017" t="s">
        <v>53</v>
      </c>
      <c r="N1017">
        <v>9137</v>
      </c>
      <c r="O1017" t="s">
        <v>53</v>
      </c>
      <c r="P1017" t="s">
        <v>70</v>
      </c>
      <c r="Q1017" t="s">
        <v>71</v>
      </c>
      <c r="R1017" t="s">
        <v>56</v>
      </c>
      <c r="S1017" t="s">
        <v>57</v>
      </c>
      <c r="T1017" t="s">
        <v>73</v>
      </c>
      <c r="U1017" t="s">
        <v>59</v>
      </c>
      <c r="V1017">
        <v>0.40343899999999999</v>
      </c>
      <c r="W1017" t="s">
        <v>53</v>
      </c>
      <c r="X1017" t="s">
        <v>53</v>
      </c>
      <c r="Y1017" t="s">
        <v>102</v>
      </c>
      <c r="Z1017" t="str">
        <f t="shared" si="30"/>
        <v>Mayor que 20 - hasta 30</v>
      </c>
      <c r="AA1017">
        <f t="shared" si="31"/>
        <v>1</v>
      </c>
      <c r="AB1017">
        <v>76243</v>
      </c>
      <c r="AC1017" t="s">
        <v>555</v>
      </c>
      <c r="AD1017" t="s">
        <v>556</v>
      </c>
      <c r="AE1017">
        <v>1.3362050000000001</v>
      </c>
      <c r="AF1017" t="s">
        <v>76</v>
      </c>
      <c r="AG1017">
        <v>28.911984</v>
      </c>
      <c r="AH1017" t="s">
        <v>555</v>
      </c>
      <c r="AI1017" t="s">
        <v>557</v>
      </c>
      <c r="AJ1017">
        <v>2.1323650000000001</v>
      </c>
      <c r="AK1017" t="s">
        <v>77</v>
      </c>
      <c r="AL1017">
        <v>67.921024000000003</v>
      </c>
      <c r="AM1017" s="4" t="s">
        <v>65</v>
      </c>
      <c r="AN1017" s="5">
        <v>8572.9912222186977</v>
      </c>
      <c r="AO1017" s="4" t="s">
        <v>65</v>
      </c>
      <c r="AP1017" s="6">
        <v>2100</v>
      </c>
      <c r="AQ1017">
        <v>3</v>
      </c>
      <c r="AR1017">
        <v>8480.6520650000002</v>
      </c>
      <c r="AS1017" t="s">
        <v>66</v>
      </c>
      <c r="AT1017" t="s">
        <v>53</v>
      </c>
    </row>
    <row r="1018" spans="1:46">
      <c r="A1018">
        <v>68</v>
      </c>
      <c r="B1018" t="s">
        <v>46</v>
      </c>
      <c r="C1018">
        <v>76</v>
      </c>
      <c r="D1018">
        <v>246</v>
      </c>
      <c r="E1018" t="s">
        <v>1354</v>
      </c>
      <c r="F1018" t="s">
        <v>1339</v>
      </c>
      <c r="G1018">
        <v>76246</v>
      </c>
      <c r="H1018">
        <v>76246</v>
      </c>
      <c r="I1018" t="s">
        <v>49</v>
      </c>
      <c r="J1018">
        <v>7602</v>
      </c>
      <c r="K1018" t="s">
        <v>112</v>
      </c>
      <c r="L1018" t="s">
        <v>80</v>
      </c>
      <c r="M1018" t="s">
        <v>53</v>
      </c>
      <c r="N1018">
        <v>7021</v>
      </c>
      <c r="O1018" t="s">
        <v>53</v>
      </c>
      <c r="P1018" t="s">
        <v>70</v>
      </c>
      <c r="Q1018" t="s">
        <v>71</v>
      </c>
      <c r="R1018" t="s">
        <v>122</v>
      </c>
      <c r="S1018" t="s">
        <v>57</v>
      </c>
      <c r="T1018" t="s">
        <v>73</v>
      </c>
      <c r="U1018" t="s">
        <v>119</v>
      </c>
      <c r="V1018">
        <v>0.44672800000000001</v>
      </c>
      <c r="W1018" t="s">
        <v>53</v>
      </c>
      <c r="X1018" t="s">
        <v>53</v>
      </c>
      <c r="Y1018" t="s">
        <v>277</v>
      </c>
      <c r="Z1018" t="str">
        <f t="shared" si="30"/>
        <v>Mayor que 10 - hasta 15</v>
      </c>
      <c r="AA1018">
        <f t="shared" si="31"/>
        <v>1</v>
      </c>
      <c r="AB1018">
        <v>76246</v>
      </c>
      <c r="AC1018" t="s">
        <v>619</v>
      </c>
      <c r="AD1018" t="s">
        <v>923</v>
      </c>
      <c r="AE1018">
        <v>2.0757379999999999</v>
      </c>
      <c r="AF1018" t="s">
        <v>77</v>
      </c>
      <c r="AG1018">
        <v>49.501429000000002</v>
      </c>
      <c r="AH1018" t="s">
        <v>555</v>
      </c>
      <c r="AI1018" t="s">
        <v>557</v>
      </c>
      <c r="AJ1018">
        <v>2.8635630000000001</v>
      </c>
      <c r="AK1018" t="s">
        <v>77</v>
      </c>
      <c r="AL1018">
        <v>84.620519000000002</v>
      </c>
      <c r="AM1018" s="4" t="s">
        <v>64</v>
      </c>
      <c r="AN1018" s="5">
        <v>200.71163916099874</v>
      </c>
      <c r="AO1018" s="4" t="s">
        <v>65</v>
      </c>
      <c r="AP1018" s="6">
        <v>6</v>
      </c>
      <c r="AQ1018">
        <v>3</v>
      </c>
      <c r="AR1018">
        <v>77.650288000000003</v>
      </c>
      <c r="AS1018" t="s">
        <v>66</v>
      </c>
      <c r="AT1018" t="s">
        <v>53</v>
      </c>
    </row>
    <row r="1019" spans="1:46">
      <c r="A1019">
        <v>69</v>
      </c>
      <c r="B1019" t="s">
        <v>46</v>
      </c>
      <c r="C1019">
        <v>76</v>
      </c>
      <c r="D1019">
        <v>248</v>
      </c>
      <c r="E1019" t="s">
        <v>1355</v>
      </c>
      <c r="F1019" t="s">
        <v>1339</v>
      </c>
      <c r="G1019">
        <v>76248</v>
      </c>
      <c r="H1019">
        <v>76248</v>
      </c>
      <c r="I1019" t="s">
        <v>49</v>
      </c>
      <c r="J1019">
        <v>7601</v>
      </c>
      <c r="K1019" t="s">
        <v>409</v>
      </c>
      <c r="L1019" t="s">
        <v>91</v>
      </c>
      <c r="M1019" t="s">
        <v>53</v>
      </c>
      <c r="N1019">
        <v>57849</v>
      </c>
      <c r="O1019" t="s">
        <v>53</v>
      </c>
      <c r="P1019" t="s">
        <v>92</v>
      </c>
      <c r="Q1019" t="s">
        <v>118</v>
      </c>
      <c r="R1019" t="s">
        <v>93</v>
      </c>
      <c r="S1019" t="s">
        <v>57</v>
      </c>
      <c r="T1019" t="s">
        <v>58</v>
      </c>
      <c r="U1019" t="s">
        <v>81</v>
      </c>
      <c r="V1019">
        <v>0.38223699999999999</v>
      </c>
      <c r="W1019" t="s">
        <v>53</v>
      </c>
      <c r="X1019" t="s">
        <v>53</v>
      </c>
      <c r="Y1019" t="s">
        <v>127</v>
      </c>
      <c r="Z1019" t="str">
        <f t="shared" si="30"/>
        <v>Mayor que 70 - hasta 80</v>
      </c>
      <c r="AA1019">
        <f t="shared" si="31"/>
        <v>1</v>
      </c>
      <c r="AB1019">
        <v>76248</v>
      </c>
      <c r="AC1019" t="s">
        <v>619</v>
      </c>
      <c r="AD1019" t="s">
        <v>1355</v>
      </c>
      <c r="AE1019">
        <v>0</v>
      </c>
      <c r="AF1019" t="s">
        <v>63</v>
      </c>
      <c r="AG1019">
        <v>0</v>
      </c>
      <c r="AH1019" t="s">
        <v>619</v>
      </c>
      <c r="AI1019" t="s">
        <v>620</v>
      </c>
      <c r="AJ1019">
        <v>0.93966400000000005</v>
      </c>
      <c r="AK1019" t="s">
        <v>63</v>
      </c>
      <c r="AL1019">
        <v>47.288938999999999</v>
      </c>
      <c r="AM1019" s="4" t="s">
        <v>64</v>
      </c>
      <c r="AN1019" s="5">
        <v>17398.731763958112</v>
      </c>
      <c r="AO1019" s="4" t="s">
        <v>65</v>
      </c>
      <c r="AP1019" s="6">
        <v>2059</v>
      </c>
      <c r="AQ1019">
        <v>1</v>
      </c>
      <c r="AR1019">
        <v>14322.706428</v>
      </c>
      <c r="AS1019" t="s">
        <v>66</v>
      </c>
      <c r="AT1019" t="s">
        <v>53</v>
      </c>
    </row>
    <row r="1020" spans="1:46">
      <c r="A1020">
        <v>70</v>
      </c>
      <c r="B1020" t="s">
        <v>46</v>
      </c>
      <c r="C1020">
        <v>76</v>
      </c>
      <c r="D1020">
        <v>250</v>
      </c>
      <c r="E1020" t="s">
        <v>1356</v>
      </c>
      <c r="F1020" t="s">
        <v>1339</v>
      </c>
      <c r="G1020">
        <v>76250</v>
      </c>
      <c r="H1020">
        <v>76250</v>
      </c>
      <c r="I1020" t="s">
        <v>49</v>
      </c>
      <c r="J1020">
        <v>7602</v>
      </c>
      <c r="K1020" t="s">
        <v>112</v>
      </c>
      <c r="L1020" t="s">
        <v>69</v>
      </c>
      <c r="M1020" t="s">
        <v>53</v>
      </c>
      <c r="N1020">
        <v>9177</v>
      </c>
      <c r="O1020" t="s">
        <v>53</v>
      </c>
      <c r="P1020" t="s">
        <v>70</v>
      </c>
      <c r="Q1020" t="s">
        <v>71</v>
      </c>
      <c r="R1020" t="s">
        <v>93</v>
      </c>
      <c r="S1020" t="s">
        <v>57</v>
      </c>
      <c r="T1020" t="s">
        <v>73</v>
      </c>
      <c r="U1020" t="s">
        <v>119</v>
      </c>
      <c r="V1020">
        <v>0.44157000000000002</v>
      </c>
      <c r="W1020" t="s">
        <v>53</v>
      </c>
      <c r="X1020" t="s">
        <v>53</v>
      </c>
      <c r="Y1020" t="s">
        <v>277</v>
      </c>
      <c r="Z1020" t="str">
        <f t="shared" si="30"/>
        <v>Mayor que 10 - hasta 15</v>
      </c>
      <c r="AA1020">
        <f t="shared" si="31"/>
        <v>1</v>
      </c>
      <c r="AB1020">
        <v>76250</v>
      </c>
      <c r="AC1020" t="s">
        <v>619</v>
      </c>
      <c r="AD1020" t="s">
        <v>1357</v>
      </c>
      <c r="AE1020">
        <v>0.60382199999999997</v>
      </c>
      <c r="AF1020" t="s">
        <v>63</v>
      </c>
      <c r="AG1020">
        <v>19.306602000000002</v>
      </c>
      <c r="AH1020" t="s">
        <v>555</v>
      </c>
      <c r="AI1020" t="s">
        <v>557</v>
      </c>
      <c r="AJ1020">
        <v>2.137473</v>
      </c>
      <c r="AK1020" t="s">
        <v>77</v>
      </c>
      <c r="AL1020">
        <v>95.346002999999996</v>
      </c>
      <c r="AM1020" s="4" t="s">
        <v>64</v>
      </c>
      <c r="AN1020" s="5">
        <v>1497.0258221296881</v>
      </c>
      <c r="AO1020" s="4" t="s">
        <v>65</v>
      </c>
      <c r="AP1020" s="6">
        <v>43</v>
      </c>
      <c r="AQ1020">
        <v>4</v>
      </c>
      <c r="AR1020">
        <v>1620.3553770000001</v>
      </c>
      <c r="AS1020" t="s">
        <v>66</v>
      </c>
      <c r="AT1020" t="s">
        <v>53</v>
      </c>
    </row>
    <row r="1021" spans="1:46">
      <c r="A1021">
        <v>71</v>
      </c>
      <c r="B1021" t="s">
        <v>46</v>
      </c>
      <c r="C1021">
        <v>76</v>
      </c>
      <c r="D1021">
        <v>275</v>
      </c>
      <c r="E1021" t="s">
        <v>625</v>
      </c>
      <c r="F1021" t="s">
        <v>1339</v>
      </c>
      <c r="G1021">
        <v>76275</v>
      </c>
      <c r="H1021">
        <v>76275</v>
      </c>
      <c r="I1021" t="s">
        <v>49</v>
      </c>
      <c r="J1021">
        <v>7605</v>
      </c>
      <c r="K1021" t="s">
        <v>297</v>
      </c>
      <c r="L1021" t="s">
        <v>51</v>
      </c>
      <c r="M1021" t="s">
        <v>53</v>
      </c>
      <c r="N1021">
        <v>58399</v>
      </c>
      <c r="O1021" t="s">
        <v>53</v>
      </c>
      <c r="P1021" t="s">
        <v>92</v>
      </c>
      <c r="Q1021" t="s">
        <v>71</v>
      </c>
      <c r="R1021" t="s">
        <v>56</v>
      </c>
      <c r="S1021" t="s">
        <v>615</v>
      </c>
      <c r="T1021" t="s">
        <v>73</v>
      </c>
      <c r="U1021" t="s">
        <v>101</v>
      </c>
      <c r="V1021">
        <v>0.57025099999999995</v>
      </c>
      <c r="W1021" t="s">
        <v>53</v>
      </c>
      <c r="X1021" t="s">
        <v>53</v>
      </c>
      <c r="Y1021" t="s">
        <v>116</v>
      </c>
      <c r="Z1021" t="str">
        <f t="shared" si="30"/>
        <v>Mayor que 30 - hasta 40</v>
      </c>
      <c r="AA1021">
        <f t="shared" si="31"/>
        <v>1</v>
      </c>
      <c r="AB1021">
        <v>76275</v>
      </c>
      <c r="AC1021" t="s">
        <v>619</v>
      </c>
      <c r="AD1021" t="s">
        <v>625</v>
      </c>
      <c r="AE1021">
        <v>0</v>
      </c>
      <c r="AF1021" t="s">
        <v>63</v>
      </c>
      <c r="AG1021">
        <v>0</v>
      </c>
      <c r="AH1021" t="s">
        <v>619</v>
      </c>
      <c r="AI1021" t="s">
        <v>620</v>
      </c>
      <c r="AJ1021">
        <v>0.99940799999999996</v>
      </c>
      <c r="AK1021" t="s">
        <v>63</v>
      </c>
      <c r="AL1021">
        <v>43.903153000000003</v>
      </c>
      <c r="AM1021" s="4" t="s">
        <v>64</v>
      </c>
      <c r="AN1021" s="5">
        <v>11988.309894365837</v>
      </c>
      <c r="AO1021" s="4" t="s">
        <v>65</v>
      </c>
      <c r="AP1021" s="6">
        <v>2408</v>
      </c>
      <c r="AQ1021">
        <v>4</v>
      </c>
      <c r="AR1021">
        <v>10035.239090999999</v>
      </c>
      <c r="AS1021" t="s">
        <v>66</v>
      </c>
      <c r="AT1021" t="s">
        <v>53</v>
      </c>
    </row>
    <row r="1022" spans="1:46">
      <c r="A1022">
        <v>72</v>
      </c>
      <c r="B1022" t="s">
        <v>46</v>
      </c>
      <c r="C1022">
        <v>76</v>
      </c>
      <c r="D1022">
        <v>306</v>
      </c>
      <c r="E1022" t="s">
        <v>1358</v>
      </c>
      <c r="F1022" t="s">
        <v>1339</v>
      </c>
      <c r="G1022">
        <v>76306</v>
      </c>
      <c r="H1022">
        <v>76306</v>
      </c>
      <c r="I1022" t="s">
        <v>49</v>
      </c>
      <c r="J1022">
        <v>7601</v>
      </c>
      <c r="K1022" t="s">
        <v>409</v>
      </c>
      <c r="L1022" t="s">
        <v>91</v>
      </c>
      <c r="M1022" t="s">
        <v>53</v>
      </c>
      <c r="N1022">
        <v>24996</v>
      </c>
      <c r="O1022" t="s">
        <v>53</v>
      </c>
      <c r="P1022" t="s">
        <v>70</v>
      </c>
      <c r="Q1022" t="s">
        <v>71</v>
      </c>
      <c r="R1022" t="s">
        <v>122</v>
      </c>
      <c r="S1022" t="s">
        <v>57</v>
      </c>
      <c r="T1022" t="s">
        <v>58</v>
      </c>
      <c r="U1022" t="s">
        <v>81</v>
      </c>
      <c r="V1022">
        <v>0.66128699999999996</v>
      </c>
      <c r="W1022" t="s">
        <v>53</v>
      </c>
      <c r="X1022" t="s">
        <v>53</v>
      </c>
      <c r="Y1022" t="s">
        <v>165</v>
      </c>
      <c r="Z1022" t="str">
        <f t="shared" si="30"/>
        <v>Mayor que 60 - hasta 70</v>
      </c>
      <c r="AA1022">
        <f t="shared" si="31"/>
        <v>1</v>
      </c>
      <c r="AB1022">
        <v>76306</v>
      </c>
      <c r="AC1022" t="s">
        <v>619</v>
      </c>
      <c r="AD1022" t="s">
        <v>1355</v>
      </c>
      <c r="AE1022">
        <v>0.22303300000000001</v>
      </c>
      <c r="AF1022" t="s">
        <v>63</v>
      </c>
      <c r="AG1022">
        <v>8.0840619999999994</v>
      </c>
      <c r="AH1022" t="s">
        <v>619</v>
      </c>
      <c r="AI1022" t="s">
        <v>620</v>
      </c>
      <c r="AJ1022">
        <v>1.067075</v>
      </c>
      <c r="AK1022" t="s">
        <v>76</v>
      </c>
      <c r="AL1022">
        <v>55.914422999999999</v>
      </c>
      <c r="AM1022" s="4" t="s">
        <v>64</v>
      </c>
      <c r="AN1022" s="5">
        <v>5139.9253802198346</v>
      </c>
      <c r="AO1022" s="4" t="s">
        <v>65</v>
      </c>
      <c r="AP1022" s="6">
        <v>1785</v>
      </c>
      <c r="AQ1022">
        <v>2</v>
      </c>
      <c r="AR1022">
        <v>4656.9169220000003</v>
      </c>
      <c r="AS1022" t="s">
        <v>66</v>
      </c>
      <c r="AT1022" t="s">
        <v>53</v>
      </c>
    </row>
    <row r="1023" spans="1:46">
      <c r="A1023">
        <v>73</v>
      </c>
      <c r="B1023" t="s">
        <v>46</v>
      </c>
      <c r="C1023">
        <v>76</v>
      </c>
      <c r="D1023">
        <v>318</v>
      </c>
      <c r="E1023" t="s">
        <v>1359</v>
      </c>
      <c r="F1023" t="s">
        <v>1339</v>
      </c>
      <c r="G1023">
        <v>76318</v>
      </c>
      <c r="H1023">
        <v>76318</v>
      </c>
      <c r="I1023" t="s">
        <v>49</v>
      </c>
      <c r="J1023">
        <v>7601</v>
      </c>
      <c r="K1023" t="s">
        <v>409</v>
      </c>
      <c r="L1023" t="s">
        <v>91</v>
      </c>
      <c r="M1023" t="s">
        <v>53</v>
      </c>
      <c r="N1023">
        <v>35378</v>
      </c>
      <c r="O1023" t="s">
        <v>53</v>
      </c>
      <c r="P1023" t="s">
        <v>92</v>
      </c>
      <c r="Q1023" t="s">
        <v>71</v>
      </c>
      <c r="R1023" t="s">
        <v>93</v>
      </c>
      <c r="S1023" t="s">
        <v>57</v>
      </c>
      <c r="T1023" t="s">
        <v>58</v>
      </c>
      <c r="U1023" t="s">
        <v>59</v>
      </c>
      <c r="V1023">
        <v>0.58484599999999998</v>
      </c>
      <c r="W1023" t="s">
        <v>53</v>
      </c>
      <c r="X1023" t="s">
        <v>53</v>
      </c>
      <c r="Y1023" t="s">
        <v>165</v>
      </c>
      <c r="Z1023" t="str">
        <f t="shared" si="30"/>
        <v>Mayor que 60 - hasta 70</v>
      </c>
      <c r="AA1023">
        <f t="shared" si="31"/>
        <v>1</v>
      </c>
      <c r="AB1023">
        <v>76318</v>
      </c>
      <c r="AC1023" t="s">
        <v>619</v>
      </c>
      <c r="AD1023" t="s">
        <v>1355</v>
      </c>
      <c r="AE1023">
        <v>0.23149400000000001</v>
      </c>
      <c r="AF1023" t="s">
        <v>63</v>
      </c>
      <c r="AG1023">
        <v>9.8870059999999995</v>
      </c>
      <c r="AH1023" t="s">
        <v>619</v>
      </c>
      <c r="AI1023" t="s">
        <v>620</v>
      </c>
      <c r="AJ1023">
        <v>1.0283960000000001</v>
      </c>
      <c r="AK1023" t="s">
        <v>76</v>
      </c>
      <c r="AL1023">
        <v>54.468837999999998</v>
      </c>
      <c r="AM1023" s="4" t="s">
        <v>64</v>
      </c>
      <c r="AN1023" s="5">
        <v>7074.9569343655039</v>
      </c>
      <c r="AO1023" s="4" t="s">
        <v>65</v>
      </c>
      <c r="AP1023" s="6">
        <v>1515</v>
      </c>
      <c r="AQ1023">
        <v>1</v>
      </c>
      <c r="AR1023">
        <v>5455.659173</v>
      </c>
      <c r="AS1023" t="s">
        <v>66</v>
      </c>
      <c r="AT1023" t="s">
        <v>53</v>
      </c>
    </row>
    <row r="1024" spans="1:46">
      <c r="A1024">
        <v>95</v>
      </c>
      <c r="B1024" t="s">
        <v>46</v>
      </c>
      <c r="C1024">
        <v>76</v>
      </c>
      <c r="D1024">
        <v>364</v>
      </c>
      <c r="E1024" t="s">
        <v>1360</v>
      </c>
      <c r="F1024" t="s">
        <v>1339</v>
      </c>
      <c r="G1024">
        <v>76364</v>
      </c>
      <c r="H1024">
        <v>76364</v>
      </c>
      <c r="I1024" t="s">
        <v>49</v>
      </c>
      <c r="J1024">
        <v>7605</v>
      </c>
      <c r="K1024" t="s">
        <v>297</v>
      </c>
      <c r="L1024" t="s">
        <v>51</v>
      </c>
      <c r="M1024" t="s">
        <v>53</v>
      </c>
      <c r="N1024">
        <v>180917</v>
      </c>
      <c r="O1024" t="s">
        <v>53</v>
      </c>
      <c r="P1024" t="s">
        <v>54</v>
      </c>
      <c r="Q1024" t="s">
        <v>125</v>
      </c>
      <c r="R1024" t="s">
        <v>72</v>
      </c>
      <c r="S1024" t="s">
        <v>57</v>
      </c>
      <c r="T1024" t="s">
        <v>58</v>
      </c>
      <c r="U1024" t="s">
        <v>119</v>
      </c>
      <c r="V1024">
        <v>0.25445099999999998</v>
      </c>
      <c r="W1024" t="s">
        <v>53</v>
      </c>
      <c r="X1024" t="s">
        <v>53</v>
      </c>
      <c r="Y1024" t="s">
        <v>136</v>
      </c>
      <c r="Z1024" t="str">
        <f t="shared" si="30"/>
        <v>Mayor que 100 - hasta 120</v>
      </c>
      <c r="AA1024">
        <f t="shared" si="31"/>
        <v>1</v>
      </c>
      <c r="AB1024">
        <v>76364</v>
      </c>
      <c r="AC1024" t="s">
        <v>619</v>
      </c>
      <c r="AD1024" t="s">
        <v>1361</v>
      </c>
      <c r="AE1024">
        <v>0</v>
      </c>
      <c r="AF1024" t="s">
        <v>63</v>
      </c>
      <c r="AG1024">
        <v>0</v>
      </c>
      <c r="AH1024" t="s">
        <v>619</v>
      </c>
      <c r="AI1024" t="s">
        <v>620</v>
      </c>
      <c r="AJ1024">
        <v>0.59295200000000003</v>
      </c>
      <c r="AK1024" t="s">
        <v>63</v>
      </c>
      <c r="AL1024">
        <v>20.525483000000001</v>
      </c>
      <c r="AM1024" s="4" t="s">
        <v>64</v>
      </c>
      <c r="AN1024" s="5">
        <v>21813.195310367773</v>
      </c>
      <c r="AO1024" s="4" t="s">
        <v>65</v>
      </c>
      <c r="AP1024" s="6">
        <v>5880</v>
      </c>
      <c r="AQ1024">
        <v>3</v>
      </c>
      <c r="AR1024">
        <v>15089.072657000001</v>
      </c>
      <c r="AS1024" t="s">
        <v>66</v>
      </c>
      <c r="AT1024" t="s">
        <v>53</v>
      </c>
    </row>
    <row r="1025" spans="1:46">
      <c r="A1025">
        <v>94</v>
      </c>
      <c r="B1025" t="s">
        <v>46</v>
      </c>
      <c r="C1025">
        <v>76</v>
      </c>
      <c r="D1025">
        <v>377</v>
      </c>
      <c r="E1025" t="s">
        <v>1362</v>
      </c>
      <c r="F1025" t="s">
        <v>1339</v>
      </c>
      <c r="G1025">
        <v>76377</v>
      </c>
      <c r="H1025">
        <v>76377</v>
      </c>
      <c r="I1025" t="s">
        <v>49</v>
      </c>
      <c r="J1025">
        <v>7605</v>
      </c>
      <c r="K1025" t="s">
        <v>297</v>
      </c>
      <c r="L1025" t="s">
        <v>69</v>
      </c>
      <c r="M1025" t="s">
        <v>53</v>
      </c>
      <c r="N1025">
        <v>17280</v>
      </c>
      <c r="O1025" t="s">
        <v>53</v>
      </c>
      <c r="P1025" t="s">
        <v>70</v>
      </c>
      <c r="Q1025" t="s">
        <v>71</v>
      </c>
      <c r="R1025" t="s">
        <v>93</v>
      </c>
      <c r="S1025" t="s">
        <v>57</v>
      </c>
      <c r="T1025" t="s">
        <v>58</v>
      </c>
      <c r="U1025" t="s">
        <v>81</v>
      </c>
      <c r="V1025">
        <v>0.405476</v>
      </c>
      <c r="W1025" t="s">
        <v>53</v>
      </c>
      <c r="X1025" t="s">
        <v>53</v>
      </c>
      <c r="Y1025" t="s">
        <v>87</v>
      </c>
      <c r="Z1025" t="str">
        <f t="shared" si="30"/>
        <v>Mayor que 40 - hasta 50</v>
      </c>
      <c r="AA1025">
        <f t="shared" si="31"/>
        <v>1</v>
      </c>
      <c r="AB1025">
        <v>76377</v>
      </c>
      <c r="AC1025" t="s">
        <v>619</v>
      </c>
      <c r="AD1025" t="s">
        <v>1363</v>
      </c>
      <c r="AE1025">
        <v>0.84248299999999998</v>
      </c>
      <c r="AF1025" t="s">
        <v>63</v>
      </c>
      <c r="AG1025">
        <v>21.889444000000001</v>
      </c>
      <c r="AH1025" t="s">
        <v>619</v>
      </c>
      <c r="AI1025" t="s">
        <v>620</v>
      </c>
      <c r="AJ1025">
        <v>1.00857</v>
      </c>
      <c r="AK1025" t="s">
        <v>76</v>
      </c>
      <c r="AL1025">
        <v>35.853405000000002</v>
      </c>
      <c r="AM1025" s="4" t="s">
        <v>65</v>
      </c>
      <c r="AN1025" s="5">
        <v>20.216352356928596</v>
      </c>
      <c r="AO1025" s="4" t="s">
        <v>65</v>
      </c>
      <c r="AP1025" s="6">
        <v>9</v>
      </c>
      <c r="AQ1025">
        <v>4</v>
      </c>
      <c r="AR1025">
        <v>94.650642000000005</v>
      </c>
      <c r="AS1025" t="s">
        <v>66</v>
      </c>
      <c r="AT1025" t="s">
        <v>53</v>
      </c>
    </row>
    <row r="1026" spans="1:46">
      <c r="A1026">
        <v>93</v>
      </c>
      <c r="B1026" t="s">
        <v>46</v>
      </c>
      <c r="C1026">
        <v>76</v>
      </c>
      <c r="D1026">
        <v>400</v>
      </c>
      <c r="E1026" t="s">
        <v>213</v>
      </c>
      <c r="F1026" t="s">
        <v>1339</v>
      </c>
      <c r="G1026">
        <v>76400</v>
      </c>
      <c r="H1026">
        <v>76400</v>
      </c>
      <c r="I1026" t="s">
        <v>49</v>
      </c>
      <c r="J1026">
        <v>7602</v>
      </c>
      <c r="K1026" t="s">
        <v>112</v>
      </c>
      <c r="L1026" t="s">
        <v>91</v>
      </c>
      <c r="M1026" t="s">
        <v>53</v>
      </c>
      <c r="N1026">
        <v>34704</v>
      </c>
      <c r="O1026" t="s">
        <v>53</v>
      </c>
      <c r="P1026" t="s">
        <v>92</v>
      </c>
      <c r="Q1026" t="s">
        <v>71</v>
      </c>
      <c r="R1026" t="s">
        <v>122</v>
      </c>
      <c r="S1026" t="s">
        <v>57</v>
      </c>
      <c r="T1026" t="s">
        <v>58</v>
      </c>
      <c r="U1026" t="s">
        <v>59</v>
      </c>
      <c r="V1026">
        <v>0.30087700000000001</v>
      </c>
      <c r="W1026" t="s">
        <v>53</v>
      </c>
      <c r="X1026" t="s">
        <v>53</v>
      </c>
      <c r="Y1026" t="s">
        <v>165</v>
      </c>
      <c r="Z1026" t="str">
        <f t="shared" si="30"/>
        <v>Mayor que 60 - hasta 70</v>
      </c>
      <c r="AA1026">
        <f t="shared" si="31"/>
        <v>1</v>
      </c>
      <c r="AB1026">
        <v>76400</v>
      </c>
      <c r="AC1026" t="s">
        <v>619</v>
      </c>
      <c r="AD1026" t="s">
        <v>1357</v>
      </c>
      <c r="AE1026">
        <v>0</v>
      </c>
      <c r="AF1026" t="s">
        <v>63</v>
      </c>
      <c r="AG1026">
        <v>0</v>
      </c>
      <c r="AH1026" t="s">
        <v>555</v>
      </c>
      <c r="AI1026" t="s">
        <v>557</v>
      </c>
      <c r="AJ1026">
        <v>1.6942740000000001</v>
      </c>
      <c r="AK1026" t="s">
        <v>76</v>
      </c>
      <c r="AL1026">
        <v>77.522244000000001</v>
      </c>
      <c r="AM1026" s="4" t="s">
        <v>65</v>
      </c>
      <c r="AN1026" s="5">
        <v>5315.3992056232182</v>
      </c>
      <c r="AO1026" s="4" t="s">
        <v>65</v>
      </c>
      <c r="AP1026" s="6">
        <v>2070</v>
      </c>
      <c r="AQ1026">
        <v>4</v>
      </c>
      <c r="AR1026">
        <v>6232.7436509999998</v>
      </c>
      <c r="AS1026" t="s">
        <v>66</v>
      </c>
      <c r="AT1026" t="s">
        <v>53</v>
      </c>
    </row>
    <row r="1027" spans="1:46">
      <c r="A1027">
        <v>92</v>
      </c>
      <c r="B1027" t="s">
        <v>46</v>
      </c>
      <c r="C1027">
        <v>76</v>
      </c>
      <c r="D1027">
        <v>403</v>
      </c>
      <c r="E1027" t="s">
        <v>475</v>
      </c>
      <c r="F1027" t="s">
        <v>1339</v>
      </c>
      <c r="G1027">
        <v>76403</v>
      </c>
      <c r="H1027">
        <v>76403</v>
      </c>
      <c r="I1027" t="s">
        <v>49</v>
      </c>
      <c r="J1027">
        <v>7602</v>
      </c>
      <c r="K1027" t="s">
        <v>112</v>
      </c>
      <c r="L1027" t="s">
        <v>69</v>
      </c>
      <c r="M1027" t="s">
        <v>53</v>
      </c>
      <c r="N1027">
        <v>12475</v>
      </c>
      <c r="O1027" t="s">
        <v>53</v>
      </c>
      <c r="P1027" t="s">
        <v>70</v>
      </c>
      <c r="Q1027" t="s">
        <v>71</v>
      </c>
      <c r="R1027" t="s">
        <v>93</v>
      </c>
      <c r="S1027" t="s">
        <v>57</v>
      </c>
      <c r="T1027" t="s">
        <v>58</v>
      </c>
      <c r="U1027" t="s">
        <v>81</v>
      </c>
      <c r="V1027">
        <v>0.30976399999999998</v>
      </c>
      <c r="W1027" t="s">
        <v>53</v>
      </c>
      <c r="X1027" t="s">
        <v>53</v>
      </c>
      <c r="Y1027" t="s">
        <v>165</v>
      </c>
      <c r="Z1027" t="str">
        <f t="shared" ref="Z1027:Z1090" si="32">IF(LEFT(Y1027,10)="Irradiado_",
   RIGHT(Y1027, LEN(Y1027)-10),   Y1027)</f>
        <v>Mayor que 60 - hasta 70</v>
      </c>
      <c r="AA1027">
        <f t="shared" ref="AA1027:AA1090" si="33">IF(LEFT(Y1027,10)="Irradiado_", 1, 0)</f>
        <v>1</v>
      </c>
      <c r="AB1027">
        <v>76403</v>
      </c>
      <c r="AC1027" t="s">
        <v>619</v>
      </c>
      <c r="AD1027" t="s">
        <v>1357</v>
      </c>
      <c r="AE1027">
        <v>0.33776299999999998</v>
      </c>
      <c r="AF1027" t="s">
        <v>63</v>
      </c>
      <c r="AG1027">
        <v>12.549747</v>
      </c>
      <c r="AH1027" t="s">
        <v>555</v>
      </c>
      <c r="AI1027" t="s">
        <v>557</v>
      </c>
      <c r="AJ1027">
        <v>1.3787050000000001</v>
      </c>
      <c r="AK1027" t="s">
        <v>76</v>
      </c>
      <c r="AL1027">
        <v>65.031075000000001</v>
      </c>
      <c r="AM1027" s="4" t="s">
        <v>64</v>
      </c>
      <c r="AN1027" s="5">
        <v>12601.350272140362</v>
      </c>
      <c r="AO1027" s="4" t="s">
        <v>65</v>
      </c>
      <c r="AP1027" s="6">
        <v>974</v>
      </c>
      <c r="AQ1027">
        <v>4</v>
      </c>
      <c r="AR1027">
        <v>13694.793745999999</v>
      </c>
      <c r="AS1027" t="s">
        <v>66</v>
      </c>
      <c r="AT1027" t="s">
        <v>53</v>
      </c>
    </row>
    <row r="1028" spans="1:46">
      <c r="A1028">
        <v>75</v>
      </c>
      <c r="B1028" t="s">
        <v>46</v>
      </c>
      <c r="C1028">
        <v>76</v>
      </c>
      <c r="D1028">
        <v>497</v>
      </c>
      <c r="E1028" t="s">
        <v>1364</v>
      </c>
      <c r="F1028" t="s">
        <v>1339</v>
      </c>
      <c r="G1028">
        <v>76497</v>
      </c>
      <c r="H1028">
        <v>76497</v>
      </c>
      <c r="I1028" t="s">
        <v>49</v>
      </c>
      <c r="J1028">
        <v>7602</v>
      </c>
      <c r="K1028" t="s">
        <v>112</v>
      </c>
      <c r="L1028" t="s">
        <v>91</v>
      </c>
      <c r="M1028" t="s">
        <v>53</v>
      </c>
      <c r="N1028">
        <v>12615</v>
      </c>
      <c r="O1028" t="s">
        <v>53</v>
      </c>
      <c r="P1028" t="s">
        <v>70</v>
      </c>
      <c r="Q1028" t="s">
        <v>71</v>
      </c>
      <c r="R1028" t="s">
        <v>105</v>
      </c>
      <c r="S1028" t="s">
        <v>57</v>
      </c>
      <c r="T1028" t="s">
        <v>58</v>
      </c>
      <c r="U1028" t="s">
        <v>59</v>
      </c>
      <c r="V1028">
        <v>0.347362</v>
      </c>
      <c r="W1028" t="s">
        <v>53</v>
      </c>
      <c r="X1028" t="s">
        <v>53</v>
      </c>
      <c r="Y1028" t="s">
        <v>127</v>
      </c>
      <c r="Z1028" t="str">
        <f t="shared" si="32"/>
        <v>Mayor que 70 - hasta 80</v>
      </c>
      <c r="AA1028">
        <f t="shared" si="33"/>
        <v>1</v>
      </c>
      <c r="AB1028">
        <v>76497</v>
      </c>
      <c r="AC1028" t="s">
        <v>619</v>
      </c>
      <c r="AD1028" t="s">
        <v>1365</v>
      </c>
      <c r="AE1028">
        <v>0.51086900000000002</v>
      </c>
      <c r="AF1028" t="s">
        <v>63</v>
      </c>
      <c r="AG1028">
        <v>26.473506</v>
      </c>
      <c r="AH1028" t="s">
        <v>555</v>
      </c>
      <c r="AI1028" t="s">
        <v>557</v>
      </c>
      <c r="AJ1028">
        <v>1.16544</v>
      </c>
      <c r="AK1028" t="s">
        <v>76</v>
      </c>
      <c r="AL1028">
        <v>54.401429</v>
      </c>
      <c r="AM1028" s="4" t="s">
        <v>64</v>
      </c>
      <c r="AN1028" s="5">
        <v>13664.185784232157</v>
      </c>
      <c r="AO1028" s="4" t="s">
        <v>65</v>
      </c>
      <c r="AP1028" s="6">
        <v>1334</v>
      </c>
      <c r="AQ1028">
        <v>4</v>
      </c>
      <c r="AR1028">
        <v>11705.072295</v>
      </c>
      <c r="AS1028" t="s">
        <v>66</v>
      </c>
      <c r="AT1028" t="s">
        <v>53</v>
      </c>
    </row>
    <row r="1029" spans="1:46">
      <c r="A1029">
        <v>76</v>
      </c>
      <c r="B1029" t="s">
        <v>46</v>
      </c>
      <c r="C1029">
        <v>76</v>
      </c>
      <c r="D1029">
        <v>520</v>
      </c>
      <c r="E1029" t="s">
        <v>1366</v>
      </c>
      <c r="F1029" t="s">
        <v>1339</v>
      </c>
      <c r="G1029">
        <v>76520</v>
      </c>
      <c r="H1029">
        <v>76520</v>
      </c>
      <c r="I1029" t="s">
        <v>49</v>
      </c>
      <c r="J1029">
        <v>7605</v>
      </c>
      <c r="K1029" t="s">
        <v>297</v>
      </c>
      <c r="L1029" t="s">
        <v>51</v>
      </c>
      <c r="M1029" t="s">
        <v>53</v>
      </c>
      <c r="N1029">
        <v>358895</v>
      </c>
      <c r="O1029" t="s">
        <v>53</v>
      </c>
      <c r="P1029" t="s">
        <v>54</v>
      </c>
      <c r="Q1029" t="s">
        <v>138</v>
      </c>
      <c r="R1029" t="s">
        <v>93</v>
      </c>
      <c r="S1029" t="s">
        <v>57</v>
      </c>
      <c r="T1029" t="s">
        <v>58</v>
      </c>
      <c r="U1029" t="s">
        <v>59</v>
      </c>
      <c r="V1029">
        <v>0.33679700000000001</v>
      </c>
      <c r="W1029" t="s">
        <v>53</v>
      </c>
      <c r="X1029" t="s">
        <v>53</v>
      </c>
      <c r="Y1029" t="s">
        <v>139</v>
      </c>
      <c r="Z1029" t="str">
        <f t="shared" si="32"/>
        <v>Mayor que 300 - hasta 400</v>
      </c>
      <c r="AA1029">
        <f t="shared" si="33"/>
        <v>1</v>
      </c>
      <c r="AB1029">
        <v>76520</v>
      </c>
      <c r="AC1029" t="s">
        <v>619</v>
      </c>
      <c r="AD1029" t="s">
        <v>1366</v>
      </c>
      <c r="AE1029">
        <v>0</v>
      </c>
      <c r="AF1029" t="s">
        <v>63</v>
      </c>
      <c r="AG1029">
        <v>0</v>
      </c>
      <c r="AH1029" t="s">
        <v>619</v>
      </c>
      <c r="AI1029" t="s">
        <v>620</v>
      </c>
      <c r="AJ1029">
        <v>0.74582899999999996</v>
      </c>
      <c r="AK1029" t="s">
        <v>63</v>
      </c>
      <c r="AL1029">
        <v>35.286501000000001</v>
      </c>
      <c r="AM1029" s="4" t="s">
        <v>64</v>
      </c>
      <c r="AN1029" s="5">
        <v>33309.426573659148</v>
      </c>
      <c r="AO1029" s="4" t="s">
        <v>65</v>
      </c>
      <c r="AP1029" s="6">
        <v>5734</v>
      </c>
      <c r="AQ1029">
        <v>1</v>
      </c>
      <c r="AR1029">
        <v>37792.579431999999</v>
      </c>
      <c r="AS1029" t="s">
        <v>66</v>
      </c>
      <c r="AT1029" t="s">
        <v>53</v>
      </c>
    </row>
    <row r="1030" spans="1:46">
      <c r="A1030">
        <v>77</v>
      </c>
      <c r="B1030" t="s">
        <v>46</v>
      </c>
      <c r="C1030">
        <v>76</v>
      </c>
      <c r="D1030">
        <v>563</v>
      </c>
      <c r="E1030" t="s">
        <v>1367</v>
      </c>
      <c r="F1030" t="s">
        <v>1339</v>
      </c>
      <c r="G1030">
        <v>76563</v>
      </c>
      <c r="H1030">
        <v>76563</v>
      </c>
      <c r="I1030" t="s">
        <v>49</v>
      </c>
      <c r="J1030">
        <v>7605</v>
      </c>
      <c r="K1030" t="s">
        <v>297</v>
      </c>
      <c r="L1030" t="s">
        <v>51</v>
      </c>
      <c r="M1030" t="s">
        <v>53</v>
      </c>
      <c r="N1030">
        <v>49297</v>
      </c>
      <c r="O1030" t="s">
        <v>53</v>
      </c>
      <c r="P1030" t="s">
        <v>92</v>
      </c>
      <c r="Q1030" t="s">
        <v>118</v>
      </c>
      <c r="R1030" t="s">
        <v>56</v>
      </c>
      <c r="S1030" t="s">
        <v>615</v>
      </c>
      <c r="T1030" t="s">
        <v>73</v>
      </c>
      <c r="U1030" t="s">
        <v>119</v>
      </c>
      <c r="V1030">
        <v>0.53149400000000002</v>
      </c>
      <c r="W1030" t="s">
        <v>53</v>
      </c>
      <c r="X1030" t="s">
        <v>53</v>
      </c>
      <c r="Y1030" t="s">
        <v>87</v>
      </c>
      <c r="Z1030" t="str">
        <f t="shared" si="32"/>
        <v>Mayor que 40 - hasta 50</v>
      </c>
      <c r="AA1030">
        <f t="shared" si="33"/>
        <v>1</v>
      </c>
      <c r="AB1030">
        <v>76563</v>
      </c>
      <c r="AC1030" t="s">
        <v>619</v>
      </c>
      <c r="AD1030" t="s">
        <v>1367</v>
      </c>
      <c r="AE1030">
        <v>0</v>
      </c>
      <c r="AF1030" t="s">
        <v>63</v>
      </c>
      <c r="AG1030">
        <v>0</v>
      </c>
      <c r="AH1030" t="s">
        <v>619</v>
      </c>
      <c r="AI1030" t="s">
        <v>620</v>
      </c>
      <c r="AJ1030">
        <v>0.95414699999999997</v>
      </c>
      <c r="AK1030" t="s">
        <v>63</v>
      </c>
      <c r="AL1030">
        <v>42.129140999999997</v>
      </c>
      <c r="AM1030" s="4" t="s">
        <v>64</v>
      </c>
      <c r="AN1030" s="5">
        <v>12916.313616718786</v>
      </c>
      <c r="AO1030" s="4" t="s">
        <v>65</v>
      </c>
      <c r="AP1030" s="6">
        <v>1788</v>
      </c>
      <c r="AQ1030">
        <v>4</v>
      </c>
      <c r="AR1030">
        <v>12513.897838999999</v>
      </c>
      <c r="AS1030" t="s">
        <v>66</v>
      </c>
      <c r="AT1030" t="s">
        <v>53</v>
      </c>
    </row>
    <row r="1031" spans="1:46">
      <c r="A1031">
        <v>78</v>
      </c>
      <c r="B1031" t="s">
        <v>46</v>
      </c>
      <c r="C1031">
        <v>76</v>
      </c>
      <c r="D1031">
        <v>606</v>
      </c>
      <c r="E1031" t="s">
        <v>1051</v>
      </c>
      <c r="F1031" t="s">
        <v>1339</v>
      </c>
      <c r="G1031">
        <v>76606</v>
      </c>
      <c r="H1031">
        <v>76606</v>
      </c>
      <c r="I1031" t="s">
        <v>49</v>
      </c>
      <c r="J1031">
        <v>7601</v>
      </c>
      <c r="K1031" t="s">
        <v>409</v>
      </c>
      <c r="L1031" t="s">
        <v>91</v>
      </c>
      <c r="M1031" t="s">
        <v>53</v>
      </c>
      <c r="N1031">
        <v>16487</v>
      </c>
      <c r="O1031" t="s">
        <v>53</v>
      </c>
      <c r="P1031" t="s">
        <v>70</v>
      </c>
      <c r="Q1031" t="s">
        <v>71</v>
      </c>
      <c r="R1031" t="s">
        <v>56</v>
      </c>
      <c r="S1031" t="s">
        <v>57</v>
      </c>
      <c r="T1031" t="s">
        <v>58</v>
      </c>
      <c r="U1031" t="s">
        <v>59</v>
      </c>
      <c r="V1031">
        <v>0.40855599999999997</v>
      </c>
      <c r="W1031" t="s">
        <v>53</v>
      </c>
      <c r="X1031" t="s">
        <v>53</v>
      </c>
      <c r="Y1031" t="s">
        <v>127</v>
      </c>
      <c r="Z1031" t="str">
        <f t="shared" si="32"/>
        <v>Mayor que 70 - hasta 80</v>
      </c>
      <c r="AA1031">
        <f t="shared" si="33"/>
        <v>1</v>
      </c>
      <c r="AB1031">
        <v>76606</v>
      </c>
      <c r="AC1031" t="s">
        <v>619</v>
      </c>
      <c r="AD1031" t="s">
        <v>1348</v>
      </c>
      <c r="AE1031">
        <v>0.92296500000000004</v>
      </c>
      <c r="AF1031" t="s">
        <v>63</v>
      </c>
      <c r="AG1031">
        <v>35.594827000000002</v>
      </c>
      <c r="AH1031" t="s">
        <v>619</v>
      </c>
      <c r="AI1031" t="s">
        <v>620</v>
      </c>
      <c r="AJ1031">
        <v>1.5887709999999999</v>
      </c>
      <c r="AK1031" t="s">
        <v>76</v>
      </c>
      <c r="AL1031">
        <v>58.932799000000003</v>
      </c>
      <c r="AM1031" s="4" t="s">
        <v>65</v>
      </c>
      <c r="AN1031" s="5">
        <v>1.583009384401642</v>
      </c>
      <c r="AO1031" s="4" t="s">
        <v>65</v>
      </c>
      <c r="AP1031" s="6">
        <v>3</v>
      </c>
      <c r="AQ1031">
        <v>2</v>
      </c>
      <c r="AR1031">
        <v>31.912438000000002</v>
      </c>
      <c r="AS1031" t="s">
        <v>66</v>
      </c>
      <c r="AT1031" t="s">
        <v>53</v>
      </c>
    </row>
    <row r="1032" spans="1:46">
      <c r="A1032">
        <v>79</v>
      </c>
      <c r="B1032" t="s">
        <v>46</v>
      </c>
      <c r="C1032">
        <v>76</v>
      </c>
      <c r="D1032">
        <v>616</v>
      </c>
      <c r="E1032" t="s">
        <v>1368</v>
      </c>
      <c r="F1032" t="s">
        <v>1339</v>
      </c>
      <c r="G1032">
        <v>76616</v>
      </c>
      <c r="H1032">
        <v>76616</v>
      </c>
      <c r="I1032" t="s">
        <v>49</v>
      </c>
      <c r="J1032">
        <v>7601</v>
      </c>
      <c r="K1032" t="s">
        <v>409</v>
      </c>
      <c r="L1032" t="s">
        <v>69</v>
      </c>
      <c r="M1032" t="s">
        <v>53</v>
      </c>
      <c r="N1032">
        <v>15950</v>
      </c>
      <c r="O1032" t="s">
        <v>53</v>
      </c>
      <c r="P1032" t="s">
        <v>70</v>
      </c>
      <c r="Q1032" t="s">
        <v>71</v>
      </c>
      <c r="R1032" t="s">
        <v>105</v>
      </c>
      <c r="S1032" t="s">
        <v>57</v>
      </c>
      <c r="T1032" t="s">
        <v>73</v>
      </c>
      <c r="U1032" t="s">
        <v>119</v>
      </c>
      <c r="V1032">
        <v>0.40950500000000001</v>
      </c>
      <c r="W1032" t="s">
        <v>53</v>
      </c>
      <c r="X1032" t="s">
        <v>53</v>
      </c>
      <c r="Y1032" t="s">
        <v>102</v>
      </c>
      <c r="Z1032" t="str">
        <f t="shared" si="32"/>
        <v>Mayor que 20 - hasta 30</v>
      </c>
      <c r="AA1032">
        <f t="shared" si="33"/>
        <v>1</v>
      </c>
      <c r="AB1032">
        <v>76616</v>
      </c>
      <c r="AC1032" t="s">
        <v>619</v>
      </c>
      <c r="AD1032" t="s">
        <v>1343</v>
      </c>
      <c r="AE1032">
        <v>0.38068600000000002</v>
      </c>
      <c r="AF1032" t="s">
        <v>63</v>
      </c>
      <c r="AG1032">
        <v>15.202439</v>
      </c>
      <c r="AH1032" t="s">
        <v>619</v>
      </c>
      <c r="AI1032" t="s">
        <v>620</v>
      </c>
      <c r="AJ1032">
        <v>2.1592920000000002</v>
      </c>
      <c r="AK1032" t="s">
        <v>77</v>
      </c>
      <c r="AL1032">
        <v>114.317071</v>
      </c>
      <c r="AM1032" s="4" t="s">
        <v>64</v>
      </c>
      <c r="AN1032" s="5">
        <v>9354.1022984341871</v>
      </c>
      <c r="AO1032" s="4" t="s">
        <v>65</v>
      </c>
      <c r="AP1032" s="6">
        <v>2434</v>
      </c>
      <c r="AQ1032">
        <v>4</v>
      </c>
      <c r="AR1032">
        <v>11851.208923</v>
      </c>
      <c r="AS1032" t="s">
        <v>66</v>
      </c>
      <c r="AT1032" t="s">
        <v>53</v>
      </c>
    </row>
    <row r="1033" spans="1:46">
      <c r="A1033">
        <v>80</v>
      </c>
      <c r="B1033" t="s">
        <v>46</v>
      </c>
      <c r="C1033">
        <v>76</v>
      </c>
      <c r="D1033">
        <v>622</v>
      </c>
      <c r="E1033" t="s">
        <v>1345</v>
      </c>
      <c r="F1033" t="s">
        <v>1339</v>
      </c>
      <c r="G1033">
        <v>76622</v>
      </c>
      <c r="H1033">
        <v>76622</v>
      </c>
      <c r="I1033" t="s">
        <v>49</v>
      </c>
      <c r="J1033">
        <v>7602</v>
      </c>
      <c r="K1033" t="s">
        <v>112</v>
      </c>
      <c r="L1033" t="s">
        <v>91</v>
      </c>
      <c r="M1033" t="s">
        <v>53</v>
      </c>
      <c r="N1033">
        <v>37667</v>
      </c>
      <c r="O1033" t="s">
        <v>53</v>
      </c>
      <c r="P1033" t="s">
        <v>92</v>
      </c>
      <c r="Q1033" t="s">
        <v>71</v>
      </c>
      <c r="R1033" t="s">
        <v>56</v>
      </c>
      <c r="S1033" t="s">
        <v>57</v>
      </c>
      <c r="T1033" t="s">
        <v>73</v>
      </c>
      <c r="U1033" t="s">
        <v>59</v>
      </c>
      <c r="V1033">
        <v>0.36058499999999999</v>
      </c>
      <c r="W1033" t="s">
        <v>53</v>
      </c>
      <c r="X1033" t="s">
        <v>53</v>
      </c>
      <c r="Y1033" t="s">
        <v>165</v>
      </c>
      <c r="Z1033" t="str">
        <f t="shared" si="32"/>
        <v>Mayor que 60 - hasta 70</v>
      </c>
      <c r="AA1033">
        <f t="shared" si="33"/>
        <v>1</v>
      </c>
      <c r="AB1033">
        <v>76622</v>
      </c>
      <c r="AC1033" t="s">
        <v>619</v>
      </c>
      <c r="AD1033" t="s">
        <v>1345</v>
      </c>
      <c r="AE1033">
        <v>0</v>
      </c>
      <c r="AF1033" t="s">
        <v>63</v>
      </c>
      <c r="AG1033">
        <v>0</v>
      </c>
      <c r="AH1033" t="s">
        <v>555</v>
      </c>
      <c r="AI1033" t="s">
        <v>557</v>
      </c>
      <c r="AJ1033">
        <v>1.9233929999999999</v>
      </c>
      <c r="AK1033" t="s">
        <v>76</v>
      </c>
      <c r="AL1033">
        <v>90.724682000000001</v>
      </c>
      <c r="AM1033" s="4" t="s">
        <v>64</v>
      </c>
      <c r="AN1033" s="5">
        <v>7031.0803814282535</v>
      </c>
      <c r="AO1033" s="4" t="s">
        <v>65</v>
      </c>
      <c r="AP1033" s="6">
        <v>2367</v>
      </c>
      <c r="AQ1033">
        <v>4</v>
      </c>
      <c r="AR1033">
        <v>9204.1775510000007</v>
      </c>
      <c r="AS1033" t="s">
        <v>66</v>
      </c>
      <c r="AT1033" t="s">
        <v>53</v>
      </c>
    </row>
    <row r="1034" spans="1:46">
      <c r="A1034">
        <v>81</v>
      </c>
      <c r="B1034" t="s">
        <v>46</v>
      </c>
      <c r="C1034">
        <v>76</v>
      </c>
      <c r="D1034">
        <v>670</v>
      </c>
      <c r="E1034" t="s">
        <v>251</v>
      </c>
      <c r="F1034" t="s">
        <v>1339</v>
      </c>
      <c r="G1034">
        <v>76670</v>
      </c>
      <c r="H1034">
        <v>76670</v>
      </c>
      <c r="I1034" t="s">
        <v>49</v>
      </c>
      <c r="J1034">
        <v>7601</v>
      </c>
      <c r="K1034" t="s">
        <v>409</v>
      </c>
      <c r="L1034" t="s">
        <v>91</v>
      </c>
      <c r="M1034" t="s">
        <v>53</v>
      </c>
      <c r="N1034">
        <v>18081</v>
      </c>
      <c r="O1034" t="s">
        <v>53</v>
      </c>
      <c r="P1034" t="s">
        <v>70</v>
      </c>
      <c r="Q1034" t="s">
        <v>71</v>
      </c>
      <c r="R1034" t="s">
        <v>56</v>
      </c>
      <c r="S1034" t="s">
        <v>57</v>
      </c>
      <c r="T1034" t="s">
        <v>58</v>
      </c>
      <c r="U1034" t="s">
        <v>119</v>
      </c>
      <c r="V1034">
        <v>0.40368399999999999</v>
      </c>
      <c r="W1034" t="s">
        <v>53</v>
      </c>
      <c r="X1034" t="s">
        <v>53</v>
      </c>
      <c r="Y1034" t="s">
        <v>127</v>
      </c>
      <c r="Z1034" t="str">
        <f t="shared" si="32"/>
        <v>Mayor que 70 - hasta 80</v>
      </c>
      <c r="AA1034">
        <f t="shared" si="33"/>
        <v>1</v>
      </c>
      <c r="AB1034">
        <v>76670</v>
      </c>
      <c r="AC1034" t="s">
        <v>619</v>
      </c>
      <c r="AD1034" t="s">
        <v>1343</v>
      </c>
      <c r="AE1034">
        <v>0.275924</v>
      </c>
      <c r="AF1034" t="s">
        <v>63</v>
      </c>
      <c r="AG1034">
        <v>13.171068</v>
      </c>
      <c r="AH1034" t="s">
        <v>619</v>
      </c>
      <c r="AI1034" t="s">
        <v>620</v>
      </c>
      <c r="AJ1034">
        <v>1.5957539999999999</v>
      </c>
      <c r="AK1034" t="s">
        <v>76</v>
      </c>
      <c r="AL1034">
        <v>86.743564000000006</v>
      </c>
      <c r="AM1034" s="4" t="s">
        <v>64</v>
      </c>
      <c r="AN1034" s="5">
        <v>10974.377984159622</v>
      </c>
      <c r="AO1034" s="4" t="s">
        <v>65</v>
      </c>
      <c r="AP1034" s="6">
        <v>974</v>
      </c>
      <c r="AQ1034">
        <v>3</v>
      </c>
      <c r="AR1034">
        <v>6800.199721</v>
      </c>
      <c r="AS1034" t="s">
        <v>66</v>
      </c>
      <c r="AT1034" t="s">
        <v>53</v>
      </c>
    </row>
    <row r="1035" spans="1:46">
      <c r="A1035">
        <v>82</v>
      </c>
      <c r="B1035" t="s">
        <v>46</v>
      </c>
      <c r="C1035">
        <v>76</v>
      </c>
      <c r="D1035">
        <v>736</v>
      </c>
      <c r="E1035" t="s">
        <v>1369</v>
      </c>
      <c r="F1035" t="s">
        <v>1339</v>
      </c>
      <c r="G1035">
        <v>76736</v>
      </c>
      <c r="H1035">
        <v>76736</v>
      </c>
      <c r="I1035" t="s">
        <v>49</v>
      </c>
      <c r="J1035">
        <v>7604</v>
      </c>
      <c r="K1035" t="s">
        <v>68</v>
      </c>
      <c r="L1035" t="s">
        <v>91</v>
      </c>
      <c r="M1035" t="s">
        <v>53</v>
      </c>
      <c r="N1035">
        <v>43635</v>
      </c>
      <c r="O1035" t="s">
        <v>53</v>
      </c>
      <c r="P1035" t="s">
        <v>92</v>
      </c>
      <c r="Q1035" t="s">
        <v>71</v>
      </c>
      <c r="R1035" t="s">
        <v>122</v>
      </c>
      <c r="S1035" t="s">
        <v>57</v>
      </c>
      <c r="T1035" t="s">
        <v>58</v>
      </c>
      <c r="U1035" t="s">
        <v>59</v>
      </c>
      <c r="V1035">
        <v>0.320664</v>
      </c>
      <c r="W1035" t="s">
        <v>53</v>
      </c>
      <c r="X1035" t="s">
        <v>53</v>
      </c>
      <c r="Y1035" t="s">
        <v>165</v>
      </c>
      <c r="Z1035" t="str">
        <f t="shared" si="32"/>
        <v>Mayor que 60 - hasta 70</v>
      </c>
      <c r="AA1035">
        <f t="shared" si="33"/>
        <v>1</v>
      </c>
      <c r="AB1035">
        <v>76736</v>
      </c>
      <c r="AC1035" t="s">
        <v>619</v>
      </c>
      <c r="AD1035" t="s">
        <v>1369</v>
      </c>
      <c r="AE1035">
        <v>0</v>
      </c>
      <c r="AF1035" t="s">
        <v>63</v>
      </c>
      <c r="AG1035">
        <v>0</v>
      </c>
      <c r="AH1035" t="s">
        <v>61</v>
      </c>
      <c r="AI1035" t="s">
        <v>133</v>
      </c>
      <c r="AJ1035">
        <v>1.535102</v>
      </c>
      <c r="AK1035" t="s">
        <v>76</v>
      </c>
      <c r="AL1035">
        <v>51.76417</v>
      </c>
      <c r="AM1035" s="4" t="s">
        <v>64</v>
      </c>
      <c r="AN1035" s="5">
        <v>24280.218963507279</v>
      </c>
      <c r="AO1035" s="4" t="s">
        <v>65</v>
      </c>
      <c r="AP1035" s="6">
        <v>2755</v>
      </c>
      <c r="AQ1035">
        <v>3</v>
      </c>
      <c r="AR1035">
        <v>19344.539419000001</v>
      </c>
      <c r="AS1035" t="s">
        <v>66</v>
      </c>
      <c r="AT1035" t="s">
        <v>53</v>
      </c>
    </row>
    <row r="1036" spans="1:46">
      <c r="A1036">
        <v>83</v>
      </c>
      <c r="B1036" t="s">
        <v>46</v>
      </c>
      <c r="C1036">
        <v>76</v>
      </c>
      <c r="D1036">
        <v>823</v>
      </c>
      <c r="E1036" t="s">
        <v>1370</v>
      </c>
      <c r="F1036" t="s">
        <v>1339</v>
      </c>
      <c r="G1036">
        <v>76823</v>
      </c>
      <c r="H1036">
        <v>76823</v>
      </c>
      <c r="I1036" t="s">
        <v>49</v>
      </c>
      <c r="J1036">
        <v>7602</v>
      </c>
      <c r="K1036" t="s">
        <v>112</v>
      </c>
      <c r="L1036" t="s">
        <v>91</v>
      </c>
      <c r="M1036" t="s">
        <v>53</v>
      </c>
      <c r="N1036">
        <v>14974</v>
      </c>
      <c r="O1036" t="s">
        <v>53</v>
      </c>
      <c r="P1036" t="s">
        <v>70</v>
      </c>
      <c r="Q1036" t="s">
        <v>71</v>
      </c>
      <c r="R1036" t="s">
        <v>93</v>
      </c>
      <c r="S1036" t="s">
        <v>57</v>
      </c>
      <c r="T1036" t="s">
        <v>58</v>
      </c>
      <c r="U1036" t="s">
        <v>59</v>
      </c>
      <c r="V1036">
        <v>0.442579</v>
      </c>
      <c r="W1036" t="s">
        <v>53</v>
      </c>
      <c r="X1036" t="s">
        <v>53</v>
      </c>
      <c r="Y1036" t="s">
        <v>127</v>
      </c>
      <c r="Z1036" t="str">
        <f t="shared" si="32"/>
        <v>Mayor que 70 - hasta 80</v>
      </c>
      <c r="AA1036">
        <f t="shared" si="33"/>
        <v>1</v>
      </c>
      <c r="AB1036">
        <v>76823</v>
      </c>
      <c r="AC1036" t="s">
        <v>619</v>
      </c>
      <c r="AD1036" t="s">
        <v>1357</v>
      </c>
      <c r="AE1036">
        <v>0.32609700000000003</v>
      </c>
      <c r="AF1036" t="s">
        <v>63</v>
      </c>
      <c r="AG1036">
        <v>13.129645999999999</v>
      </c>
      <c r="AH1036" t="s">
        <v>555</v>
      </c>
      <c r="AI1036" t="s">
        <v>557</v>
      </c>
      <c r="AJ1036">
        <v>1.4622010000000001</v>
      </c>
      <c r="AK1036" t="s">
        <v>76</v>
      </c>
      <c r="AL1036">
        <v>68.562445999999994</v>
      </c>
      <c r="AM1036" s="4" t="s">
        <v>64</v>
      </c>
      <c r="AN1036" s="5">
        <v>9359.3391498734436</v>
      </c>
      <c r="AO1036" s="4" t="s">
        <v>65</v>
      </c>
      <c r="AP1036" s="6">
        <v>1343</v>
      </c>
      <c r="AQ1036">
        <v>4</v>
      </c>
      <c r="AR1036">
        <v>9978.4369139999999</v>
      </c>
      <c r="AS1036" t="s">
        <v>66</v>
      </c>
      <c r="AT1036" t="s">
        <v>53</v>
      </c>
    </row>
    <row r="1037" spans="1:46">
      <c r="A1037">
        <v>84</v>
      </c>
      <c r="B1037" t="s">
        <v>46</v>
      </c>
      <c r="C1037">
        <v>76</v>
      </c>
      <c r="D1037">
        <v>828</v>
      </c>
      <c r="E1037" t="s">
        <v>1371</v>
      </c>
      <c r="F1037" t="s">
        <v>1339</v>
      </c>
      <c r="G1037">
        <v>76828</v>
      </c>
      <c r="H1037">
        <v>76828</v>
      </c>
      <c r="I1037" t="s">
        <v>49</v>
      </c>
      <c r="J1037">
        <v>7601</v>
      </c>
      <c r="K1037" t="s">
        <v>409</v>
      </c>
      <c r="L1037" t="s">
        <v>91</v>
      </c>
      <c r="M1037" t="s">
        <v>53</v>
      </c>
      <c r="N1037">
        <v>19701</v>
      </c>
      <c r="O1037" t="s">
        <v>53</v>
      </c>
      <c r="P1037" t="s">
        <v>70</v>
      </c>
      <c r="Q1037" t="s">
        <v>71</v>
      </c>
      <c r="R1037" t="s">
        <v>105</v>
      </c>
      <c r="S1037" t="s">
        <v>57</v>
      </c>
      <c r="T1037" t="s">
        <v>58</v>
      </c>
      <c r="U1037" t="s">
        <v>119</v>
      </c>
      <c r="V1037">
        <v>0.31282799999999999</v>
      </c>
      <c r="W1037" t="s">
        <v>53</v>
      </c>
      <c r="X1037" t="s">
        <v>53</v>
      </c>
      <c r="Y1037" t="s">
        <v>102</v>
      </c>
      <c r="Z1037" t="str">
        <f t="shared" si="32"/>
        <v>Mayor que 20 - hasta 30</v>
      </c>
      <c r="AA1037">
        <f t="shared" si="33"/>
        <v>1</v>
      </c>
      <c r="AB1037">
        <v>76828</v>
      </c>
      <c r="AC1037" t="s">
        <v>619</v>
      </c>
      <c r="AD1037" t="s">
        <v>1343</v>
      </c>
      <c r="AE1037">
        <v>0.54930800000000002</v>
      </c>
      <c r="AF1037" t="s">
        <v>63</v>
      </c>
      <c r="AG1037">
        <v>23.352186</v>
      </c>
      <c r="AH1037" t="s">
        <v>619</v>
      </c>
      <c r="AI1037" t="s">
        <v>620</v>
      </c>
      <c r="AJ1037">
        <v>2.3279139999999998</v>
      </c>
      <c r="AK1037" t="s">
        <v>77</v>
      </c>
      <c r="AL1037">
        <v>122.466818</v>
      </c>
      <c r="AM1037" s="4" t="s">
        <v>64</v>
      </c>
      <c r="AN1037" s="5">
        <v>9899.4839214064541</v>
      </c>
      <c r="AO1037" s="4" t="s">
        <v>65</v>
      </c>
      <c r="AP1037" s="6">
        <v>2009</v>
      </c>
      <c r="AQ1037">
        <v>4</v>
      </c>
      <c r="AR1037">
        <v>12259.810372</v>
      </c>
      <c r="AS1037" t="s">
        <v>66</v>
      </c>
      <c r="AT1037" t="s">
        <v>53</v>
      </c>
    </row>
    <row r="1038" spans="1:46">
      <c r="A1038">
        <v>85</v>
      </c>
      <c r="B1038" t="s">
        <v>46</v>
      </c>
      <c r="C1038">
        <v>76</v>
      </c>
      <c r="D1038">
        <v>834</v>
      </c>
      <c r="E1038" t="s">
        <v>1372</v>
      </c>
      <c r="F1038" t="s">
        <v>1339</v>
      </c>
      <c r="G1038">
        <v>76834</v>
      </c>
      <c r="H1038">
        <v>76834</v>
      </c>
      <c r="I1038" t="s">
        <v>49</v>
      </c>
      <c r="J1038">
        <v>7601</v>
      </c>
      <c r="K1038" t="s">
        <v>409</v>
      </c>
      <c r="L1038" t="s">
        <v>51</v>
      </c>
      <c r="M1038" t="s">
        <v>53</v>
      </c>
      <c r="N1038">
        <v>231962</v>
      </c>
      <c r="O1038" t="s">
        <v>53</v>
      </c>
      <c r="P1038" t="s">
        <v>54</v>
      </c>
      <c r="Q1038" t="s">
        <v>210</v>
      </c>
      <c r="R1038" t="s">
        <v>294</v>
      </c>
      <c r="S1038" t="s">
        <v>57</v>
      </c>
      <c r="T1038" t="s">
        <v>58</v>
      </c>
      <c r="U1038" t="s">
        <v>119</v>
      </c>
      <c r="V1038">
        <v>0.40375499999999998</v>
      </c>
      <c r="W1038" t="s">
        <v>53</v>
      </c>
      <c r="X1038" t="s">
        <v>53</v>
      </c>
      <c r="Y1038" t="s">
        <v>187</v>
      </c>
      <c r="Z1038" t="str">
        <f t="shared" si="32"/>
        <v>Mayor que 80 - hasta 100</v>
      </c>
      <c r="AA1038">
        <f t="shared" si="33"/>
        <v>1</v>
      </c>
      <c r="AB1038">
        <v>76834</v>
      </c>
      <c r="AC1038" t="s">
        <v>619</v>
      </c>
      <c r="AD1038" t="s">
        <v>1343</v>
      </c>
      <c r="AE1038">
        <v>0</v>
      </c>
      <c r="AF1038" t="s">
        <v>63</v>
      </c>
      <c r="AG1038">
        <v>0</v>
      </c>
      <c r="AH1038" t="s">
        <v>619</v>
      </c>
      <c r="AI1038" t="s">
        <v>620</v>
      </c>
      <c r="AJ1038">
        <v>1.8640399999999999</v>
      </c>
      <c r="AK1038" t="s">
        <v>76</v>
      </c>
      <c r="AL1038">
        <v>99.714631999999995</v>
      </c>
      <c r="AM1038" s="4" t="s">
        <v>64</v>
      </c>
      <c r="AN1038" s="5">
        <v>40034.233114816583</v>
      </c>
      <c r="AO1038" s="4" t="s">
        <v>65</v>
      </c>
      <c r="AP1038" s="6">
        <v>4366</v>
      </c>
      <c r="AQ1038">
        <v>4</v>
      </c>
      <c r="AR1038">
        <v>38126.298811000001</v>
      </c>
      <c r="AS1038" t="s">
        <v>66</v>
      </c>
      <c r="AT1038" t="s">
        <v>53</v>
      </c>
    </row>
    <row r="1039" spans="1:46">
      <c r="A1039">
        <v>86</v>
      </c>
      <c r="B1039" t="s">
        <v>46</v>
      </c>
      <c r="C1039">
        <v>76</v>
      </c>
      <c r="D1039">
        <v>845</v>
      </c>
      <c r="E1039" t="s">
        <v>1373</v>
      </c>
      <c r="F1039" t="s">
        <v>1339</v>
      </c>
      <c r="G1039">
        <v>76845</v>
      </c>
      <c r="H1039">
        <v>76845</v>
      </c>
      <c r="I1039" t="s">
        <v>49</v>
      </c>
      <c r="J1039">
        <v>7602</v>
      </c>
      <c r="K1039" t="s">
        <v>112</v>
      </c>
      <c r="L1039" t="s">
        <v>91</v>
      </c>
      <c r="M1039" t="s">
        <v>53</v>
      </c>
      <c r="N1039">
        <v>5795</v>
      </c>
      <c r="O1039" t="s">
        <v>53</v>
      </c>
      <c r="P1039" t="s">
        <v>70</v>
      </c>
      <c r="Q1039" t="s">
        <v>71</v>
      </c>
      <c r="R1039" t="s">
        <v>122</v>
      </c>
      <c r="S1039" t="s">
        <v>57</v>
      </c>
      <c r="T1039" t="s">
        <v>58</v>
      </c>
      <c r="U1039" t="s">
        <v>81</v>
      </c>
      <c r="V1039">
        <v>0.39850999999999998</v>
      </c>
      <c r="W1039" t="s">
        <v>53</v>
      </c>
      <c r="X1039" t="s">
        <v>53</v>
      </c>
      <c r="Y1039" t="s">
        <v>127</v>
      </c>
      <c r="Z1039" t="str">
        <f t="shared" si="32"/>
        <v>Mayor que 70 - hasta 80</v>
      </c>
      <c r="AA1039">
        <f t="shared" si="33"/>
        <v>1</v>
      </c>
      <c r="AB1039">
        <v>76845</v>
      </c>
      <c r="AC1039" t="s">
        <v>1159</v>
      </c>
      <c r="AD1039" t="s">
        <v>1166</v>
      </c>
      <c r="AE1039">
        <v>0.58342799999999995</v>
      </c>
      <c r="AF1039" t="s">
        <v>63</v>
      </c>
      <c r="AG1039">
        <v>14.163961</v>
      </c>
      <c r="AH1039" t="s">
        <v>555</v>
      </c>
      <c r="AI1039" t="s">
        <v>557</v>
      </c>
      <c r="AJ1039">
        <v>0.96238500000000005</v>
      </c>
      <c r="AK1039" t="s">
        <v>63</v>
      </c>
      <c r="AL1039">
        <v>22.713708</v>
      </c>
      <c r="AM1039" s="4" t="s">
        <v>65</v>
      </c>
      <c r="AN1039" s="5">
        <v>1992.718297705286</v>
      </c>
      <c r="AO1039" s="4" t="s">
        <v>65</v>
      </c>
      <c r="AP1039" s="6">
        <v>867</v>
      </c>
      <c r="AQ1039">
        <v>2</v>
      </c>
      <c r="AR1039">
        <v>2054.4042340000001</v>
      </c>
      <c r="AS1039" t="s">
        <v>66</v>
      </c>
      <c r="AT1039" t="s">
        <v>53</v>
      </c>
    </row>
    <row r="1040" spans="1:46">
      <c r="A1040">
        <v>87</v>
      </c>
      <c r="B1040" t="s">
        <v>46</v>
      </c>
      <c r="C1040">
        <v>76</v>
      </c>
      <c r="D1040">
        <v>863</v>
      </c>
      <c r="E1040" t="s">
        <v>1374</v>
      </c>
      <c r="F1040" t="s">
        <v>1339</v>
      </c>
      <c r="G1040">
        <v>76863</v>
      </c>
      <c r="H1040">
        <v>76863</v>
      </c>
      <c r="I1040" t="s">
        <v>49</v>
      </c>
      <c r="J1040">
        <v>7602</v>
      </c>
      <c r="K1040" t="s">
        <v>112</v>
      </c>
      <c r="L1040" t="s">
        <v>69</v>
      </c>
      <c r="M1040" t="s">
        <v>53</v>
      </c>
      <c r="N1040">
        <v>7438</v>
      </c>
      <c r="O1040" t="s">
        <v>53</v>
      </c>
      <c r="P1040" t="s">
        <v>70</v>
      </c>
      <c r="Q1040" t="s">
        <v>71</v>
      </c>
      <c r="R1040" t="s">
        <v>93</v>
      </c>
      <c r="S1040" t="s">
        <v>57</v>
      </c>
      <c r="T1040" t="s">
        <v>58</v>
      </c>
      <c r="U1040" t="s">
        <v>59</v>
      </c>
      <c r="V1040">
        <v>0.46843299999999999</v>
      </c>
      <c r="W1040" t="s">
        <v>53</v>
      </c>
      <c r="X1040" t="s">
        <v>53</v>
      </c>
      <c r="Y1040" t="s">
        <v>277</v>
      </c>
      <c r="Z1040" t="str">
        <f t="shared" si="32"/>
        <v>Mayor que 10 - hasta 15</v>
      </c>
      <c r="AA1040">
        <f t="shared" si="33"/>
        <v>1</v>
      </c>
      <c r="AB1040">
        <v>76863</v>
      </c>
      <c r="AC1040" t="s">
        <v>619</v>
      </c>
      <c r="AD1040" t="s">
        <v>1357</v>
      </c>
      <c r="AE1040">
        <v>0.66426600000000002</v>
      </c>
      <c r="AF1040" t="s">
        <v>63</v>
      </c>
      <c r="AG1040">
        <v>15.778174999999999</v>
      </c>
      <c r="AH1040" t="s">
        <v>555</v>
      </c>
      <c r="AI1040" t="s">
        <v>557</v>
      </c>
      <c r="AJ1040">
        <v>2.1979169999999999</v>
      </c>
      <c r="AK1040" t="s">
        <v>77</v>
      </c>
      <c r="AL1040">
        <v>91.817576000000003</v>
      </c>
      <c r="AM1040" s="4" t="s">
        <v>64</v>
      </c>
      <c r="AN1040" s="5">
        <v>954.79838325035701</v>
      </c>
      <c r="AO1040" s="4" t="s">
        <v>65</v>
      </c>
      <c r="AP1040" s="6">
        <v>45</v>
      </c>
      <c r="AQ1040">
        <v>4</v>
      </c>
      <c r="AR1040">
        <v>1321.2397370000001</v>
      </c>
      <c r="AS1040" t="s">
        <v>66</v>
      </c>
      <c r="AT1040" t="s">
        <v>53</v>
      </c>
    </row>
    <row r="1041" spans="1:46">
      <c r="A1041">
        <v>88</v>
      </c>
      <c r="B1041" t="s">
        <v>46</v>
      </c>
      <c r="C1041">
        <v>76</v>
      </c>
      <c r="D1041">
        <v>869</v>
      </c>
      <c r="E1041" t="s">
        <v>1375</v>
      </c>
      <c r="F1041" t="s">
        <v>1339</v>
      </c>
      <c r="G1041">
        <v>76869</v>
      </c>
      <c r="H1041">
        <v>76869</v>
      </c>
      <c r="I1041" t="s">
        <v>49</v>
      </c>
      <c r="J1041">
        <v>7605</v>
      </c>
      <c r="K1041" t="s">
        <v>297</v>
      </c>
      <c r="L1041" t="s">
        <v>51</v>
      </c>
      <c r="M1041" t="s">
        <v>53</v>
      </c>
      <c r="N1041">
        <v>13251</v>
      </c>
      <c r="O1041" t="s">
        <v>53</v>
      </c>
      <c r="P1041" t="s">
        <v>70</v>
      </c>
      <c r="Q1041" t="s">
        <v>71</v>
      </c>
      <c r="R1041" t="s">
        <v>56</v>
      </c>
      <c r="S1041" t="s">
        <v>57</v>
      </c>
      <c r="T1041" t="s">
        <v>58</v>
      </c>
      <c r="U1041" t="s">
        <v>81</v>
      </c>
      <c r="V1041">
        <v>0.52277700000000005</v>
      </c>
      <c r="W1041" t="s">
        <v>53</v>
      </c>
      <c r="X1041" t="s">
        <v>53</v>
      </c>
      <c r="Y1041" t="s">
        <v>165</v>
      </c>
      <c r="Z1041" t="str">
        <f t="shared" si="32"/>
        <v>Mayor que 60 - hasta 70</v>
      </c>
      <c r="AA1041">
        <f t="shared" si="33"/>
        <v>1</v>
      </c>
      <c r="AB1041">
        <v>76869</v>
      </c>
      <c r="AC1041" t="s">
        <v>619</v>
      </c>
      <c r="AD1041" t="s">
        <v>1363</v>
      </c>
      <c r="AE1041">
        <v>0.61297299999999999</v>
      </c>
      <c r="AF1041" t="s">
        <v>63</v>
      </c>
      <c r="AG1041">
        <v>22.723759000000001</v>
      </c>
      <c r="AH1041" t="s">
        <v>619</v>
      </c>
      <c r="AI1041" t="s">
        <v>620</v>
      </c>
      <c r="AJ1041">
        <v>0.779061</v>
      </c>
      <c r="AK1041" t="s">
        <v>63</v>
      </c>
      <c r="AL1041">
        <v>36.687719999999999</v>
      </c>
      <c r="AM1041" s="4" t="s">
        <v>64</v>
      </c>
      <c r="AN1041" s="5">
        <v>2318.8703464808032</v>
      </c>
      <c r="AO1041" s="4" t="s">
        <v>65</v>
      </c>
      <c r="AP1041" s="6">
        <v>788</v>
      </c>
      <c r="AQ1041">
        <v>4</v>
      </c>
      <c r="AR1041">
        <v>2762.6816220000001</v>
      </c>
      <c r="AS1041" t="s">
        <v>66</v>
      </c>
      <c r="AT1041" t="s">
        <v>53</v>
      </c>
    </row>
    <row r="1042" spans="1:46">
      <c r="A1042">
        <v>89</v>
      </c>
      <c r="B1042" t="s">
        <v>46</v>
      </c>
      <c r="C1042">
        <v>76</v>
      </c>
      <c r="D1042">
        <v>890</v>
      </c>
      <c r="E1042" t="s">
        <v>1376</v>
      </c>
      <c r="F1042" t="s">
        <v>1339</v>
      </c>
      <c r="G1042">
        <v>76890</v>
      </c>
      <c r="H1042">
        <v>76890</v>
      </c>
      <c r="I1042" t="s">
        <v>49</v>
      </c>
      <c r="J1042">
        <v>7601</v>
      </c>
      <c r="K1042" t="s">
        <v>409</v>
      </c>
      <c r="L1042" t="s">
        <v>69</v>
      </c>
      <c r="M1042" t="s">
        <v>53</v>
      </c>
      <c r="N1042">
        <v>16426</v>
      </c>
      <c r="O1042" t="s">
        <v>53</v>
      </c>
      <c r="P1042" t="s">
        <v>70</v>
      </c>
      <c r="Q1042" t="s">
        <v>71</v>
      </c>
      <c r="R1042" t="s">
        <v>93</v>
      </c>
      <c r="S1042" t="s">
        <v>57</v>
      </c>
      <c r="T1042" t="s">
        <v>73</v>
      </c>
      <c r="U1042" t="s">
        <v>59</v>
      </c>
      <c r="V1042">
        <v>0.41284399999999999</v>
      </c>
      <c r="W1042" t="s">
        <v>53</v>
      </c>
      <c r="X1042" t="s">
        <v>53</v>
      </c>
      <c r="Y1042" t="s">
        <v>127</v>
      </c>
      <c r="Z1042" t="str">
        <f t="shared" si="32"/>
        <v>Mayor que 70 - hasta 80</v>
      </c>
      <c r="AA1042">
        <f t="shared" si="33"/>
        <v>1</v>
      </c>
      <c r="AB1042">
        <v>76890</v>
      </c>
      <c r="AC1042" t="s">
        <v>619</v>
      </c>
      <c r="AD1042" t="s">
        <v>1348</v>
      </c>
      <c r="AE1042">
        <v>0.37361499999999997</v>
      </c>
      <c r="AF1042" t="s">
        <v>63</v>
      </c>
      <c r="AG1042">
        <v>13.874012</v>
      </c>
      <c r="AH1042" t="s">
        <v>619</v>
      </c>
      <c r="AI1042" t="s">
        <v>620</v>
      </c>
      <c r="AJ1042">
        <v>1.1954739999999999</v>
      </c>
      <c r="AK1042" t="s">
        <v>76</v>
      </c>
      <c r="AL1042">
        <v>59.477164000000002</v>
      </c>
      <c r="AM1042" s="4" t="s">
        <v>97</v>
      </c>
      <c r="AN1042" s="5">
        <v>13321.747255952172</v>
      </c>
      <c r="AO1042" s="4" t="s">
        <v>65</v>
      </c>
      <c r="AP1042" s="6">
        <v>1346</v>
      </c>
      <c r="AQ1042">
        <v>4</v>
      </c>
      <c r="AR1042">
        <v>14888.419825000001</v>
      </c>
      <c r="AS1042" t="s">
        <v>66</v>
      </c>
      <c r="AT1042" t="s">
        <v>53</v>
      </c>
    </row>
    <row r="1043" spans="1:46">
      <c r="A1043">
        <v>90</v>
      </c>
      <c r="B1043" t="s">
        <v>46</v>
      </c>
      <c r="C1043">
        <v>76</v>
      </c>
      <c r="D1043">
        <v>892</v>
      </c>
      <c r="E1043" t="s">
        <v>1363</v>
      </c>
      <c r="F1043" t="s">
        <v>1339</v>
      </c>
      <c r="G1043">
        <v>76892</v>
      </c>
      <c r="H1043">
        <v>76892</v>
      </c>
      <c r="I1043" t="s">
        <v>49</v>
      </c>
      <c r="J1043">
        <v>7605</v>
      </c>
      <c r="K1043" t="s">
        <v>297</v>
      </c>
      <c r="L1043" t="s">
        <v>51</v>
      </c>
      <c r="M1043" t="s">
        <v>53</v>
      </c>
      <c r="N1043">
        <v>108774</v>
      </c>
      <c r="O1043" t="s">
        <v>53</v>
      </c>
      <c r="P1043" t="s">
        <v>92</v>
      </c>
      <c r="Q1043" t="s">
        <v>138</v>
      </c>
      <c r="R1043" t="s">
        <v>93</v>
      </c>
      <c r="S1043" t="s">
        <v>57</v>
      </c>
      <c r="T1043" t="s">
        <v>58</v>
      </c>
      <c r="U1043" t="s">
        <v>59</v>
      </c>
      <c r="V1043">
        <v>0.47273500000000002</v>
      </c>
      <c r="W1043" t="s">
        <v>53</v>
      </c>
      <c r="X1043" t="s">
        <v>53</v>
      </c>
      <c r="Y1043" t="s">
        <v>195</v>
      </c>
      <c r="Z1043" t="str">
        <f t="shared" si="32"/>
        <v>Mayor que 250 - hasta 300</v>
      </c>
      <c r="AA1043">
        <f t="shared" si="33"/>
        <v>1</v>
      </c>
      <c r="AB1043">
        <v>76892</v>
      </c>
      <c r="AC1043" t="s">
        <v>619</v>
      </c>
      <c r="AD1043" t="s">
        <v>1363</v>
      </c>
      <c r="AE1043">
        <v>0</v>
      </c>
      <c r="AF1043" t="s">
        <v>63</v>
      </c>
      <c r="AG1043">
        <v>0</v>
      </c>
      <c r="AH1043" t="s">
        <v>619</v>
      </c>
      <c r="AI1043" t="s">
        <v>620</v>
      </c>
      <c r="AJ1043">
        <v>0.43730799999999997</v>
      </c>
      <c r="AK1043" t="s">
        <v>63</v>
      </c>
      <c r="AL1043">
        <v>15.412489000000001</v>
      </c>
      <c r="AM1043" s="4" t="s">
        <v>64</v>
      </c>
      <c r="AN1043" s="5">
        <v>7133.945120591462</v>
      </c>
      <c r="AO1043" s="4" t="s">
        <v>65</v>
      </c>
      <c r="AP1043" s="6">
        <v>2042</v>
      </c>
      <c r="AQ1043">
        <v>4</v>
      </c>
      <c r="AR1043">
        <v>11122.459217</v>
      </c>
      <c r="AS1043" t="s">
        <v>66</v>
      </c>
      <c r="AT1043" t="s">
        <v>53</v>
      </c>
    </row>
    <row r="1044" spans="1:46">
      <c r="A1044">
        <v>91</v>
      </c>
      <c r="B1044" t="s">
        <v>46</v>
      </c>
      <c r="C1044">
        <v>76</v>
      </c>
      <c r="D1044">
        <v>895</v>
      </c>
      <c r="E1044" t="s">
        <v>1365</v>
      </c>
      <c r="F1044" t="s">
        <v>1339</v>
      </c>
      <c r="G1044">
        <v>76895</v>
      </c>
      <c r="H1044">
        <v>76895</v>
      </c>
      <c r="I1044" t="s">
        <v>49</v>
      </c>
      <c r="J1044">
        <v>7602</v>
      </c>
      <c r="K1044" t="s">
        <v>112</v>
      </c>
      <c r="L1044" t="s">
        <v>91</v>
      </c>
      <c r="M1044" t="s">
        <v>53</v>
      </c>
      <c r="N1044">
        <v>43112</v>
      </c>
      <c r="O1044" t="s">
        <v>53</v>
      </c>
      <c r="P1044" t="s">
        <v>92</v>
      </c>
      <c r="Q1044" t="s">
        <v>118</v>
      </c>
      <c r="R1044" t="s">
        <v>105</v>
      </c>
      <c r="S1044" t="s">
        <v>57</v>
      </c>
      <c r="T1044" t="s">
        <v>58</v>
      </c>
      <c r="U1044" t="s">
        <v>59</v>
      </c>
      <c r="V1044">
        <v>0.363981</v>
      </c>
      <c r="W1044" t="s">
        <v>53</v>
      </c>
      <c r="X1044" t="s">
        <v>53</v>
      </c>
      <c r="Y1044" t="s">
        <v>165</v>
      </c>
      <c r="Z1044" t="str">
        <f t="shared" si="32"/>
        <v>Mayor que 60 - hasta 70</v>
      </c>
      <c r="AA1044">
        <f t="shared" si="33"/>
        <v>1</v>
      </c>
      <c r="AB1044">
        <v>76895</v>
      </c>
      <c r="AC1044" t="s">
        <v>619</v>
      </c>
      <c r="AD1044" t="s">
        <v>1365</v>
      </c>
      <c r="AE1044">
        <v>0</v>
      </c>
      <c r="AF1044" t="s">
        <v>63</v>
      </c>
      <c r="AG1044">
        <v>0</v>
      </c>
      <c r="AH1044" t="s">
        <v>555</v>
      </c>
      <c r="AI1044" t="s">
        <v>557</v>
      </c>
      <c r="AJ1044">
        <v>1.676309</v>
      </c>
      <c r="AK1044" t="s">
        <v>76</v>
      </c>
      <c r="AL1044">
        <v>80.874934999999994</v>
      </c>
      <c r="AM1044" s="4" t="s">
        <v>97</v>
      </c>
      <c r="AN1044" s="5">
        <v>16897.677566912018</v>
      </c>
      <c r="AO1044" s="4" t="s">
        <v>65</v>
      </c>
      <c r="AP1044" s="6">
        <v>739</v>
      </c>
      <c r="AQ1044">
        <v>4</v>
      </c>
      <c r="AR1044">
        <v>20535.805222999999</v>
      </c>
      <c r="AS1044" t="s">
        <v>66</v>
      </c>
      <c r="AT1044" t="s">
        <v>53</v>
      </c>
    </row>
    <row r="1045" spans="1:46">
      <c r="A1045">
        <v>626</v>
      </c>
      <c r="B1045" t="s">
        <v>46</v>
      </c>
      <c r="C1045">
        <v>81</v>
      </c>
      <c r="D1045">
        <v>1</v>
      </c>
      <c r="E1045" t="s">
        <v>451</v>
      </c>
      <c r="F1045" t="s">
        <v>451</v>
      </c>
      <c r="G1045">
        <v>81001</v>
      </c>
      <c r="H1045">
        <v>81001</v>
      </c>
      <c r="I1045" t="s">
        <v>1015</v>
      </c>
      <c r="J1045">
        <v>8100</v>
      </c>
      <c r="K1045" t="s">
        <v>451</v>
      </c>
      <c r="L1045" t="s">
        <v>91</v>
      </c>
      <c r="M1045" t="s">
        <v>52</v>
      </c>
      <c r="N1045">
        <v>99393</v>
      </c>
      <c r="O1045" t="s">
        <v>53</v>
      </c>
      <c r="P1045" t="s">
        <v>92</v>
      </c>
      <c r="Q1045" t="s">
        <v>134</v>
      </c>
      <c r="R1045" t="s">
        <v>93</v>
      </c>
      <c r="S1045" t="s">
        <v>57</v>
      </c>
      <c r="T1045" t="s">
        <v>73</v>
      </c>
      <c r="U1045" t="s">
        <v>101</v>
      </c>
      <c r="V1045">
        <v>0.42011100000000001</v>
      </c>
      <c r="W1045">
        <v>2022</v>
      </c>
      <c r="X1045" t="s">
        <v>310</v>
      </c>
      <c r="Y1045" t="s">
        <v>311</v>
      </c>
      <c r="Z1045" t="str">
        <f t="shared" si="32"/>
        <v>Mayor que 15 - hasta 20</v>
      </c>
      <c r="AA1045">
        <f t="shared" si="33"/>
        <v>0</v>
      </c>
      <c r="AB1045">
        <v>81001</v>
      </c>
      <c r="AC1045" t="s">
        <v>449</v>
      </c>
      <c r="AD1045" t="s">
        <v>451</v>
      </c>
      <c r="AE1045">
        <v>0</v>
      </c>
      <c r="AF1045" t="s">
        <v>63</v>
      </c>
      <c r="AG1045">
        <v>0</v>
      </c>
      <c r="AH1045" t="s">
        <v>449</v>
      </c>
      <c r="AI1045" t="s">
        <v>451</v>
      </c>
      <c r="AJ1045">
        <v>0</v>
      </c>
      <c r="AK1045" t="s">
        <v>63</v>
      </c>
      <c r="AL1045">
        <v>0</v>
      </c>
      <c r="AM1045" t="s">
        <v>64</v>
      </c>
      <c r="AN1045" s="7">
        <v>719.05305272545093</v>
      </c>
      <c r="AO1045" t="s">
        <v>65</v>
      </c>
      <c r="AP1045" s="3">
        <v>27</v>
      </c>
      <c r="AQ1045">
        <v>4</v>
      </c>
      <c r="AR1045">
        <v>413.37777499999999</v>
      </c>
      <c r="AS1045" t="s">
        <v>66</v>
      </c>
      <c r="AT1045" t="s">
        <v>53</v>
      </c>
    </row>
    <row r="1046" spans="1:46">
      <c r="A1046">
        <v>629</v>
      </c>
      <c r="B1046" t="s">
        <v>46</v>
      </c>
      <c r="C1046">
        <v>81</v>
      </c>
      <c r="D1046">
        <v>65</v>
      </c>
      <c r="E1046" t="s">
        <v>1377</v>
      </c>
      <c r="F1046" t="s">
        <v>451</v>
      </c>
      <c r="G1046">
        <v>81065</v>
      </c>
      <c r="H1046">
        <v>81065</v>
      </c>
      <c r="I1046" t="s">
        <v>1015</v>
      </c>
      <c r="J1046">
        <v>8100</v>
      </c>
      <c r="K1046" t="s">
        <v>451</v>
      </c>
      <c r="L1046" t="s">
        <v>69</v>
      </c>
      <c r="M1046" t="s">
        <v>53</v>
      </c>
      <c r="N1046">
        <v>62499</v>
      </c>
      <c r="O1046" t="s">
        <v>53</v>
      </c>
      <c r="P1046" t="s">
        <v>92</v>
      </c>
      <c r="Q1046" t="s">
        <v>71</v>
      </c>
      <c r="R1046" t="s">
        <v>105</v>
      </c>
      <c r="S1046" t="s">
        <v>1378</v>
      </c>
      <c r="T1046" t="s">
        <v>73</v>
      </c>
      <c r="U1046" t="s">
        <v>115</v>
      </c>
      <c r="V1046">
        <v>0.40545599999999998</v>
      </c>
      <c r="W1046">
        <v>2022</v>
      </c>
      <c r="X1046" t="s">
        <v>310</v>
      </c>
      <c r="Y1046" t="s">
        <v>311</v>
      </c>
      <c r="Z1046" t="str">
        <f t="shared" si="32"/>
        <v>Mayor que 15 - hasta 20</v>
      </c>
      <c r="AA1046">
        <f t="shared" si="33"/>
        <v>0</v>
      </c>
      <c r="AB1046">
        <v>81065</v>
      </c>
      <c r="AC1046" t="s">
        <v>449</v>
      </c>
      <c r="AD1046" t="s">
        <v>450</v>
      </c>
      <c r="AE1046">
        <v>1.736302</v>
      </c>
      <c r="AF1046" t="s">
        <v>76</v>
      </c>
      <c r="AG1046">
        <v>61.715642000000003</v>
      </c>
      <c r="AH1046" t="s">
        <v>449</v>
      </c>
      <c r="AI1046" t="s">
        <v>451</v>
      </c>
      <c r="AJ1046">
        <v>2.8059150000000002</v>
      </c>
      <c r="AK1046" t="s">
        <v>77</v>
      </c>
      <c r="AL1046">
        <v>104.65311</v>
      </c>
      <c r="AM1046" t="s">
        <v>97</v>
      </c>
      <c r="AN1046" s="7">
        <v>11723.324718057351</v>
      </c>
      <c r="AO1046" t="s">
        <v>65</v>
      </c>
      <c r="AP1046" s="3">
        <v>291</v>
      </c>
      <c r="AQ1046">
        <v>3</v>
      </c>
      <c r="AR1046">
        <v>12749.937015</v>
      </c>
      <c r="AS1046" t="s">
        <v>66</v>
      </c>
      <c r="AT1046" t="s">
        <v>53</v>
      </c>
    </row>
    <row r="1047" spans="1:46">
      <c r="A1047">
        <v>628</v>
      </c>
      <c r="B1047" t="s">
        <v>46</v>
      </c>
      <c r="C1047">
        <v>81</v>
      </c>
      <c r="D1047">
        <v>220</v>
      </c>
      <c r="E1047" t="s">
        <v>1379</v>
      </c>
      <c r="F1047" t="s">
        <v>451</v>
      </c>
      <c r="G1047">
        <v>81220</v>
      </c>
      <c r="H1047">
        <v>81220</v>
      </c>
      <c r="I1047" t="s">
        <v>1015</v>
      </c>
      <c r="J1047">
        <v>8100</v>
      </c>
      <c r="K1047" t="s">
        <v>451</v>
      </c>
      <c r="L1047" t="s">
        <v>80</v>
      </c>
      <c r="M1047" t="s">
        <v>53</v>
      </c>
      <c r="N1047">
        <v>4510</v>
      </c>
      <c r="O1047" t="s">
        <v>53</v>
      </c>
      <c r="P1047" t="s">
        <v>70</v>
      </c>
      <c r="Q1047" t="s">
        <v>71</v>
      </c>
      <c r="R1047" t="s">
        <v>105</v>
      </c>
      <c r="S1047" t="s">
        <v>57</v>
      </c>
      <c r="T1047" t="s">
        <v>73</v>
      </c>
      <c r="U1047" t="s">
        <v>119</v>
      </c>
      <c r="V1047">
        <v>0.46704899999999999</v>
      </c>
      <c r="W1047">
        <v>2022</v>
      </c>
      <c r="X1047" t="s">
        <v>383</v>
      </c>
      <c r="Y1047" t="s">
        <v>384</v>
      </c>
      <c r="Z1047" t="str">
        <f t="shared" si="32"/>
        <v>Mayor que 3 - hasta 5</v>
      </c>
      <c r="AA1047">
        <f t="shared" si="33"/>
        <v>0</v>
      </c>
      <c r="AB1047">
        <v>81220</v>
      </c>
      <c r="AC1047" t="s">
        <v>449</v>
      </c>
      <c r="AD1047" t="s">
        <v>451</v>
      </c>
      <c r="AE1047">
        <v>3.974523</v>
      </c>
      <c r="AF1047" t="s">
        <v>84</v>
      </c>
      <c r="AG1047">
        <v>154.18368000000001</v>
      </c>
      <c r="AH1047" t="s">
        <v>449</v>
      </c>
      <c r="AI1047" t="s">
        <v>451</v>
      </c>
      <c r="AJ1047">
        <v>4.0027920000000003</v>
      </c>
      <c r="AK1047" t="s">
        <v>85</v>
      </c>
      <c r="AL1047">
        <v>153.98367999999999</v>
      </c>
      <c r="AM1047" t="s">
        <v>97</v>
      </c>
      <c r="AN1047" s="7">
        <v>14317.245784484599</v>
      </c>
      <c r="AO1047" t="s">
        <v>64</v>
      </c>
      <c r="AP1047" s="3">
        <v>42</v>
      </c>
      <c r="AQ1047">
        <v>3</v>
      </c>
      <c r="AR1047">
        <v>14292.032415</v>
      </c>
      <c r="AS1047" t="s">
        <v>66</v>
      </c>
      <c r="AT1047" t="s">
        <v>53</v>
      </c>
    </row>
    <row r="1048" spans="1:46">
      <c r="A1048">
        <v>630</v>
      </c>
      <c r="B1048" t="s">
        <v>46</v>
      </c>
      <c r="C1048">
        <v>81</v>
      </c>
      <c r="D1048">
        <v>300</v>
      </c>
      <c r="E1048" t="s">
        <v>1380</v>
      </c>
      <c r="F1048" t="s">
        <v>451</v>
      </c>
      <c r="G1048">
        <v>81300</v>
      </c>
      <c r="H1048">
        <v>81300</v>
      </c>
      <c r="I1048" t="s">
        <v>1015</v>
      </c>
      <c r="J1048">
        <v>8100</v>
      </c>
      <c r="K1048" t="s">
        <v>451</v>
      </c>
      <c r="L1048" t="s">
        <v>69</v>
      </c>
      <c r="M1048" t="s">
        <v>53</v>
      </c>
      <c r="N1048">
        <v>23867</v>
      </c>
      <c r="O1048" t="s">
        <v>53</v>
      </c>
      <c r="P1048" t="s">
        <v>70</v>
      </c>
      <c r="Q1048" t="s">
        <v>71</v>
      </c>
      <c r="R1048" t="s">
        <v>105</v>
      </c>
      <c r="S1048" t="s">
        <v>1378</v>
      </c>
      <c r="T1048" t="s">
        <v>73</v>
      </c>
      <c r="U1048" t="s">
        <v>115</v>
      </c>
      <c r="V1048">
        <v>0.60352600000000001</v>
      </c>
      <c r="W1048">
        <v>2022</v>
      </c>
      <c r="X1048" t="s">
        <v>310</v>
      </c>
      <c r="Y1048" t="s">
        <v>311</v>
      </c>
      <c r="Z1048" t="str">
        <f t="shared" si="32"/>
        <v>Mayor que 15 - hasta 20</v>
      </c>
      <c r="AA1048">
        <f t="shared" si="33"/>
        <v>0</v>
      </c>
      <c r="AB1048">
        <v>81300</v>
      </c>
      <c r="AC1048" t="s">
        <v>449</v>
      </c>
      <c r="AD1048" t="s">
        <v>450</v>
      </c>
      <c r="AE1048">
        <v>0.53896299999999997</v>
      </c>
      <c r="AF1048" t="s">
        <v>63</v>
      </c>
      <c r="AG1048">
        <v>27.790664</v>
      </c>
      <c r="AH1048" t="s">
        <v>449</v>
      </c>
      <c r="AI1048" t="s">
        <v>451</v>
      </c>
      <c r="AJ1048">
        <v>3.9943010000000001</v>
      </c>
      <c r="AK1048" t="s">
        <v>84</v>
      </c>
      <c r="AL1048">
        <v>188.72093799999999</v>
      </c>
      <c r="AM1048" t="s">
        <v>64</v>
      </c>
      <c r="AN1048" s="7">
        <v>11404.13932611736</v>
      </c>
      <c r="AO1048" t="s">
        <v>64</v>
      </c>
      <c r="AP1048" s="3">
        <v>333</v>
      </c>
      <c r="AQ1048">
        <v>2</v>
      </c>
      <c r="AR1048">
        <v>13325.734848</v>
      </c>
      <c r="AS1048" t="s">
        <v>66</v>
      </c>
      <c r="AT1048" t="s">
        <v>53</v>
      </c>
    </row>
    <row r="1049" spans="1:46">
      <c r="A1049">
        <v>627</v>
      </c>
      <c r="B1049" t="s">
        <v>46</v>
      </c>
      <c r="C1049">
        <v>81</v>
      </c>
      <c r="D1049">
        <v>591</v>
      </c>
      <c r="E1049" t="s">
        <v>1381</v>
      </c>
      <c r="F1049" t="s">
        <v>451</v>
      </c>
      <c r="G1049">
        <v>81591</v>
      </c>
      <c r="H1049">
        <v>81591</v>
      </c>
      <c r="I1049" t="s">
        <v>1015</v>
      </c>
      <c r="J1049">
        <v>8100</v>
      </c>
      <c r="K1049" t="s">
        <v>451</v>
      </c>
      <c r="L1049" t="s">
        <v>80</v>
      </c>
      <c r="M1049" t="s">
        <v>53</v>
      </c>
      <c r="N1049">
        <v>5186</v>
      </c>
      <c r="O1049" t="s">
        <v>53</v>
      </c>
      <c r="P1049" t="s">
        <v>70</v>
      </c>
      <c r="Q1049" t="s">
        <v>71</v>
      </c>
      <c r="R1049" t="s">
        <v>56</v>
      </c>
      <c r="S1049" t="s">
        <v>57</v>
      </c>
      <c r="T1049" t="s">
        <v>73</v>
      </c>
      <c r="U1049" t="s">
        <v>101</v>
      </c>
      <c r="V1049">
        <v>0.50935799999999998</v>
      </c>
      <c r="W1049">
        <v>2022</v>
      </c>
      <c r="X1049" t="s">
        <v>345</v>
      </c>
      <c r="Y1049" t="s">
        <v>346</v>
      </c>
      <c r="Z1049" t="str">
        <f t="shared" si="32"/>
        <v>Mayor que 8 - hasta 10</v>
      </c>
      <c r="AA1049">
        <f t="shared" si="33"/>
        <v>0</v>
      </c>
      <c r="AB1049">
        <v>81591</v>
      </c>
      <c r="AC1049" t="s">
        <v>449</v>
      </c>
      <c r="AD1049" t="s">
        <v>1382</v>
      </c>
      <c r="AE1049">
        <v>2.4943399999999998</v>
      </c>
      <c r="AF1049" t="s">
        <v>77</v>
      </c>
      <c r="AG1049">
        <v>87.529351000000005</v>
      </c>
      <c r="AH1049" t="s">
        <v>449</v>
      </c>
      <c r="AI1049" t="s">
        <v>451</v>
      </c>
      <c r="AJ1049">
        <v>5.036022</v>
      </c>
      <c r="AK1049" t="s">
        <v>181</v>
      </c>
      <c r="AL1049">
        <v>151.80722900000001</v>
      </c>
      <c r="AM1049" t="s">
        <v>64</v>
      </c>
      <c r="AN1049" s="7">
        <v>1217.5051956509849</v>
      </c>
      <c r="AO1049" t="s">
        <v>65</v>
      </c>
      <c r="AP1049" s="3">
        <v>62</v>
      </c>
      <c r="AQ1049">
        <v>3</v>
      </c>
      <c r="AR1049">
        <v>1943.247061</v>
      </c>
      <c r="AS1049" t="s">
        <v>66</v>
      </c>
      <c r="AT1049" t="s">
        <v>53</v>
      </c>
    </row>
    <row r="1050" spans="1:46">
      <c r="A1050">
        <v>631</v>
      </c>
      <c r="B1050" t="s">
        <v>46</v>
      </c>
      <c r="C1050">
        <v>81</v>
      </c>
      <c r="D1050">
        <v>736</v>
      </c>
      <c r="E1050" t="s">
        <v>450</v>
      </c>
      <c r="F1050" t="s">
        <v>451</v>
      </c>
      <c r="G1050">
        <v>81736</v>
      </c>
      <c r="H1050">
        <v>81736</v>
      </c>
      <c r="I1050" t="s">
        <v>1015</v>
      </c>
      <c r="J1050">
        <v>8100</v>
      </c>
      <c r="K1050" t="s">
        <v>451</v>
      </c>
      <c r="L1050" t="s">
        <v>91</v>
      </c>
      <c r="M1050" t="s">
        <v>53</v>
      </c>
      <c r="N1050">
        <v>64236</v>
      </c>
      <c r="O1050" t="s">
        <v>53</v>
      </c>
      <c r="P1050" t="s">
        <v>92</v>
      </c>
      <c r="Q1050" t="s">
        <v>71</v>
      </c>
      <c r="R1050" t="s">
        <v>56</v>
      </c>
      <c r="S1050" t="s">
        <v>1378</v>
      </c>
      <c r="T1050" t="s">
        <v>73</v>
      </c>
      <c r="U1050" t="s">
        <v>115</v>
      </c>
      <c r="V1050">
        <v>0.38925500000000002</v>
      </c>
      <c r="W1050">
        <v>2022</v>
      </c>
      <c r="X1050" t="s">
        <v>310</v>
      </c>
      <c r="Y1050" t="s">
        <v>311</v>
      </c>
      <c r="Z1050" t="str">
        <f t="shared" si="32"/>
        <v>Mayor que 15 - hasta 20</v>
      </c>
      <c r="AA1050">
        <f t="shared" si="33"/>
        <v>0</v>
      </c>
      <c r="AB1050">
        <v>81736</v>
      </c>
      <c r="AC1050" t="s">
        <v>449</v>
      </c>
      <c r="AD1050" t="s">
        <v>450</v>
      </c>
      <c r="AE1050">
        <v>0</v>
      </c>
      <c r="AF1050" t="s">
        <v>63</v>
      </c>
      <c r="AG1050">
        <v>0</v>
      </c>
      <c r="AH1050" t="s">
        <v>449</v>
      </c>
      <c r="AI1050" t="s">
        <v>451</v>
      </c>
      <c r="AJ1050">
        <v>4.4093689999999999</v>
      </c>
      <c r="AK1050" t="s">
        <v>85</v>
      </c>
      <c r="AL1050">
        <v>214.414545</v>
      </c>
      <c r="AM1050" t="s">
        <v>64</v>
      </c>
      <c r="AN1050" s="7">
        <v>11833.13668861776</v>
      </c>
      <c r="AO1050" t="s">
        <v>65</v>
      </c>
      <c r="AP1050" s="3">
        <v>540</v>
      </c>
      <c r="AQ1050">
        <v>3</v>
      </c>
      <c r="AR1050">
        <v>13822.945615000001</v>
      </c>
      <c r="AS1050" t="s">
        <v>66</v>
      </c>
      <c r="AT1050" t="s">
        <v>53</v>
      </c>
    </row>
    <row r="1051" spans="1:46">
      <c r="A1051">
        <v>632</v>
      </c>
      <c r="B1051" t="s">
        <v>46</v>
      </c>
      <c r="C1051">
        <v>81</v>
      </c>
      <c r="D1051">
        <v>794</v>
      </c>
      <c r="E1051" t="s">
        <v>1382</v>
      </c>
      <c r="F1051" t="s">
        <v>451</v>
      </c>
      <c r="G1051">
        <v>81794</v>
      </c>
      <c r="H1051">
        <v>81794</v>
      </c>
      <c r="I1051" t="s">
        <v>1015</v>
      </c>
      <c r="J1051">
        <v>8100</v>
      </c>
      <c r="K1051" t="s">
        <v>451</v>
      </c>
      <c r="L1051" t="s">
        <v>80</v>
      </c>
      <c r="M1051" t="s">
        <v>53</v>
      </c>
      <c r="N1051">
        <v>53406</v>
      </c>
      <c r="O1051" t="s">
        <v>53</v>
      </c>
      <c r="P1051" t="s">
        <v>92</v>
      </c>
      <c r="Q1051" t="s">
        <v>71</v>
      </c>
      <c r="R1051" t="s">
        <v>122</v>
      </c>
      <c r="S1051" t="s">
        <v>1378</v>
      </c>
      <c r="T1051" t="s">
        <v>73</v>
      </c>
      <c r="U1051" t="s">
        <v>115</v>
      </c>
      <c r="V1051">
        <v>0.38361899999999999</v>
      </c>
      <c r="W1051">
        <v>2022</v>
      </c>
      <c r="X1051" t="s">
        <v>176</v>
      </c>
      <c r="Y1051" t="s">
        <v>177</v>
      </c>
      <c r="Z1051" t="str">
        <f t="shared" si="32"/>
        <v>Mayor que 20 - hasta 30</v>
      </c>
      <c r="AA1051">
        <f t="shared" si="33"/>
        <v>0</v>
      </c>
      <c r="AB1051">
        <v>81794</v>
      </c>
      <c r="AC1051" t="s">
        <v>449</v>
      </c>
      <c r="AD1051" t="s">
        <v>1382</v>
      </c>
      <c r="AE1051">
        <v>0</v>
      </c>
      <c r="AF1051" t="s">
        <v>63</v>
      </c>
      <c r="AG1051">
        <v>0</v>
      </c>
      <c r="AH1051" t="s">
        <v>449</v>
      </c>
      <c r="AI1051" t="s">
        <v>451</v>
      </c>
      <c r="AJ1051">
        <v>3.5877490000000001</v>
      </c>
      <c r="AK1051" t="s">
        <v>84</v>
      </c>
      <c r="AL1051">
        <v>191.42733000000001</v>
      </c>
      <c r="AM1051" s="4" t="e">
        <v>#N/A</v>
      </c>
      <c r="AN1051" s="5" t="e">
        <v>#N/A</v>
      </c>
      <c r="AO1051" s="4" t="e">
        <v>#N/A</v>
      </c>
      <c r="AP1051" s="6" t="e">
        <v>#N/A</v>
      </c>
      <c r="AQ1051">
        <v>2</v>
      </c>
      <c r="AR1051">
        <v>12577.707995000001</v>
      </c>
      <c r="AS1051" t="s">
        <v>66</v>
      </c>
      <c r="AT1051" t="s">
        <v>53</v>
      </c>
    </row>
    <row r="1052" spans="1:46">
      <c r="A1052">
        <v>188</v>
      </c>
      <c r="B1052" t="s">
        <v>46</v>
      </c>
      <c r="C1052">
        <v>85</v>
      </c>
      <c r="D1052">
        <v>1</v>
      </c>
      <c r="E1052" t="s">
        <v>473</v>
      </c>
      <c r="F1052" t="s">
        <v>1383</v>
      </c>
      <c r="G1052">
        <v>85001</v>
      </c>
      <c r="H1052">
        <v>85001</v>
      </c>
      <c r="I1052" t="s">
        <v>1015</v>
      </c>
      <c r="J1052">
        <v>8500</v>
      </c>
      <c r="K1052" t="s">
        <v>1383</v>
      </c>
      <c r="L1052" t="s">
        <v>51</v>
      </c>
      <c r="M1052" t="s">
        <v>52</v>
      </c>
      <c r="N1052">
        <v>191133</v>
      </c>
      <c r="O1052" t="s">
        <v>53</v>
      </c>
      <c r="P1052" t="s">
        <v>54</v>
      </c>
      <c r="Q1052" t="s">
        <v>210</v>
      </c>
      <c r="R1052" t="s">
        <v>294</v>
      </c>
      <c r="S1052" t="s">
        <v>57</v>
      </c>
      <c r="T1052" t="s">
        <v>58</v>
      </c>
      <c r="U1052" t="s">
        <v>119</v>
      </c>
      <c r="V1052">
        <v>0.214974</v>
      </c>
      <c r="W1052">
        <v>2022</v>
      </c>
      <c r="X1052" t="s">
        <v>109</v>
      </c>
      <c r="Y1052" t="s">
        <v>87</v>
      </c>
      <c r="Z1052" t="str">
        <f t="shared" si="32"/>
        <v>Mayor que 40 - hasta 50</v>
      </c>
      <c r="AA1052">
        <f t="shared" si="33"/>
        <v>1</v>
      </c>
      <c r="AB1052">
        <v>85001</v>
      </c>
      <c r="AC1052" t="s">
        <v>432</v>
      </c>
      <c r="AD1052" t="s">
        <v>473</v>
      </c>
      <c r="AE1052">
        <v>0</v>
      </c>
      <c r="AF1052" t="s">
        <v>63</v>
      </c>
      <c r="AG1052">
        <v>0</v>
      </c>
      <c r="AH1052" t="s">
        <v>432</v>
      </c>
      <c r="AI1052" t="s">
        <v>473</v>
      </c>
      <c r="AJ1052">
        <v>0</v>
      </c>
      <c r="AK1052" t="s">
        <v>63</v>
      </c>
      <c r="AL1052">
        <v>0</v>
      </c>
      <c r="AM1052" t="s">
        <v>97</v>
      </c>
      <c r="AN1052" s="7">
        <v>39210.936683849999</v>
      </c>
      <c r="AO1052" t="s">
        <v>65</v>
      </c>
      <c r="AP1052" s="3">
        <v>544</v>
      </c>
      <c r="AQ1052">
        <v>4</v>
      </c>
      <c r="AR1052">
        <v>41398.548134999997</v>
      </c>
      <c r="AS1052" t="s">
        <v>66</v>
      </c>
      <c r="AT1052" t="s">
        <v>53</v>
      </c>
    </row>
    <row r="1053" spans="1:46">
      <c r="A1053">
        <v>189</v>
      </c>
      <c r="B1053" t="s">
        <v>46</v>
      </c>
      <c r="C1053">
        <v>85</v>
      </c>
      <c r="D1053">
        <v>10</v>
      </c>
      <c r="E1053" t="s">
        <v>494</v>
      </c>
      <c r="F1053" t="s">
        <v>1383</v>
      </c>
      <c r="G1053">
        <v>85010</v>
      </c>
      <c r="H1053">
        <v>85010</v>
      </c>
      <c r="I1053" t="s">
        <v>1015</v>
      </c>
      <c r="J1053">
        <v>8500</v>
      </c>
      <c r="K1053" t="s">
        <v>1383</v>
      </c>
      <c r="L1053" t="s">
        <v>91</v>
      </c>
      <c r="M1053" t="s">
        <v>53</v>
      </c>
      <c r="N1053">
        <v>40528</v>
      </c>
      <c r="O1053" t="s">
        <v>53</v>
      </c>
      <c r="P1053" t="s">
        <v>92</v>
      </c>
      <c r="Q1053" t="s">
        <v>118</v>
      </c>
      <c r="R1053" t="s">
        <v>56</v>
      </c>
      <c r="S1053" t="s">
        <v>57</v>
      </c>
      <c r="T1053" t="s">
        <v>73</v>
      </c>
      <c r="U1053" t="s">
        <v>119</v>
      </c>
      <c r="V1053">
        <v>0.59599199999999997</v>
      </c>
      <c r="W1053">
        <v>2022</v>
      </c>
      <c r="X1053" t="s">
        <v>109</v>
      </c>
      <c r="Y1053" t="s">
        <v>110</v>
      </c>
      <c r="Z1053" t="str">
        <f t="shared" si="32"/>
        <v>Mayor que 30 - hasta 40</v>
      </c>
      <c r="AA1053">
        <f t="shared" si="33"/>
        <v>0</v>
      </c>
      <c r="AB1053">
        <v>85010</v>
      </c>
      <c r="AC1053" t="s">
        <v>432</v>
      </c>
      <c r="AD1053" t="s">
        <v>494</v>
      </c>
      <c r="AE1053">
        <v>0</v>
      </c>
      <c r="AF1053" t="s">
        <v>63</v>
      </c>
      <c r="AG1053">
        <v>0</v>
      </c>
      <c r="AH1053" t="s">
        <v>432</v>
      </c>
      <c r="AI1053" t="s">
        <v>473</v>
      </c>
      <c r="AJ1053">
        <v>0.68673600000000001</v>
      </c>
      <c r="AK1053" t="s">
        <v>63</v>
      </c>
      <c r="AL1053">
        <v>26.674726</v>
      </c>
      <c r="AM1053" t="s">
        <v>97</v>
      </c>
      <c r="AN1053" s="7">
        <v>19687.678957718032</v>
      </c>
      <c r="AO1053" t="s">
        <v>65</v>
      </c>
      <c r="AP1053" s="3">
        <v>530</v>
      </c>
      <c r="AQ1053">
        <v>3</v>
      </c>
      <c r="AR1053">
        <v>18787.179867999999</v>
      </c>
      <c r="AS1053" t="s">
        <v>66</v>
      </c>
      <c r="AT1053" t="s">
        <v>53</v>
      </c>
    </row>
    <row r="1054" spans="1:46">
      <c r="A1054">
        <v>190</v>
      </c>
      <c r="B1054" t="s">
        <v>46</v>
      </c>
      <c r="C1054">
        <v>85</v>
      </c>
      <c r="D1054">
        <v>15</v>
      </c>
      <c r="E1054" t="s">
        <v>1384</v>
      </c>
      <c r="F1054" t="s">
        <v>1383</v>
      </c>
      <c r="G1054">
        <v>85015</v>
      </c>
      <c r="H1054">
        <v>85015</v>
      </c>
      <c r="I1054" t="s">
        <v>1015</v>
      </c>
      <c r="J1054">
        <v>8500</v>
      </c>
      <c r="K1054" t="s">
        <v>1383</v>
      </c>
      <c r="L1054" t="s">
        <v>80</v>
      </c>
      <c r="M1054" t="s">
        <v>53</v>
      </c>
      <c r="N1054">
        <v>2504</v>
      </c>
      <c r="O1054" t="s">
        <v>53</v>
      </c>
      <c r="P1054" t="s">
        <v>70</v>
      </c>
      <c r="Q1054" t="s">
        <v>71</v>
      </c>
      <c r="R1054" t="s">
        <v>93</v>
      </c>
      <c r="S1054" t="s">
        <v>57</v>
      </c>
      <c r="T1054" t="s">
        <v>73</v>
      </c>
      <c r="U1054" t="s">
        <v>59</v>
      </c>
      <c r="V1054">
        <v>0.62886600000000004</v>
      </c>
      <c r="W1054">
        <v>2022</v>
      </c>
      <c r="X1054" t="s">
        <v>339</v>
      </c>
      <c r="Y1054" t="s">
        <v>340</v>
      </c>
      <c r="Z1054" t="str">
        <f t="shared" si="32"/>
        <v>Mayor que 10 - hasta 15</v>
      </c>
      <c r="AA1054">
        <f t="shared" si="33"/>
        <v>0</v>
      </c>
      <c r="AB1054">
        <v>85015</v>
      </c>
      <c r="AC1054" t="s">
        <v>432</v>
      </c>
      <c r="AD1054" t="s">
        <v>494</v>
      </c>
      <c r="AE1054">
        <v>1.568343</v>
      </c>
      <c r="AF1054" t="s">
        <v>76</v>
      </c>
      <c r="AG1054">
        <v>50.104371999999998</v>
      </c>
      <c r="AH1054" t="s">
        <v>432</v>
      </c>
      <c r="AI1054" t="s">
        <v>473</v>
      </c>
      <c r="AJ1054">
        <v>2.151926</v>
      </c>
      <c r="AK1054" t="s">
        <v>77</v>
      </c>
      <c r="AL1054">
        <v>73.740620000000007</v>
      </c>
      <c r="AM1054" t="s">
        <v>64</v>
      </c>
      <c r="AN1054" s="7">
        <v>8185.0311892244727</v>
      </c>
      <c r="AO1054" t="s">
        <v>65</v>
      </c>
      <c r="AP1054" s="3">
        <v>258</v>
      </c>
      <c r="AQ1054">
        <v>3</v>
      </c>
      <c r="AR1054">
        <v>10103.100853</v>
      </c>
      <c r="AS1054" t="s">
        <v>66</v>
      </c>
      <c r="AT1054" t="s">
        <v>53</v>
      </c>
    </row>
    <row r="1055" spans="1:46">
      <c r="A1055">
        <v>205</v>
      </c>
      <c r="B1055" t="s">
        <v>46</v>
      </c>
      <c r="C1055">
        <v>85</v>
      </c>
      <c r="D1055">
        <v>125</v>
      </c>
      <c r="E1055" t="s">
        <v>1385</v>
      </c>
      <c r="F1055" t="s">
        <v>1383</v>
      </c>
      <c r="G1055">
        <v>85125</v>
      </c>
      <c r="H1055">
        <v>85125</v>
      </c>
      <c r="I1055" t="s">
        <v>1015</v>
      </c>
      <c r="J1055">
        <v>8500</v>
      </c>
      <c r="K1055" t="s">
        <v>1383</v>
      </c>
      <c r="L1055" t="s">
        <v>80</v>
      </c>
      <c r="M1055" t="s">
        <v>53</v>
      </c>
      <c r="N1055">
        <v>13627</v>
      </c>
      <c r="O1055" t="s">
        <v>53</v>
      </c>
      <c r="P1055" t="s">
        <v>70</v>
      </c>
      <c r="Q1055" t="s">
        <v>71</v>
      </c>
      <c r="R1055" t="s">
        <v>72</v>
      </c>
      <c r="S1055" t="s">
        <v>57</v>
      </c>
      <c r="T1055" t="s">
        <v>73</v>
      </c>
      <c r="U1055" t="s">
        <v>119</v>
      </c>
      <c r="V1055">
        <v>0.69432099999999997</v>
      </c>
      <c r="W1055">
        <v>2022</v>
      </c>
      <c r="X1055" t="s">
        <v>310</v>
      </c>
      <c r="Y1055" t="s">
        <v>311</v>
      </c>
      <c r="Z1055" t="str">
        <f t="shared" si="32"/>
        <v>Mayor que 15 - hasta 20</v>
      </c>
      <c r="AA1055">
        <f t="shared" si="33"/>
        <v>0</v>
      </c>
      <c r="AB1055">
        <v>85125</v>
      </c>
      <c r="AC1055" t="s">
        <v>432</v>
      </c>
      <c r="AD1055" t="s">
        <v>1386</v>
      </c>
      <c r="AE1055">
        <v>0.97812100000000002</v>
      </c>
      <c r="AF1055" t="s">
        <v>63</v>
      </c>
      <c r="AG1055">
        <v>42.078888999999997</v>
      </c>
      <c r="AH1055" t="s">
        <v>432</v>
      </c>
      <c r="AI1055" t="s">
        <v>473</v>
      </c>
      <c r="AJ1055">
        <v>2.8205089999999999</v>
      </c>
      <c r="AK1055" t="s">
        <v>77</v>
      </c>
      <c r="AL1055">
        <v>137.780022</v>
      </c>
      <c r="AM1055" t="s">
        <v>97</v>
      </c>
      <c r="AN1055" s="7">
        <v>26921.946263391121</v>
      </c>
      <c r="AO1055" t="s">
        <v>64</v>
      </c>
      <c r="AP1055" s="3">
        <v>380</v>
      </c>
      <c r="AQ1055">
        <v>3</v>
      </c>
      <c r="AR1055">
        <v>38345.325410999998</v>
      </c>
      <c r="AS1055" t="s">
        <v>66</v>
      </c>
      <c r="AT1055" t="s">
        <v>53</v>
      </c>
    </row>
    <row r="1056" spans="1:46">
      <c r="A1056">
        <v>191</v>
      </c>
      <c r="B1056" t="s">
        <v>46</v>
      </c>
      <c r="C1056">
        <v>85</v>
      </c>
      <c r="D1056">
        <v>136</v>
      </c>
      <c r="E1056" t="s">
        <v>1387</v>
      </c>
      <c r="F1056" t="s">
        <v>1383</v>
      </c>
      <c r="G1056">
        <v>85136</v>
      </c>
      <c r="H1056">
        <v>85136</v>
      </c>
      <c r="I1056" t="s">
        <v>1015</v>
      </c>
      <c r="J1056">
        <v>8500</v>
      </c>
      <c r="K1056" t="s">
        <v>1383</v>
      </c>
      <c r="L1056" t="s">
        <v>80</v>
      </c>
      <c r="M1056" t="s">
        <v>53</v>
      </c>
      <c r="N1056">
        <v>1410</v>
      </c>
      <c r="O1056" t="s">
        <v>53</v>
      </c>
      <c r="P1056" t="s">
        <v>70</v>
      </c>
      <c r="Q1056" t="s">
        <v>71</v>
      </c>
      <c r="R1056" t="s">
        <v>122</v>
      </c>
      <c r="S1056" t="s">
        <v>57</v>
      </c>
      <c r="T1056" t="s">
        <v>73</v>
      </c>
      <c r="U1056" t="s">
        <v>101</v>
      </c>
      <c r="V1056">
        <v>0.83104999999999996</v>
      </c>
      <c r="W1056">
        <v>2022</v>
      </c>
      <c r="X1056" t="s">
        <v>339</v>
      </c>
      <c r="Y1056" t="s">
        <v>340</v>
      </c>
      <c r="Z1056" t="str">
        <f t="shared" si="32"/>
        <v>Mayor que 10 - hasta 15</v>
      </c>
      <c r="AA1056">
        <f t="shared" si="33"/>
        <v>0</v>
      </c>
      <c r="AB1056">
        <v>85136</v>
      </c>
      <c r="AC1056" t="s">
        <v>449</v>
      </c>
      <c r="AD1056" t="s">
        <v>1382</v>
      </c>
      <c r="AE1056">
        <v>3.5485600000000002</v>
      </c>
      <c r="AF1056" t="s">
        <v>84</v>
      </c>
      <c r="AG1056">
        <v>104.48864399999999</v>
      </c>
      <c r="AH1056" t="s">
        <v>432</v>
      </c>
      <c r="AI1056" t="s">
        <v>473</v>
      </c>
      <c r="AJ1056">
        <v>5.80647</v>
      </c>
      <c r="AK1056" t="s">
        <v>181</v>
      </c>
      <c r="AL1056">
        <v>218.53069199999999</v>
      </c>
      <c r="AM1056" t="s">
        <v>65</v>
      </c>
      <c r="AN1056" s="7">
        <v>370.55891609425828</v>
      </c>
      <c r="AO1056" t="s">
        <v>65</v>
      </c>
      <c r="AP1056" s="3">
        <v>131</v>
      </c>
      <c r="AQ1056">
        <v>5</v>
      </c>
      <c r="AR1056">
        <v>437.97356100000002</v>
      </c>
      <c r="AS1056" t="s">
        <v>66</v>
      </c>
      <c r="AT1056" t="s">
        <v>53</v>
      </c>
    </row>
    <row r="1057" spans="1:46">
      <c r="A1057">
        <v>192</v>
      </c>
      <c r="B1057" t="s">
        <v>46</v>
      </c>
      <c r="C1057">
        <v>85</v>
      </c>
      <c r="D1057">
        <v>139</v>
      </c>
      <c r="E1057" t="s">
        <v>1388</v>
      </c>
      <c r="F1057" t="s">
        <v>1383</v>
      </c>
      <c r="G1057">
        <v>85139</v>
      </c>
      <c r="H1057">
        <v>85139</v>
      </c>
      <c r="I1057" t="s">
        <v>1015</v>
      </c>
      <c r="J1057">
        <v>8500</v>
      </c>
      <c r="K1057" t="s">
        <v>1383</v>
      </c>
      <c r="L1057" t="s">
        <v>80</v>
      </c>
      <c r="M1057" t="s">
        <v>53</v>
      </c>
      <c r="N1057">
        <v>18038</v>
      </c>
      <c r="O1057" t="s">
        <v>53</v>
      </c>
      <c r="P1057" t="s">
        <v>70</v>
      </c>
      <c r="Q1057" t="s">
        <v>71</v>
      </c>
      <c r="R1057" t="s">
        <v>122</v>
      </c>
      <c r="S1057" t="s">
        <v>57</v>
      </c>
      <c r="T1057" t="s">
        <v>73</v>
      </c>
      <c r="U1057" t="s">
        <v>59</v>
      </c>
      <c r="V1057">
        <v>0.44207299999999999</v>
      </c>
      <c r="W1057">
        <v>2022</v>
      </c>
      <c r="X1057" t="s">
        <v>339</v>
      </c>
      <c r="Y1057" t="s">
        <v>340</v>
      </c>
      <c r="Z1057" t="str">
        <f t="shared" si="32"/>
        <v>Mayor que 10 - hasta 15</v>
      </c>
      <c r="AA1057">
        <f t="shared" si="33"/>
        <v>0</v>
      </c>
      <c r="AB1057">
        <v>85139</v>
      </c>
      <c r="AC1057" t="s">
        <v>432</v>
      </c>
      <c r="AD1057" t="s">
        <v>494</v>
      </c>
      <c r="AE1057">
        <v>1.7707889999999999</v>
      </c>
      <c r="AF1057" t="s">
        <v>76</v>
      </c>
      <c r="AG1057">
        <v>57.034019000000001</v>
      </c>
      <c r="AH1057" t="s">
        <v>432</v>
      </c>
      <c r="AI1057" t="s">
        <v>473</v>
      </c>
      <c r="AJ1057">
        <v>2.4420809999999999</v>
      </c>
      <c r="AK1057" t="s">
        <v>77</v>
      </c>
      <c r="AL1057">
        <v>83.650165999999999</v>
      </c>
      <c r="AM1057" t="s">
        <v>97</v>
      </c>
      <c r="AN1057" s="7">
        <v>35298.50637935361</v>
      </c>
      <c r="AO1057" t="s">
        <v>64</v>
      </c>
      <c r="AP1057" s="3">
        <v>391</v>
      </c>
      <c r="AQ1057">
        <v>4</v>
      </c>
      <c r="AR1057">
        <v>39641.201700999998</v>
      </c>
      <c r="AS1057" t="s">
        <v>66</v>
      </c>
      <c r="AT1057" t="s">
        <v>53</v>
      </c>
    </row>
    <row r="1058" spans="1:46">
      <c r="A1058">
        <v>193</v>
      </c>
      <c r="B1058" t="s">
        <v>46</v>
      </c>
      <c r="C1058">
        <v>85</v>
      </c>
      <c r="D1058">
        <v>162</v>
      </c>
      <c r="E1058" t="s">
        <v>1389</v>
      </c>
      <c r="F1058" t="s">
        <v>1383</v>
      </c>
      <c r="G1058">
        <v>85162</v>
      </c>
      <c r="H1058">
        <v>85162</v>
      </c>
      <c r="I1058" t="s">
        <v>1015</v>
      </c>
      <c r="J1058">
        <v>8500</v>
      </c>
      <c r="K1058" t="s">
        <v>1383</v>
      </c>
      <c r="L1058" t="s">
        <v>69</v>
      </c>
      <c r="M1058" t="s">
        <v>53</v>
      </c>
      <c r="N1058">
        <v>19180</v>
      </c>
      <c r="O1058" t="s">
        <v>53</v>
      </c>
      <c r="P1058" t="s">
        <v>70</v>
      </c>
      <c r="Q1058" t="s">
        <v>71</v>
      </c>
      <c r="R1058" t="s">
        <v>72</v>
      </c>
      <c r="S1058" t="s">
        <v>57</v>
      </c>
      <c r="T1058" t="s">
        <v>73</v>
      </c>
      <c r="U1058" t="s">
        <v>59</v>
      </c>
      <c r="V1058">
        <v>0.43601099999999998</v>
      </c>
      <c r="W1058">
        <v>2022</v>
      </c>
      <c r="X1058" t="s">
        <v>176</v>
      </c>
      <c r="Y1058" t="s">
        <v>177</v>
      </c>
      <c r="Z1058" t="str">
        <f t="shared" si="32"/>
        <v>Mayor que 20 - hasta 30</v>
      </c>
      <c r="AA1058">
        <f t="shared" si="33"/>
        <v>0</v>
      </c>
      <c r="AB1058">
        <v>85162</v>
      </c>
      <c r="AC1058" t="s">
        <v>432</v>
      </c>
      <c r="AD1058" t="s">
        <v>405</v>
      </c>
      <c r="AE1058">
        <v>1.218056</v>
      </c>
      <c r="AF1058" t="s">
        <v>76</v>
      </c>
      <c r="AG1058">
        <v>46.004371999999996</v>
      </c>
      <c r="AH1058" t="s">
        <v>432</v>
      </c>
      <c r="AI1058" t="s">
        <v>473</v>
      </c>
      <c r="AJ1058">
        <v>2.3301820000000002</v>
      </c>
      <c r="AK1058" t="s">
        <v>77</v>
      </c>
      <c r="AL1058">
        <v>107.538391</v>
      </c>
      <c r="AM1058" t="s">
        <v>64</v>
      </c>
      <c r="AN1058" s="7">
        <v>29514.92980095711</v>
      </c>
      <c r="AO1058" t="s">
        <v>65</v>
      </c>
      <c r="AP1058" s="3">
        <v>649</v>
      </c>
      <c r="AQ1058">
        <v>3</v>
      </c>
      <c r="AR1058">
        <v>34178.428564000002</v>
      </c>
      <c r="AS1058" t="s">
        <v>66</v>
      </c>
      <c r="AT1058" t="s">
        <v>53</v>
      </c>
    </row>
    <row r="1059" spans="1:46">
      <c r="A1059">
        <v>194</v>
      </c>
      <c r="B1059" t="s">
        <v>46</v>
      </c>
      <c r="C1059">
        <v>85</v>
      </c>
      <c r="D1059">
        <v>225</v>
      </c>
      <c r="E1059" t="s">
        <v>1390</v>
      </c>
      <c r="F1059" t="s">
        <v>1383</v>
      </c>
      <c r="G1059">
        <v>85225</v>
      </c>
      <c r="H1059">
        <v>85225</v>
      </c>
      <c r="I1059" t="s">
        <v>1015</v>
      </c>
      <c r="J1059">
        <v>8500</v>
      </c>
      <c r="K1059" t="s">
        <v>1383</v>
      </c>
      <c r="L1059" t="s">
        <v>80</v>
      </c>
      <c r="M1059" t="s">
        <v>53</v>
      </c>
      <c r="N1059">
        <v>9809</v>
      </c>
      <c r="O1059" t="s">
        <v>53</v>
      </c>
      <c r="P1059" t="s">
        <v>70</v>
      </c>
      <c r="Q1059" t="s">
        <v>71</v>
      </c>
      <c r="R1059" t="s">
        <v>72</v>
      </c>
      <c r="S1059" t="s">
        <v>57</v>
      </c>
      <c r="T1059" t="s">
        <v>58</v>
      </c>
      <c r="U1059" t="s">
        <v>119</v>
      </c>
      <c r="V1059">
        <v>0.51634000000000002</v>
      </c>
      <c r="W1059">
        <v>2022</v>
      </c>
      <c r="X1059" t="s">
        <v>176</v>
      </c>
      <c r="Y1059" t="s">
        <v>177</v>
      </c>
      <c r="Z1059" t="str">
        <f t="shared" si="32"/>
        <v>Mayor que 20 - hasta 30</v>
      </c>
      <c r="AA1059">
        <f t="shared" si="33"/>
        <v>0</v>
      </c>
      <c r="AB1059">
        <v>85225</v>
      </c>
      <c r="AC1059" t="s">
        <v>432</v>
      </c>
      <c r="AD1059" t="s">
        <v>473</v>
      </c>
      <c r="AE1059">
        <v>1.473949</v>
      </c>
      <c r="AF1059" t="s">
        <v>76</v>
      </c>
      <c r="AG1059">
        <v>56.126911999999997</v>
      </c>
      <c r="AH1059" t="s">
        <v>432</v>
      </c>
      <c r="AI1059" t="s">
        <v>473</v>
      </c>
      <c r="AJ1059">
        <v>1.4572830000000001</v>
      </c>
      <c r="AK1059" t="s">
        <v>76</v>
      </c>
      <c r="AL1059">
        <v>56.026912000000003</v>
      </c>
      <c r="AM1059" t="s">
        <v>64</v>
      </c>
      <c r="AN1059" s="7">
        <v>6240.6381515301673</v>
      </c>
      <c r="AO1059" t="s">
        <v>64</v>
      </c>
      <c r="AP1059" s="3">
        <v>147</v>
      </c>
      <c r="AQ1059">
        <v>3</v>
      </c>
      <c r="AR1059">
        <v>9192.2532040000006</v>
      </c>
      <c r="AS1059" t="s">
        <v>66</v>
      </c>
      <c r="AT1059" t="s">
        <v>53</v>
      </c>
    </row>
    <row r="1060" spans="1:46">
      <c r="A1060">
        <v>195</v>
      </c>
      <c r="B1060" t="s">
        <v>46</v>
      </c>
      <c r="C1060">
        <v>85</v>
      </c>
      <c r="D1060">
        <v>230</v>
      </c>
      <c r="E1060" t="s">
        <v>1391</v>
      </c>
      <c r="F1060" t="s">
        <v>1383</v>
      </c>
      <c r="G1060">
        <v>85230</v>
      </c>
      <c r="H1060">
        <v>85230</v>
      </c>
      <c r="I1060" t="s">
        <v>1015</v>
      </c>
      <c r="J1060">
        <v>8500</v>
      </c>
      <c r="K1060" t="s">
        <v>1383</v>
      </c>
      <c r="L1060" t="s">
        <v>80</v>
      </c>
      <c r="M1060" t="s">
        <v>53</v>
      </c>
      <c r="N1060">
        <v>13844</v>
      </c>
      <c r="O1060" t="s">
        <v>53</v>
      </c>
      <c r="P1060" t="s">
        <v>70</v>
      </c>
      <c r="Q1060" t="s">
        <v>71</v>
      </c>
      <c r="R1060" t="s">
        <v>122</v>
      </c>
      <c r="S1060" t="s">
        <v>57</v>
      </c>
      <c r="T1060" t="s">
        <v>58</v>
      </c>
      <c r="U1060" t="s">
        <v>119</v>
      </c>
      <c r="V1060">
        <v>0.42346499999999998</v>
      </c>
      <c r="W1060">
        <v>2022</v>
      </c>
      <c r="X1060" t="s">
        <v>339</v>
      </c>
      <c r="Y1060" t="s">
        <v>340</v>
      </c>
      <c r="Z1060" t="str">
        <f t="shared" si="32"/>
        <v>Mayor que 10 - hasta 15</v>
      </c>
      <c r="AA1060">
        <f t="shared" si="33"/>
        <v>0</v>
      </c>
      <c r="AB1060">
        <v>85230</v>
      </c>
      <c r="AC1060" t="s">
        <v>432</v>
      </c>
      <c r="AD1060" t="s">
        <v>473</v>
      </c>
      <c r="AE1060">
        <v>5.0542129999999998</v>
      </c>
      <c r="AF1060" t="s">
        <v>211</v>
      </c>
      <c r="AG1060">
        <v>164.296674</v>
      </c>
      <c r="AH1060" t="s">
        <v>432</v>
      </c>
      <c r="AI1060" t="s">
        <v>473</v>
      </c>
      <c r="AJ1060">
        <v>5.0375459999999999</v>
      </c>
      <c r="AK1060" t="s">
        <v>181</v>
      </c>
      <c r="AL1060">
        <v>164.196674</v>
      </c>
      <c r="AM1060" t="s">
        <v>97</v>
      </c>
      <c r="AN1060" s="7">
        <v>62463.024611437773</v>
      </c>
      <c r="AO1060" t="s">
        <v>64</v>
      </c>
      <c r="AP1060" s="3">
        <v>106</v>
      </c>
      <c r="AQ1060">
        <v>4</v>
      </c>
      <c r="AR1060">
        <v>38898.494406999998</v>
      </c>
      <c r="AS1060" t="s">
        <v>66</v>
      </c>
      <c r="AT1060" t="s">
        <v>53</v>
      </c>
    </row>
    <row r="1061" spans="1:46">
      <c r="A1061">
        <v>206</v>
      </c>
      <c r="B1061" t="s">
        <v>46</v>
      </c>
      <c r="C1061">
        <v>85</v>
      </c>
      <c r="D1061">
        <v>250</v>
      </c>
      <c r="E1061" t="s">
        <v>1386</v>
      </c>
      <c r="F1061" t="s">
        <v>1383</v>
      </c>
      <c r="G1061">
        <v>85250</v>
      </c>
      <c r="H1061">
        <v>85250</v>
      </c>
      <c r="I1061" t="s">
        <v>1015</v>
      </c>
      <c r="J1061">
        <v>8500</v>
      </c>
      <c r="K1061" t="s">
        <v>1383</v>
      </c>
      <c r="L1061" t="s">
        <v>80</v>
      </c>
      <c r="M1061" t="s">
        <v>53</v>
      </c>
      <c r="N1061">
        <v>40354</v>
      </c>
      <c r="O1061" t="s">
        <v>53</v>
      </c>
      <c r="P1061" t="s">
        <v>92</v>
      </c>
      <c r="Q1061" t="s">
        <v>71</v>
      </c>
      <c r="R1061" t="s">
        <v>72</v>
      </c>
      <c r="S1061" t="s">
        <v>57</v>
      </c>
      <c r="T1061" t="s">
        <v>73</v>
      </c>
      <c r="U1061" t="s">
        <v>119</v>
      </c>
      <c r="V1061">
        <v>0.73117200000000004</v>
      </c>
      <c r="W1061">
        <v>2022</v>
      </c>
      <c r="X1061" t="s">
        <v>109</v>
      </c>
      <c r="Y1061" t="s">
        <v>110</v>
      </c>
      <c r="Z1061" t="str">
        <f t="shared" si="32"/>
        <v>Mayor que 30 - hasta 40</v>
      </c>
      <c r="AA1061">
        <f t="shared" si="33"/>
        <v>0</v>
      </c>
      <c r="AB1061">
        <v>85250</v>
      </c>
      <c r="AC1061" t="s">
        <v>432</v>
      </c>
      <c r="AD1061" t="s">
        <v>1386</v>
      </c>
      <c r="AE1061">
        <v>0</v>
      </c>
      <c r="AF1061" t="s">
        <v>63</v>
      </c>
      <c r="AG1061">
        <v>0</v>
      </c>
      <c r="AH1061" t="s">
        <v>432</v>
      </c>
      <c r="AI1061" t="s">
        <v>473</v>
      </c>
      <c r="AJ1061">
        <v>2.1610390000000002</v>
      </c>
      <c r="AK1061" t="s">
        <v>77</v>
      </c>
      <c r="AL1061">
        <v>96.988138000000006</v>
      </c>
      <c r="AM1061" t="s">
        <v>97</v>
      </c>
      <c r="AN1061" s="7">
        <v>7999.8682855756997</v>
      </c>
      <c r="AO1061" t="s">
        <v>65</v>
      </c>
      <c r="AP1061" s="3">
        <v>246</v>
      </c>
      <c r="AQ1061">
        <v>3</v>
      </c>
      <c r="AR1061">
        <v>8072.0000060000002</v>
      </c>
      <c r="AS1061" t="s">
        <v>66</v>
      </c>
      <c r="AT1061" t="s">
        <v>53</v>
      </c>
    </row>
    <row r="1062" spans="1:46">
      <c r="A1062">
        <v>196</v>
      </c>
      <c r="B1062" t="s">
        <v>46</v>
      </c>
      <c r="C1062">
        <v>85</v>
      </c>
      <c r="D1062">
        <v>263</v>
      </c>
      <c r="E1062" t="s">
        <v>1392</v>
      </c>
      <c r="F1062" t="s">
        <v>1383</v>
      </c>
      <c r="G1062">
        <v>85263</v>
      </c>
      <c r="H1062">
        <v>85263</v>
      </c>
      <c r="I1062" t="s">
        <v>1015</v>
      </c>
      <c r="J1062">
        <v>8500</v>
      </c>
      <c r="K1062" t="s">
        <v>1383</v>
      </c>
      <c r="L1062" t="s">
        <v>69</v>
      </c>
      <c r="M1062" t="s">
        <v>53</v>
      </c>
      <c r="N1062">
        <v>12681</v>
      </c>
      <c r="O1062" t="s">
        <v>53</v>
      </c>
      <c r="P1062" t="s">
        <v>70</v>
      </c>
      <c r="Q1062" t="s">
        <v>71</v>
      </c>
      <c r="R1062" t="s">
        <v>72</v>
      </c>
      <c r="S1062" t="s">
        <v>57</v>
      </c>
      <c r="T1062" t="s">
        <v>73</v>
      </c>
      <c r="U1062" t="s">
        <v>119</v>
      </c>
      <c r="V1062">
        <v>0.47495799999999999</v>
      </c>
      <c r="W1062">
        <v>2022</v>
      </c>
      <c r="X1062" t="s">
        <v>176</v>
      </c>
      <c r="Y1062" t="s">
        <v>177</v>
      </c>
      <c r="Z1062" t="str">
        <f t="shared" si="32"/>
        <v>Mayor que 20 - hasta 30</v>
      </c>
      <c r="AA1062">
        <f t="shared" si="33"/>
        <v>0</v>
      </c>
      <c r="AB1062">
        <v>85263</v>
      </c>
      <c r="AC1062" t="s">
        <v>432</v>
      </c>
      <c r="AD1062" t="s">
        <v>1386</v>
      </c>
      <c r="AE1062">
        <v>0.58521100000000004</v>
      </c>
      <c r="AF1062" t="s">
        <v>63</v>
      </c>
      <c r="AG1062">
        <v>22.570563</v>
      </c>
      <c r="AH1062" t="s">
        <v>432</v>
      </c>
      <c r="AI1062" t="s">
        <v>473</v>
      </c>
      <c r="AJ1062">
        <v>1.6661790000000001</v>
      </c>
      <c r="AK1062" t="s">
        <v>76</v>
      </c>
      <c r="AL1062">
        <v>75.948947000000004</v>
      </c>
      <c r="AM1062" t="s">
        <v>64</v>
      </c>
      <c r="AN1062" s="7">
        <v>5179.9640967366622</v>
      </c>
      <c r="AO1062" t="s">
        <v>64</v>
      </c>
      <c r="AP1062" s="3">
        <v>154</v>
      </c>
      <c r="AQ1062">
        <v>3</v>
      </c>
      <c r="AR1062">
        <v>6945.3915370000004</v>
      </c>
      <c r="AS1062" t="s">
        <v>66</v>
      </c>
      <c r="AT1062" t="s">
        <v>53</v>
      </c>
    </row>
    <row r="1063" spans="1:46">
      <c r="A1063">
        <v>197</v>
      </c>
      <c r="B1063" t="s">
        <v>46</v>
      </c>
      <c r="C1063">
        <v>85</v>
      </c>
      <c r="D1063">
        <v>279</v>
      </c>
      <c r="E1063" t="s">
        <v>1393</v>
      </c>
      <c r="F1063" t="s">
        <v>1383</v>
      </c>
      <c r="G1063">
        <v>85279</v>
      </c>
      <c r="H1063">
        <v>85279</v>
      </c>
      <c r="I1063" t="s">
        <v>1015</v>
      </c>
      <c r="J1063">
        <v>8500</v>
      </c>
      <c r="K1063" t="s">
        <v>1383</v>
      </c>
      <c r="L1063" t="s">
        <v>69</v>
      </c>
      <c r="M1063" t="s">
        <v>53</v>
      </c>
      <c r="N1063">
        <v>1569</v>
      </c>
      <c r="O1063" t="s">
        <v>53</v>
      </c>
      <c r="P1063" t="s">
        <v>70</v>
      </c>
      <c r="Q1063" t="s">
        <v>71</v>
      </c>
      <c r="R1063" t="s">
        <v>105</v>
      </c>
      <c r="S1063" t="s">
        <v>57</v>
      </c>
      <c r="T1063" t="s">
        <v>73</v>
      </c>
      <c r="U1063" t="s">
        <v>119</v>
      </c>
      <c r="V1063">
        <v>0.53802799999999995</v>
      </c>
      <c r="W1063">
        <v>2022</v>
      </c>
      <c r="X1063" t="s">
        <v>361</v>
      </c>
      <c r="Y1063" t="s">
        <v>362</v>
      </c>
      <c r="Z1063" t="str">
        <f t="shared" si="32"/>
        <v>Mayor que 5 - hasta 8</v>
      </c>
      <c r="AA1063">
        <f t="shared" si="33"/>
        <v>0</v>
      </c>
      <c r="AB1063">
        <v>85279</v>
      </c>
      <c r="AC1063" t="s">
        <v>432</v>
      </c>
      <c r="AD1063" t="s">
        <v>494</v>
      </c>
      <c r="AE1063">
        <v>0.93504799999999999</v>
      </c>
      <c r="AF1063" t="s">
        <v>63</v>
      </c>
      <c r="AG1063">
        <v>35.633304000000003</v>
      </c>
      <c r="AH1063" t="s">
        <v>432</v>
      </c>
      <c r="AI1063" t="s">
        <v>473</v>
      </c>
      <c r="AJ1063">
        <v>1.5186310000000001</v>
      </c>
      <c r="AK1063" t="s">
        <v>76</v>
      </c>
      <c r="AL1063">
        <v>59.269553000000002</v>
      </c>
      <c r="AM1063" t="s">
        <v>64</v>
      </c>
      <c r="AN1063" s="7">
        <v>6789.5863954608876</v>
      </c>
      <c r="AO1063" t="s">
        <v>65</v>
      </c>
      <c r="AP1063" s="3">
        <v>302</v>
      </c>
      <c r="AQ1063">
        <v>4</v>
      </c>
      <c r="AR1063">
        <v>5491.9909120000002</v>
      </c>
      <c r="AS1063" t="s">
        <v>66</v>
      </c>
      <c r="AT1063" t="s">
        <v>53</v>
      </c>
    </row>
    <row r="1064" spans="1:46">
      <c r="A1064">
        <v>198</v>
      </c>
      <c r="B1064" t="s">
        <v>46</v>
      </c>
      <c r="C1064">
        <v>85</v>
      </c>
      <c r="D1064">
        <v>300</v>
      </c>
      <c r="E1064" t="s">
        <v>240</v>
      </c>
      <c r="F1064" t="s">
        <v>1383</v>
      </c>
      <c r="G1064">
        <v>85300</v>
      </c>
      <c r="H1064">
        <v>85300</v>
      </c>
      <c r="I1064" t="s">
        <v>1015</v>
      </c>
      <c r="J1064">
        <v>8500</v>
      </c>
      <c r="K1064" t="s">
        <v>1383</v>
      </c>
      <c r="L1064" t="s">
        <v>80</v>
      </c>
      <c r="M1064" t="s">
        <v>53</v>
      </c>
      <c r="N1064">
        <v>3995</v>
      </c>
      <c r="O1064" t="s">
        <v>53</v>
      </c>
      <c r="P1064" t="s">
        <v>70</v>
      </c>
      <c r="Q1064" t="s">
        <v>71</v>
      </c>
      <c r="R1064" t="s">
        <v>72</v>
      </c>
      <c r="S1064" t="s">
        <v>57</v>
      </c>
      <c r="T1064" t="s">
        <v>73</v>
      </c>
      <c r="U1064" t="s">
        <v>81</v>
      </c>
      <c r="V1064">
        <v>0.50887000000000004</v>
      </c>
      <c r="W1064">
        <v>2022</v>
      </c>
      <c r="X1064" t="s">
        <v>176</v>
      </c>
      <c r="Y1064" t="s">
        <v>177</v>
      </c>
      <c r="Z1064" t="str">
        <f t="shared" si="32"/>
        <v>Mayor que 20 - hasta 30</v>
      </c>
      <c r="AA1064">
        <f t="shared" si="33"/>
        <v>0</v>
      </c>
      <c r="AB1064">
        <v>85300</v>
      </c>
      <c r="AC1064" t="s">
        <v>432</v>
      </c>
      <c r="AD1064" t="s">
        <v>405</v>
      </c>
      <c r="AE1064">
        <v>1.072757</v>
      </c>
      <c r="AF1064" t="s">
        <v>76</v>
      </c>
      <c r="AG1064">
        <v>43.110259999999997</v>
      </c>
      <c r="AH1064" t="s">
        <v>432</v>
      </c>
      <c r="AI1064" t="s">
        <v>473</v>
      </c>
      <c r="AJ1064">
        <v>3.3146840000000002</v>
      </c>
      <c r="AK1064" t="s">
        <v>84</v>
      </c>
      <c r="AL1064">
        <v>129.44915599999999</v>
      </c>
      <c r="AM1064" t="s">
        <v>97</v>
      </c>
      <c r="AN1064" s="7">
        <v>7718.2212896503079</v>
      </c>
      <c r="AO1064" t="s">
        <v>64</v>
      </c>
      <c r="AP1064" s="3">
        <v>117</v>
      </c>
      <c r="AQ1064">
        <v>2</v>
      </c>
      <c r="AR1064">
        <v>10087.285091</v>
      </c>
      <c r="AS1064" t="s">
        <v>66</v>
      </c>
      <c r="AT1064" t="s">
        <v>53</v>
      </c>
    </row>
    <row r="1065" spans="1:46">
      <c r="A1065">
        <v>199</v>
      </c>
      <c r="B1065" t="s">
        <v>46</v>
      </c>
      <c r="C1065">
        <v>85</v>
      </c>
      <c r="D1065">
        <v>315</v>
      </c>
      <c r="E1065" t="s">
        <v>1394</v>
      </c>
      <c r="F1065" t="s">
        <v>1383</v>
      </c>
      <c r="G1065">
        <v>85315</v>
      </c>
      <c r="H1065">
        <v>85315</v>
      </c>
      <c r="I1065" t="s">
        <v>1015</v>
      </c>
      <c r="J1065">
        <v>8500</v>
      </c>
      <c r="K1065" t="s">
        <v>1383</v>
      </c>
      <c r="L1065" t="s">
        <v>80</v>
      </c>
      <c r="M1065" t="s">
        <v>53</v>
      </c>
      <c r="N1065">
        <v>2333</v>
      </c>
      <c r="O1065" t="s">
        <v>53</v>
      </c>
      <c r="P1065" t="s">
        <v>70</v>
      </c>
      <c r="Q1065" t="s">
        <v>71</v>
      </c>
      <c r="R1065" t="s">
        <v>72</v>
      </c>
      <c r="S1065" t="s">
        <v>57</v>
      </c>
      <c r="T1065" t="s">
        <v>73</v>
      </c>
      <c r="U1065" t="s">
        <v>101</v>
      </c>
      <c r="V1065">
        <v>0.78593299999999999</v>
      </c>
      <c r="W1065">
        <v>2022</v>
      </c>
      <c r="X1065" t="s">
        <v>310</v>
      </c>
      <c r="Y1065" t="s">
        <v>311</v>
      </c>
      <c r="Z1065" t="str">
        <f t="shared" si="32"/>
        <v>Mayor que 15 - hasta 20</v>
      </c>
      <c r="AA1065">
        <f t="shared" si="33"/>
        <v>0</v>
      </c>
      <c r="AB1065">
        <v>85315</v>
      </c>
      <c r="AC1065" t="s">
        <v>449</v>
      </c>
      <c r="AD1065" t="s">
        <v>1382</v>
      </c>
      <c r="AE1065">
        <v>2.4916399999999999</v>
      </c>
      <c r="AF1065" t="s">
        <v>77</v>
      </c>
      <c r="AG1065">
        <v>87.479097999999993</v>
      </c>
      <c r="AH1065" t="s">
        <v>432</v>
      </c>
      <c r="AI1065" t="s">
        <v>473</v>
      </c>
      <c r="AJ1065">
        <v>4.7495500000000002</v>
      </c>
      <c r="AK1065" t="s">
        <v>85</v>
      </c>
      <c r="AL1065">
        <v>201.52114700000001</v>
      </c>
      <c r="AM1065" t="s">
        <v>64</v>
      </c>
      <c r="AN1065" s="7">
        <v>485.46447695267489</v>
      </c>
      <c r="AO1065" t="s">
        <v>65</v>
      </c>
      <c r="AP1065" s="3">
        <v>57</v>
      </c>
      <c r="AQ1065">
        <v>2</v>
      </c>
      <c r="AR1065">
        <v>854.02767500000004</v>
      </c>
      <c r="AS1065" t="s">
        <v>66</v>
      </c>
      <c r="AT1065" t="s">
        <v>53</v>
      </c>
    </row>
    <row r="1066" spans="1:46">
      <c r="A1066">
        <v>200</v>
      </c>
      <c r="B1066" t="s">
        <v>46</v>
      </c>
      <c r="C1066">
        <v>85</v>
      </c>
      <c r="D1066">
        <v>325</v>
      </c>
      <c r="E1066" t="s">
        <v>1395</v>
      </c>
      <c r="F1066" t="s">
        <v>1383</v>
      </c>
      <c r="G1066">
        <v>85325</v>
      </c>
      <c r="H1066">
        <v>85325</v>
      </c>
      <c r="I1066" t="s">
        <v>1015</v>
      </c>
      <c r="J1066">
        <v>8500</v>
      </c>
      <c r="K1066" t="s">
        <v>1383</v>
      </c>
      <c r="L1066" t="s">
        <v>80</v>
      </c>
      <c r="M1066" t="s">
        <v>53</v>
      </c>
      <c r="N1066">
        <v>8877</v>
      </c>
      <c r="O1066" t="s">
        <v>53</v>
      </c>
      <c r="P1066" t="s">
        <v>70</v>
      </c>
      <c r="Q1066" t="s">
        <v>71</v>
      </c>
      <c r="R1066" t="s">
        <v>93</v>
      </c>
      <c r="S1066" t="s">
        <v>57</v>
      </c>
      <c r="T1066" t="s">
        <v>58</v>
      </c>
      <c r="U1066" t="s">
        <v>59</v>
      </c>
      <c r="V1066">
        <v>0.56517200000000001</v>
      </c>
      <c r="W1066">
        <v>2022</v>
      </c>
      <c r="X1066" t="s">
        <v>339</v>
      </c>
      <c r="Y1066" t="s">
        <v>340</v>
      </c>
      <c r="Z1066" t="str">
        <f t="shared" si="32"/>
        <v>Mayor que 10 - hasta 15</v>
      </c>
      <c r="AA1066">
        <f t="shared" si="33"/>
        <v>0</v>
      </c>
      <c r="AB1066">
        <v>85325</v>
      </c>
      <c r="AC1066" t="s">
        <v>432</v>
      </c>
      <c r="AD1066" t="s">
        <v>1386</v>
      </c>
      <c r="AE1066">
        <v>2.5467939999999998</v>
      </c>
      <c r="AF1066" t="s">
        <v>77</v>
      </c>
      <c r="AG1066">
        <v>88.747221999999994</v>
      </c>
      <c r="AH1066" t="s">
        <v>432</v>
      </c>
      <c r="AI1066" t="s">
        <v>473</v>
      </c>
      <c r="AJ1066">
        <v>2.9998369999999999</v>
      </c>
      <c r="AK1066" t="s">
        <v>77</v>
      </c>
      <c r="AL1066">
        <v>107.209459</v>
      </c>
      <c r="AM1066" t="s">
        <v>97</v>
      </c>
      <c r="AN1066" s="7">
        <v>11475.4105441623</v>
      </c>
      <c r="AO1066" t="s">
        <v>65</v>
      </c>
      <c r="AP1066" s="3">
        <v>226</v>
      </c>
      <c r="AQ1066">
        <v>4</v>
      </c>
      <c r="AR1066">
        <v>18950.366508999999</v>
      </c>
      <c r="AS1066" t="s">
        <v>66</v>
      </c>
      <c r="AT1066" t="s">
        <v>53</v>
      </c>
    </row>
    <row r="1067" spans="1:46">
      <c r="A1067">
        <v>201</v>
      </c>
      <c r="B1067" t="s">
        <v>46</v>
      </c>
      <c r="C1067">
        <v>85</v>
      </c>
      <c r="D1067">
        <v>400</v>
      </c>
      <c r="E1067" t="s">
        <v>1396</v>
      </c>
      <c r="F1067" t="s">
        <v>1383</v>
      </c>
      <c r="G1067">
        <v>85400</v>
      </c>
      <c r="H1067">
        <v>85400</v>
      </c>
      <c r="I1067" t="s">
        <v>1015</v>
      </c>
      <c r="J1067">
        <v>8500</v>
      </c>
      <c r="K1067" t="s">
        <v>1383</v>
      </c>
      <c r="L1067" t="s">
        <v>80</v>
      </c>
      <c r="M1067" t="s">
        <v>53</v>
      </c>
      <c r="N1067">
        <v>6992</v>
      </c>
      <c r="O1067" t="s">
        <v>53</v>
      </c>
      <c r="P1067" t="s">
        <v>70</v>
      </c>
      <c r="Q1067" t="s">
        <v>71</v>
      </c>
      <c r="R1067" t="s">
        <v>56</v>
      </c>
      <c r="S1067" t="s">
        <v>57</v>
      </c>
      <c r="T1067" t="s">
        <v>73</v>
      </c>
      <c r="U1067" t="s">
        <v>119</v>
      </c>
      <c r="V1067">
        <v>0.86993200000000004</v>
      </c>
      <c r="W1067">
        <v>2022</v>
      </c>
      <c r="X1067" t="s">
        <v>176</v>
      </c>
      <c r="Y1067" t="s">
        <v>177</v>
      </c>
      <c r="Z1067" t="str">
        <f t="shared" si="32"/>
        <v>Mayor que 20 - hasta 30</v>
      </c>
      <c r="AA1067">
        <f t="shared" si="33"/>
        <v>0</v>
      </c>
      <c r="AB1067">
        <v>85400</v>
      </c>
      <c r="AC1067" t="s">
        <v>432</v>
      </c>
      <c r="AD1067" t="s">
        <v>1386</v>
      </c>
      <c r="AE1067">
        <v>1.908428</v>
      </c>
      <c r="AF1067" t="s">
        <v>76</v>
      </c>
      <c r="AG1067">
        <v>60.108029999999999</v>
      </c>
      <c r="AH1067" t="s">
        <v>432</v>
      </c>
      <c r="AI1067" t="s">
        <v>473</v>
      </c>
      <c r="AJ1067">
        <v>2.5007250000000001</v>
      </c>
      <c r="AK1067" t="s">
        <v>77</v>
      </c>
      <c r="AL1067">
        <v>86.350166000000002</v>
      </c>
      <c r="AM1067" t="s">
        <v>65</v>
      </c>
      <c r="AN1067" s="7">
        <v>1050.7811919616299</v>
      </c>
      <c r="AO1067" t="s">
        <v>65</v>
      </c>
      <c r="AP1067" s="3">
        <v>351</v>
      </c>
      <c r="AQ1067">
        <v>3</v>
      </c>
      <c r="AR1067">
        <v>1231.1237759999999</v>
      </c>
      <c r="AS1067" t="s">
        <v>66</v>
      </c>
      <c r="AT1067" t="s">
        <v>53</v>
      </c>
    </row>
    <row r="1068" spans="1:46">
      <c r="A1068">
        <v>202</v>
      </c>
      <c r="B1068" t="s">
        <v>46</v>
      </c>
      <c r="C1068">
        <v>85</v>
      </c>
      <c r="D1068">
        <v>410</v>
      </c>
      <c r="E1068" t="s">
        <v>1397</v>
      </c>
      <c r="F1068" t="s">
        <v>1383</v>
      </c>
      <c r="G1068">
        <v>85410</v>
      </c>
      <c r="H1068">
        <v>85410</v>
      </c>
      <c r="I1068" t="s">
        <v>1015</v>
      </c>
      <c r="J1068">
        <v>8500</v>
      </c>
      <c r="K1068" t="s">
        <v>1383</v>
      </c>
      <c r="L1068" t="s">
        <v>80</v>
      </c>
      <c r="M1068" t="s">
        <v>53</v>
      </c>
      <c r="N1068">
        <v>26381</v>
      </c>
      <c r="O1068" t="s">
        <v>53</v>
      </c>
      <c r="P1068" t="s">
        <v>70</v>
      </c>
      <c r="Q1068" t="s">
        <v>118</v>
      </c>
      <c r="R1068" t="s">
        <v>105</v>
      </c>
      <c r="S1068" t="s">
        <v>57</v>
      </c>
      <c r="T1068" t="s">
        <v>73</v>
      </c>
      <c r="U1068" t="s">
        <v>119</v>
      </c>
      <c r="V1068">
        <v>0.58363399999999999</v>
      </c>
      <c r="W1068">
        <v>2022</v>
      </c>
      <c r="X1068" t="s">
        <v>339</v>
      </c>
      <c r="Y1068" t="s">
        <v>340</v>
      </c>
      <c r="Z1068" t="str">
        <f t="shared" si="32"/>
        <v>Mayor que 10 - hasta 15</v>
      </c>
      <c r="AA1068">
        <f t="shared" si="33"/>
        <v>0</v>
      </c>
      <c r="AB1068">
        <v>85410</v>
      </c>
      <c r="AC1068" t="s">
        <v>432</v>
      </c>
      <c r="AD1068" t="s">
        <v>494</v>
      </c>
      <c r="AE1068">
        <v>1.101016</v>
      </c>
      <c r="AF1068" t="s">
        <v>76</v>
      </c>
      <c r="AG1068">
        <v>44.891883</v>
      </c>
      <c r="AH1068" t="s">
        <v>432</v>
      </c>
      <c r="AI1068" t="s">
        <v>473</v>
      </c>
      <c r="AJ1068">
        <v>1.684599</v>
      </c>
      <c r="AK1068" t="s">
        <v>76</v>
      </c>
      <c r="AL1068">
        <v>68.528131000000002</v>
      </c>
      <c r="AM1068" t="s">
        <v>97</v>
      </c>
      <c r="AN1068" s="7">
        <v>131393.38497765001</v>
      </c>
      <c r="AO1068" t="s">
        <v>64</v>
      </c>
      <c r="AP1068" s="3">
        <v>634</v>
      </c>
      <c r="AQ1068">
        <v>4</v>
      </c>
      <c r="AR1068">
        <v>127182.420247</v>
      </c>
      <c r="AS1068" t="s">
        <v>66</v>
      </c>
      <c r="AT1068" t="s">
        <v>53</v>
      </c>
    </row>
    <row r="1069" spans="1:46">
      <c r="A1069">
        <v>203</v>
      </c>
      <c r="B1069" t="s">
        <v>46</v>
      </c>
      <c r="C1069">
        <v>85</v>
      </c>
      <c r="D1069">
        <v>430</v>
      </c>
      <c r="E1069" t="s">
        <v>1398</v>
      </c>
      <c r="F1069" t="s">
        <v>1383</v>
      </c>
      <c r="G1069">
        <v>85430</v>
      </c>
      <c r="H1069">
        <v>85430</v>
      </c>
      <c r="I1069" t="s">
        <v>1015</v>
      </c>
      <c r="J1069">
        <v>8500</v>
      </c>
      <c r="K1069" t="s">
        <v>1383</v>
      </c>
      <c r="L1069" t="s">
        <v>80</v>
      </c>
      <c r="M1069" t="s">
        <v>53</v>
      </c>
      <c r="N1069">
        <v>14910</v>
      </c>
      <c r="O1069" t="s">
        <v>53</v>
      </c>
      <c r="P1069" t="s">
        <v>70</v>
      </c>
      <c r="Q1069" t="s">
        <v>71</v>
      </c>
      <c r="R1069" t="s">
        <v>122</v>
      </c>
      <c r="S1069" t="s">
        <v>57</v>
      </c>
      <c r="T1069" t="s">
        <v>58</v>
      </c>
      <c r="U1069" t="s">
        <v>59</v>
      </c>
      <c r="V1069">
        <v>0.51643799999999995</v>
      </c>
      <c r="W1069">
        <v>2022</v>
      </c>
      <c r="X1069" t="s">
        <v>339</v>
      </c>
      <c r="Y1069" t="s">
        <v>340</v>
      </c>
      <c r="Z1069" t="str">
        <f t="shared" si="32"/>
        <v>Mayor que 10 - hasta 15</v>
      </c>
      <c r="AA1069">
        <f t="shared" si="33"/>
        <v>0</v>
      </c>
      <c r="AB1069">
        <v>85430</v>
      </c>
      <c r="AC1069" t="s">
        <v>432</v>
      </c>
      <c r="AD1069" t="s">
        <v>1386</v>
      </c>
      <c r="AE1069">
        <v>2.3130829999999998</v>
      </c>
      <c r="AF1069" t="s">
        <v>77</v>
      </c>
      <c r="AG1069">
        <v>80.653109999999998</v>
      </c>
      <c r="AH1069" t="s">
        <v>432</v>
      </c>
      <c r="AI1069" t="s">
        <v>473</v>
      </c>
      <c r="AJ1069">
        <v>3.2859750000000001</v>
      </c>
      <c r="AK1069" t="s">
        <v>84</v>
      </c>
      <c r="AL1069">
        <v>116.727835</v>
      </c>
      <c r="AM1069" t="s">
        <v>97</v>
      </c>
      <c r="AN1069" s="7">
        <v>8794.7095687319143</v>
      </c>
      <c r="AO1069" t="s">
        <v>65</v>
      </c>
      <c r="AP1069" s="3">
        <v>239</v>
      </c>
      <c r="AQ1069">
        <v>4</v>
      </c>
      <c r="AR1069">
        <v>15171.231299999999</v>
      </c>
      <c r="AS1069" t="s">
        <v>66</v>
      </c>
      <c r="AT1069" t="s">
        <v>53</v>
      </c>
    </row>
    <row r="1070" spans="1:46">
      <c r="A1070">
        <v>204</v>
      </c>
      <c r="B1070" t="s">
        <v>46</v>
      </c>
      <c r="C1070">
        <v>85</v>
      </c>
      <c r="D1070">
        <v>440</v>
      </c>
      <c r="E1070" t="s">
        <v>405</v>
      </c>
      <c r="F1070" t="s">
        <v>1383</v>
      </c>
      <c r="G1070">
        <v>85440</v>
      </c>
      <c r="H1070">
        <v>85440</v>
      </c>
      <c r="I1070" t="s">
        <v>1015</v>
      </c>
      <c r="J1070">
        <v>8500</v>
      </c>
      <c r="K1070" t="s">
        <v>1383</v>
      </c>
      <c r="L1070" t="s">
        <v>69</v>
      </c>
      <c r="M1070" t="s">
        <v>53</v>
      </c>
      <c r="N1070">
        <v>39610</v>
      </c>
      <c r="O1070" t="s">
        <v>53</v>
      </c>
      <c r="P1070" t="s">
        <v>92</v>
      </c>
      <c r="Q1070" t="s">
        <v>118</v>
      </c>
      <c r="R1070" t="s">
        <v>105</v>
      </c>
      <c r="S1070" t="s">
        <v>57</v>
      </c>
      <c r="T1070" t="s">
        <v>73</v>
      </c>
      <c r="U1070" t="s">
        <v>59</v>
      </c>
      <c r="V1070">
        <v>0.45888000000000001</v>
      </c>
      <c r="W1070">
        <v>2022</v>
      </c>
      <c r="X1070" t="s">
        <v>176</v>
      </c>
      <c r="Y1070" t="s">
        <v>177</v>
      </c>
      <c r="Z1070" t="str">
        <f t="shared" si="32"/>
        <v>Mayor que 20 - hasta 30</v>
      </c>
      <c r="AA1070">
        <f t="shared" si="33"/>
        <v>0</v>
      </c>
      <c r="AB1070">
        <v>85440</v>
      </c>
      <c r="AC1070" t="s">
        <v>432</v>
      </c>
      <c r="AD1070" t="s">
        <v>405</v>
      </c>
      <c r="AE1070">
        <v>0</v>
      </c>
      <c r="AF1070" t="s">
        <v>63</v>
      </c>
      <c r="AG1070">
        <v>0</v>
      </c>
      <c r="AH1070" t="s">
        <v>512</v>
      </c>
      <c r="AI1070" t="s">
        <v>513</v>
      </c>
      <c r="AJ1070">
        <v>2.2649840000000001</v>
      </c>
      <c r="AK1070" t="s">
        <v>77</v>
      </c>
      <c r="AL1070">
        <v>119.178088</v>
      </c>
      <c r="AM1070" t="s">
        <v>97</v>
      </c>
      <c r="AN1070" s="7">
        <v>28324.69754018915</v>
      </c>
      <c r="AO1070" t="s">
        <v>65</v>
      </c>
      <c r="AP1070" s="3">
        <v>1090</v>
      </c>
      <c r="AQ1070">
        <v>3</v>
      </c>
      <c r="AR1070">
        <v>30250.443684000002</v>
      </c>
      <c r="AS1070" t="s">
        <v>66</v>
      </c>
      <c r="AT1070" t="s">
        <v>53</v>
      </c>
    </row>
    <row r="1071" spans="1:46">
      <c r="A1071">
        <v>99</v>
      </c>
      <c r="B1071" t="s">
        <v>46</v>
      </c>
      <c r="C1071">
        <v>86</v>
      </c>
      <c r="D1071">
        <v>1</v>
      </c>
      <c r="E1071" t="s">
        <v>647</v>
      </c>
      <c r="F1071" t="s">
        <v>1399</v>
      </c>
      <c r="G1071">
        <v>86001</v>
      </c>
      <c r="H1071">
        <v>86001</v>
      </c>
      <c r="I1071" t="s">
        <v>589</v>
      </c>
      <c r="J1071">
        <v>8600</v>
      </c>
      <c r="K1071" t="s">
        <v>1399</v>
      </c>
      <c r="L1071" t="s">
        <v>91</v>
      </c>
      <c r="M1071" t="s">
        <v>52</v>
      </c>
      <c r="N1071">
        <v>63639</v>
      </c>
      <c r="O1071" t="s">
        <v>53</v>
      </c>
      <c r="P1071" t="s">
        <v>92</v>
      </c>
      <c r="Q1071" t="s">
        <v>71</v>
      </c>
      <c r="R1071" t="s">
        <v>93</v>
      </c>
      <c r="S1071" t="s">
        <v>1400</v>
      </c>
      <c r="T1071" t="s">
        <v>73</v>
      </c>
      <c r="U1071" t="s">
        <v>101</v>
      </c>
      <c r="V1071">
        <v>0.495508</v>
      </c>
      <c r="W1071">
        <v>2024</v>
      </c>
      <c r="X1071" t="s">
        <v>147</v>
      </c>
      <c r="Y1071" t="s">
        <v>148</v>
      </c>
      <c r="Z1071" t="str">
        <f t="shared" si="32"/>
        <v>Mayor que 50 - hasta 60</v>
      </c>
      <c r="AA1071">
        <f t="shared" si="33"/>
        <v>0</v>
      </c>
      <c r="AB1071">
        <v>86001</v>
      </c>
      <c r="AC1071" t="s">
        <v>646</v>
      </c>
      <c r="AD1071" t="s">
        <v>647</v>
      </c>
      <c r="AE1071">
        <v>0</v>
      </c>
      <c r="AF1071" t="s">
        <v>63</v>
      </c>
      <c r="AG1071">
        <v>0</v>
      </c>
      <c r="AH1071" t="s">
        <v>646</v>
      </c>
      <c r="AI1071" t="s">
        <v>647</v>
      </c>
      <c r="AJ1071">
        <v>0</v>
      </c>
      <c r="AK1071" t="s">
        <v>63</v>
      </c>
      <c r="AL1071">
        <v>0</v>
      </c>
      <c r="AM1071" s="9" t="s">
        <v>65</v>
      </c>
      <c r="AN1071" s="10">
        <v>911.78214462857898</v>
      </c>
      <c r="AO1071" s="9" t="s">
        <v>65</v>
      </c>
      <c r="AP1071" s="8">
        <v>914</v>
      </c>
      <c r="AQ1071">
        <v>3</v>
      </c>
      <c r="AR1071">
        <v>1089.183399</v>
      </c>
      <c r="AS1071" t="s">
        <v>66</v>
      </c>
      <c r="AT1071" t="s">
        <v>53</v>
      </c>
    </row>
    <row r="1072" spans="1:46">
      <c r="A1072">
        <v>100</v>
      </c>
      <c r="B1072" t="s">
        <v>46</v>
      </c>
      <c r="C1072">
        <v>86</v>
      </c>
      <c r="D1072">
        <v>219</v>
      </c>
      <c r="E1072" t="s">
        <v>1068</v>
      </c>
      <c r="F1072" t="s">
        <v>1399</v>
      </c>
      <c r="G1072">
        <v>86219</v>
      </c>
      <c r="H1072">
        <v>86219</v>
      </c>
      <c r="I1072" t="s">
        <v>589</v>
      </c>
      <c r="J1072">
        <v>8600</v>
      </c>
      <c r="K1072" t="s">
        <v>1399</v>
      </c>
      <c r="L1072" t="s">
        <v>91</v>
      </c>
      <c r="M1072" t="s">
        <v>53</v>
      </c>
      <c r="N1072">
        <v>5800</v>
      </c>
      <c r="O1072" t="s">
        <v>53</v>
      </c>
      <c r="P1072" t="s">
        <v>70</v>
      </c>
      <c r="Q1072" t="s">
        <v>71</v>
      </c>
      <c r="R1072" t="s">
        <v>72</v>
      </c>
      <c r="S1072" t="s">
        <v>57</v>
      </c>
      <c r="T1072" t="s">
        <v>58</v>
      </c>
      <c r="U1072" t="s">
        <v>59</v>
      </c>
      <c r="V1072">
        <v>0.72465000000000002</v>
      </c>
      <c r="W1072" t="s">
        <v>53</v>
      </c>
      <c r="X1072" t="s">
        <v>53</v>
      </c>
      <c r="Y1072" t="s">
        <v>102</v>
      </c>
      <c r="Z1072" t="str">
        <f t="shared" si="32"/>
        <v>Mayor que 20 - hasta 30</v>
      </c>
      <c r="AA1072">
        <f t="shared" si="33"/>
        <v>1</v>
      </c>
      <c r="AB1072">
        <v>86219</v>
      </c>
      <c r="AC1072" t="s">
        <v>627</v>
      </c>
      <c r="AD1072" t="s">
        <v>628</v>
      </c>
      <c r="AE1072">
        <v>1.5723590000000001</v>
      </c>
      <c r="AF1072" t="s">
        <v>76</v>
      </c>
      <c r="AG1072">
        <v>47.745793999999997</v>
      </c>
      <c r="AH1072" t="s">
        <v>627</v>
      </c>
      <c r="AI1072" t="s">
        <v>628</v>
      </c>
      <c r="AJ1072">
        <v>1.5765670000000001</v>
      </c>
      <c r="AK1072" t="s">
        <v>76</v>
      </c>
      <c r="AL1072">
        <v>47.380108</v>
      </c>
      <c r="AM1072" s="4" t="s">
        <v>65</v>
      </c>
      <c r="AN1072" s="5">
        <v>2085.6838874264345</v>
      </c>
      <c r="AO1072" s="4" t="s">
        <v>65</v>
      </c>
      <c r="AP1072" s="6">
        <v>557</v>
      </c>
      <c r="AQ1072">
        <v>4</v>
      </c>
      <c r="AR1072">
        <v>3239.397966</v>
      </c>
      <c r="AS1072" t="s">
        <v>66</v>
      </c>
      <c r="AT1072" t="s">
        <v>53</v>
      </c>
    </row>
    <row r="1073" spans="1:46">
      <c r="A1073">
        <v>101</v>
      </c>
      <c r="B1073" t="s">
        <v>46</v>
      </c>
      <c r="C1073">
        <v>86</v>
      </c>
      <c r="D1073">
        <v>320</v>
      </c>
      <c r="E1073" t="s">
        <v>1401</v>
      </c>
      <c r="F1073" t="s">
        <v>1399</v>
      </c>
      <c r="G1073">
        <v>86320</v>
      </c>
      <c r="H1073">
        <v>86320</v>
      </c>
      <c r="I1073" t="s">
        <v>589</v>
      </c>
      <c r="J1073">
        <v>8600</v>
      </c>
      <c r="K1073" t="s">
        <v>1399</v>
      </c>
      <c r="L1073" t="s">
        <v>91</v>
      </c>
      <c r="M1073" t="s">
        <v>53</v>
      </c>
      <c r="N1073">
        <v>40478</v>
      </c>
      <c r="O1073" t="s">
        <v>53</v>
      </c>
      <c r="P1073" t="s">
        <v>92</v>
      </c>
      <c r="Q1073" t="s">
        <v>71</v>
      </c>
      <c r="R1073" t="s">
        <v>93</v>
      </c>
      <c r="S1073" t="s">
        <v>1400</v>
      </c>
      <c r="T1073" t="s">
        <v>73</v>
      </c>
      <c r="U1073" t="s">
        <v>115</v>
      </c>
      <c r="V1073">
        <v>0.76282300000000003</v>
      </c>
      <c r="W1073" t="s">
        <v>53</v>
      </c>
      <c r="X1073" t="s">
        <v>53</v>
      </c>
      <c r="Y1073" t="s">
        <v>277</v>
      </c>
      <c r="Z1073" t="str">
        <f t="shared" si="32"/>
        <v>Mayor que 10 - hasta 15</v>
      </c>
      <c r="AA1073">
        <f t="shared" si="33"/>
        <v>1</v>
      </c>
      <c r="AB1073">
        <v>86320</v>
      </c>
      <c r="AC1073" t="s">
        <v>646</v>
      </c>
      <c r="AD1073" t="s">
        <v>1402</v>
      </c>
      <c r="AE1073">
        <v>1.5102610000000001</v>
      </c>
      <c r="AF1073" t="s">
        <v>76</v>
      </c>
      <c r="AG1073">
        <v>60.174221000000003</v>
      </c>
      <c r="AH1073" t="s">
        <v>646</v>
      </c>
      <c r="AI1073" t="s">
        <v>647</v>
      </c>
      <c r="AJ1073">
        <v>2.4384429999999999</v>
      </c>
      <c r="AK1073" t="s">
        <v>77</v>
      </c>
      <c r="AL1073">
        <v>116.725902</v>
      </c>
      <c r="AM1073" s="4" t="s">
        <v>97</v>
      </c>
      <c r="AN1073" s="5">
        <v>110129.10683525039</v>
      </c>
      <c r="AO1073" s="4" t="s">
        <v>65</v>
      </c>
      <c r="AP1073" s="6">
        <v>4058</v>
      </c>
      <c r="AQ1073">
        <v>3</v>
      </c>
      <c r="AR1073">
        <v>94170.533007000005</v>
      </c>
      <c r="AS1073" t="s">
        <v>66</v>
      </c>
      <c r="AT1073" t="s">
        <v>53</v>
      </c>
    </row>
    <row r="1074" spans="1:46">
      <c r="A1074">
        <v>109</v>
      </c>
      <c r="B1074" t="s">
        <v>46</v>
      </c>
      <c r="C1074">
        <v>86</v>
      </c>
      <c r="D1074">
        <v>568</v>
      </c>
      <c r="E1074" t="s">
        <v>1403</v>
      </c>
      <c r="F1074" t="s">
        <v>1399</v>
      </c>
      <c r="G1074">
        <v>86568</v>
      </c>
      <c r="H1074">
        <v>86568</v>
      </c>
      <c r="I1074" t="s">
        <v>589</v>
      </c>
      <c r="J1074">
        <v>8600</v>
      </c>
      <c r="K1074" t="s">
        <v>1399</v>
      </c>
      <c r="L1074" t="s">
        <v>51</v>
      </c>
      <c r="M1074" t="s">
        <v>53</v>
      </c>
      <c r="N1074">
        <v>71922</v>
      </c>
      <c r="O1074" t="s">
        <v>53</v>
      </c>
      <c r="P1074" t="s">
        <v>92</v>
      </c>
      <c r="Q1074" t="s">
        <v>71</v>
      </c>
      <c r="R1074" t="s">
        <v>122</v>
      </c>
      <c r="S1074" t="s">
        <v>1400</v>
      </c>
      <c r="T1074" t="s">
        <v>73</v>
      </c>
      <c r="U1074" t="s">
        <v>115</v>
      </c>
      <c r="V1074">
        <v>0.80257900000000004</v>
      </c>
      <c r="W1074" t="s">
        <v>53</v>
      </c>
      <c r="X1074" t="s">
        <v>53</v>
      </c>
      <c r="Y1074" t="s">
        <v>82</v>
      </c>
      <c r="Z1074" t="str">
        <f t="shared" si="32"/>
        <v>Mayor que 15 - hasta 20</v>
      </c>
      <c r="AA1074">
        <f t="shared" si="33"/>
        <v>1</v>
      </c>
      <c r="AB1074">
        <v>86568</v>
      </c>
      <c r="AC1074" t="s">
        <v>646</v>
      </c>
      <c r="AD1074" t="s">
        <v>1402</v>
      </c>
      <c r="AE1074">
        <v>0</v>
      </c>
      <c r="AF1074" t="s">
        <v>63</v>
      </c>
      <c r="AG1074">
        <v>0</v>
      </c>
      <c r="AH1074" t="s">
        <v>646</v>
      </c>
      <c r="AI1074" t="s">
        <v>647</v>
      </c>
      <c r="AJ1074">
        <v>1.938917</v>
      </c>
      <c r="AK1074" t="s">
        <v>76</v>
      </c>
      <c r="AL1074">
        <v>85.883765999999994</v>
      </c>
      <c r="AM1074" s="4" t="s">
        <v>97</v>
      </c>
      <c r="AN1074" s="5">
        <v>156892.88357234659</v>
      </c>
      <c r="AO1074" s="4" t="s">
        <v>65</v>
      </c>
      <c r="AP1074" s="6">
        <v>4220</v>
      </c>
      <c r="AQ1074">
        <v>4</v>
      </c>
      <c r="AR1074">
        <v>145022.410432</v>
      </c>
      <c r="AS1074" t="s">
        <v>66</v>
      </c>
      <c r="AT1074" t="s">
        <v>53</v>
      </c>
    </row>
    <row r="1075" spans="1:46">
      <c r="A1075">
        <v>108</v>
      </c>
      <c r="B1075" t="s">
        <v>46</v>
      </c>
      <c r="C1075">
        <v>86</v>
      </c>
      <c r="D1075">
        <v>569</v>
      </c>
      <c r="E1075" t="s">
        <v>1404</v>
      </c>
      <c r="F1075" t="s">
        <v>1399</v>
      </c>
      <c r="G1075">
        <v>86569</v>
      </c>
      <c r="H1075">
        <v>86569</v>
      </c>
      <c r="I1075" t="s">
        <v>589</v>
      </c>
      <c r="J1075">
        <v>8600</v>
      </c>
      <c r="K1075" t="s">
        <v>1399</v>
      </c>
      <c r="L1075" t="s">
        <v>69</v>
      </c>
      <c r="M1075" t="s">
        <v>53</v>
      </c>
      <c r="N1075">
        <v>16823</v>
      </c>
      <c r="O1075" t="s">
        <v>53</v>
      </c>
      <c r="P1075" t="s">
        <v>70</v>
      </c>
      <c r="Q1075" t="s">
        <v>71</v>
      </c>
      <c r="R1075" t="s">
        <v>72</v>
      </c>
      <c r="S1075" t="s">
        <v>1400</v>
      </c>
      <c r="T1075" t="s">
        <v>73</v>
      </c>
      <c r="U1075" t="s">
        <v>115</v>
      </c>
      <c r="V1075">
        <v>0.70120800000000005</v>
      </c>
      <c r="W1075" t="s">
        <v>53</v>
      </c>
      <c r="X1075" t="s">
        <v>53</v>
      </c>
      <c r="Y1075" t="s">
        <v>596</v>
      </c>
      <c r="Z1075" t="str">
        <f t="shared" si="32"/>
        <v>Mayor que 8 - hasta 10</v>
      </c>
      <c r="AA1075">
        <f t="shared" si="33"/>
        <v>1</v>
      </c>
      <c r="AB1075">
        <v>86569</v>
      </c>
      <c r="AC1075" t="s">
        <v>646</v>
      </c>
      <c r="AD1075" t="s">
        <v>1402</v>
      </c>
      <c r="AE1075">
        <v>0.740143</v>
      </c>
      <c r="AF1075" t="s">
        <v>63</v>
      </c>
      <c r="AG1075">
        <v>26.593606999999999</v>
      </c>
      <c r="AH1075" t="s">
        <v>646</v>
      </c>
      <c r="AI1075" t="s">
        <v>647</v>
      </c>
      <c r="AJ1075">
        <v>1.211957</v>
      </c>
      <c r="AK1075" t="s">
        <v>76</v>
      </c>
      <c r="AL1075">
        <v>59.207315999999999</v>
      </c>
      <c r="AM1075" s="4" t="s">
        <v>97</v>
      </c>
      <c r="AN1075" s="5">
        <v>36472.593751668413</v>
      </c>
      <c r="AO1075" s="4" t="s">
        <v>65</v>
      </c>
      <c r="AP1075" s="6">
        <v>1970</v>
      </c>
      <c r="AQ1075">
        <v>3</v>
      </c>
      <c r="AR1075">
        <v>78339.795998999994</v>
      </c>
      <c r="AS1075" t="s">
        <v>66</v>
      </c>
      <c r="AT1075" t="s">
        <v>53</v>
      </c>
    </row>
    <row r="1076" spans="1:46">
      <c r="A1076">
        <v>110</v>
      </c>
      <c r="B1076" t="s">
        <v>46</v>
      </c>
      <c r="C1076">
        <v>86</v>
      </c>
      <c r="D1076">
        <v>571</v>
      </c>
      <c r="E1076" t="s">
        <v>1405</v>
      </c>
      <c r="F1076" t="s">
        <v>1399</v>
      </c>
      <c r="G1076">
        <v>86571</v>
      </c>
      <c r="H1076">
        <v>86571</v>
      </c>
      <c r="I1076" t="s">
        <v>589</v>
      </c>
      <c r="J1076">
        <v>8600</v>
      </c>
      <c r="K1076" t="s">
        <v>1399</v>
      </c>
      <c r="L1076" t="s">
        <v>80</v>
      </c>
      <c r="M1076" t="s">
        <v>53</v>
      </c>
      <c r="N1076">
        <v>38076</v>
      </c>
      <c r="O1076" t="s">
        <v>53</v>
      </c>
      <c r="P1076" t="s">
        <v>92</v>
      </c>
      <c r="Q1076" t="s">
        <v>71</v>
      </c>
      <c r="R1076" t="s">
        <v>56</v>
      </c>
      <c r="S1076" t="s">
        <v>1400</v>
      </c>
      <c r="T1076" t="s">
        <v>73</v>
      </c>
      <c r="U1076" t="s">
        <v>115</v>
      </c>
      <c r="V1076">
        <v>0.39672200000000002</v>
      </c>
      <c r="W1076" t="s">
        <v>53</v>
      </c>
      <c r="X1076" t="s">
        <v>53</v>
      </c>
      <c r="Y1076" t="s">
        <v>596</v>
      </c>
      <c r="Z1076" t="str">
        <f t="shared" si="32"/>
        <v>Mayor que 8 - hasta 10</v>
      </c>
      <c r="AA1076">
        <f t="shared" si="33"/>
        <v>1</v>
      </c>
      <c r="AB1076">
        <v>86571</v>
      </c>
      <c r="AC1076" t="s">
        <v>646</v>
      </c>
      <c r="AD1076" t="s">
        <v>647</v>
      </c>
      <c r="AE1076">
        <v>1.24099</v>
      </c>
      <c r="AF1076" t="s">
        <v>76</v>
      </c>
      <c r="AG1076">
        <v>48.417366000000001</v>
      </c>
      <c r="AH1076" t="s">
        <v>646</v>
      </c>
      <c r="AI1076" t="s">
        <v>647</v>
      </c>
      <c r="AJ1076">
        <v>1.220642</v>
      </c>
      <c r="AK1076" t="s">
        <v>76</v>
      </c>
      <c r="AL1076">
        <v>47.710259999999998</v>
      </c>
      <c r="AM1076" s="4" t="s">
        <v>97</v>
      </c>
      <c r="AN1076" s="5">
        <v>313620.48999952676</v>
      </c>
      <c r="AO1076" s="4" t="s">
        <v>64</v>
      </c>
      <c r="AP1076" s="6">
        <v>980</v>
      </c>
      <c r="AQ1076">
        <v>4</v>
      </c>
      <c r="AR1076">
        <v>301984.34340800002</v>
      </c>
      <c r="AS1076" t="s">
        <v>66</v>
      </c>
      <c r="AT1076" t="s">
        <v>53</v>
      </c>
    </row>
    <row r="1077" spans="1:46">
      <c r="A1077">
        <v>111</v>
      </c>
      <c r="B1077" t="s">
        <v>46</v>
      </c>
      <c r="C1077">
        <v>86</v>
      </c>
      <c r="D1077">
        <v>573</v>
      </c>
      <c r="E1077" t="s">
        <v>1406</v>
      </c>
      <c r="F1077" t="s">
        <v>1399</v>
      </c>
      <c r="G1077">
        <v>86573</v>
      </c>
      <c r="H1077">
        <v>86573</v>
      </c>
      <c r="I1077" t="s">
        <v>589</v>
      </c>
      <c r="J1077">
        <v>8600</v>
      </c>
      <c r="K1077" t="s">
        <v>1399</v>
      </c>
      <c r="L1077" t="s">
        <v>80</v>
      </c>
      <c r="M1077" t="s">
        <v>53</v>
      </c>
      <c r="N1077">
        <v>32274</v>
      </c>
      <c r="O1077" t="s">
        <v>53</v>
      </c>
      <c r="P1077" t="s">
        <v>92</v>
      </c>
      <c r="Q1077" t="s">
        <v>71</v>
      </c>
      <c r="R1077" t="s">
        <v>56</v>
      </c>
      <c r="S1077" t="s">
        <v>1400</v>
      </c>
      <c r="T1077" t="s">
        <v>73</v>
      </c>
      <c r="U1077" t="s">
        <v>115</v>
      </c>
      <c r="V1077">
        <v>0.853163</v>
      </c>
      <c r="W1077" t="s">
        <v>53</v>
      </c>
      <c r="X1077" t="s">
        <v>53</v>
      </c>
      <c r="Y1077" t="s">
        <v>608</v>
      </c>
      <c r="Z1077" t="str">
        <f t="shared" si="32"/>
        <v>Mayor que 3 - hasta 5</v>
      </c>
      <c r="AA1077">
        <f t="shared" si="33"/>
        <v>1</v>
      </c>
      <c r="AB1077" t="e">
        <v>#N/A</v>
      </c>
      <c r="AC1077" t="e">
        <v>#N/A</v>
      </c>
      <c r="AD1077" t="e">
        <v>#N/A</v>
      </c>
      <c r="AE1077">
        <v>0</v>
      </c>
      <c r="AF1077" t="s">
        <v>211</v>
      </c>
      <c r="AG1077">
        <v>0</v>
      </c>
      <c r="AH1077" t="e">
        <v>#N/A</v>
      </c>
      <c r="AI1077" t="e">
        <v>#N/A</v>
      </c>
      <c r="AJ1077">
        <v>0</v>
      </c>
      <c r="AK1077" t="s">
        <v>211</v>
      </c>
      <c r="AL1077">
        <v>0</v>
      </c>
      <c r="AM1077" s="4" t="e">
        <v>#N/A</v>
      </c>
      <c r="AN1077" s="5" t="e">
        <v>#N/A</v>
      </c>
      <c r="AO1077" s="4" t="e">
        <v>#N/A</v>
      </c>
      <c r="AP1077" s="6" t="e">
        <v>#N/A</v>
      </c>
      <c r="AQ1077">
        <v>4</v>
      </c>
      <c r="AR1077">
        <v>265502.34593299998</v>
      </c>
      <c r="AS1077" t="s">
        <v>66</v>
      </c>
      <c r="AT1077" t="s">
        <v>53</v>
      </c>
    </row>
    <row r="1078" spans="1:46">
      <c r="A1078">
        <v>102</v>
      </c>
      <c r="B1078" t="s">
        <v>46</v>
      </c>
      <c r="C1078">
        <v>86</v>
      </c>
      <c r="D1078">
        <v>749</v>
      </c>
      <c r="E1078" t="s">
        <v>1407</v>
      </c>
      <c r="F1078" t="s">
        <v>1399</v>
      </c>
      <c r="G1078">
        <v>86749</v>
      </c>
      <c r="H1078">
        <v>86749</v>
      </c>
      <c r="I1078" t="s">
        <v>589</v>
      </c>
      <c r="J1078">
        <v>8600</v>
      </c>
      <c r="K1078" t="s">
        <v>1399</v>
      </c>
      <c r="L1078" t="s">
        <v>91</v>
      </c>
      <c r="M1078" t="s">
        <v>53</v>
      </c>
      <c r="N1078">
        <v>16733</v>
      </c>
      <c r="O1078" t="s">
        <v>53</v>
      </c>
      <c r="P1078" t="s">
        <v>70</v>
      </c>
      <c r="Q1078" t="s">
        <v>71</v>
      </c>
      <c r="R1078" t="s">
        <v>56</v>
      </c>
      <c r="S1078" t="s">
        <v>57</v>
      </c>
      <c r="T1078" t="s">
        <v>58</v>
      </c>
      <c r="U1078" t="s">
        <v>59</v>
      </c>
      <c r="V1078">
        <v>0.71798399999999996</v>
      </c>
      <c r="W1078" t="s">
        <v>53</v>
      </c>
      <c r="X1078" t="s">
        <v>53</v>
      </c>
      <c r="Y1078" t="s">
        <v>116</v>
      </c>
      <c r="Z1078" t="str">
        <f t="shared" si="32"/>
        <v>Mayor que 30 - hasta 40</v>
      </c>
      <c r="AA1078">
        <f t="shared" si="33"/>
        <v>1</v>
      </c>
      <c r="AB1078">
        <v>86749</v>
      </c>
      <c r="AC1078" t="s">
        <v>646</v>
      </c>
      <c r="AD1078" t="s">
        <v>647</v>
      </c>
      <c r="AE1078">
        <v>1.6727449999999999</v>
      </c>
      <c r="AF1078" t="s">
        <v>76</v>
      </c>
      <c r="AG1078">
        <v>55.374220999999999</v>
      </c>
      <c r="AH1078" t="s">
        <v>646</v>
      </c>
      <c r="AI1078" t="s">
        <v>647</v>
      </c>
      <c r="AJ1078">
        <v>1.6584939999999999</v>
      </c>
      <c r="AK1078" t="s">
        <v>76</v>
      </c>
      <c r="AL1078">
        <v>54.808534999999999</v>
      </c>
      <c r="AM1078" s="4" t="s">
        <v>65</v>
      </c>
      <c r="AN1078" s="5">
        <v>3087.5500082104786</v>
      </c>
      <c r="AO1078" s="4" t="s">
        <v>65</v>
      </c>
      <c r="AP1078" s="6">
        <v>1626</v>
      </c>
      <c r="AQ1078">
        <v>1</v>
      </c>
      <c r="AR1078">
        <v>1796.696639</v>
      </c>
      <c r="AS1078" t="s">
        <v>66</v>
      </c>
      <c r="AT1078" t="s">
        <v>53</v>
      </c>
    </row>
    <row r="1079" spans="1:46">
      <c r="A1079">
        <v>103</v>
      </c>
      <c r="B1079" t="s">
        <v>46</v>
      </c>
      <c r="C1079">
        <v>86</v>
      </c>
      <c r="D1079">
        <v>755</v>
      </c>
      <c r="E1079" t="s">
        <v>245</v>
      </c>
      <c r="F1079" t="s">
        <v>1399</v>
      </c>
      <c r="G1079">
        <v>86755</v>
      </c>
      <c r="H1079">
        <v>86755</v>
      </c>
      <c r="I1079" t="s">
        <v>589</v>
      </c>
      <c r="J1079">
        <v>8600</v>
      </c>
      <c r="K1079" t="s">
        <v>1399</v>
      </c>
      <c r="L1079" t="s">
        <v>69</v>
      </c>
      <c r="M1079" t="s">
        <v>53</v>
      </c>
      <c r="N1079">
        <v>6244</v>
      </c>
      <c r="O1079" t="s">
        <v>53</v>
      </c>
      <c r="P1079" t="s">
        <v>70</v>
      </c>
      <c r="Q1079" t="s">
        <v>71</v>
      </c>
      <c r="R1079" t="s">
        <v>122</v>
      </c>
      <c r="S1079" t="s">
        <v>57</v>
      </c>
      <c r="T1079" t="s">
        <v>58</v>
      </c>
      <c r="U1079" t="s">
        <v>59</v>
      </c>
      <c r="V1079">
        <v>0.74814499999999995</v>
      </c>
      <c r="W1079" t="s">
        <v>53</v>
      </c>
      <c r="X1079" t="s">
        <v>53</v>
      </c>
      <c r="Y1079" t="s">
        <v>102</v>
      </c>
      <c r="Z1079" t="str">
        <f t="shared" si="32"/>
        <v>Mayor que 20 - hasta 30</v>
      </c>
      <c r="AA1079">
        <f t="shared" si="33"/>
        <v>1</v>
      </c>
      <c r="AB1079">
        <v>86755</v>
      </c>
      <c r="AC1079" t="s">
        <v>646</v>
      </c>
      <c r="AD1079" t="s">
        <v>647</v>
      </c>
      <c r="AE1079">
        <v>1.537639</v>
      </c>
      <c r="AF1079" t="s">
        <v>76</v>
      </c>
      <c r="AG1079">
        <v>49.673000999999999</v>
      </c>
      <c r="AH1079" t="s">
        <v>646</v>
      </c>
      <c r="AI1079" t="s">
        <v>647</v>
      </c>
      <c r="AJ1079">
        <v>1.523387</v>
      </c>
      <c r="AK1079" t="s">
        <v>76</v>
      </c>
      <c r="AL1079">
        <v>49.107315999999997</v>
      </c>
      <c r="AM1079" s="4" t="e">
        <v>#N/A</v>
      </c>
      <c r="AN1079" s="5" t="e">
        <v>#N/A</v>
      </c>
      <c r="AO1079" s="4" t="e">
        <v>#N/A</v>
      </c>
      <c r="AP1079" s="6" t="e">
        <v>#N/A</v>
      </c>
      <c r="AQ1079">
        <v>4</v>
      </c>
      <c r="AR1079">
        <v>4248.9663300000002</v>
      </c>
      <c r="AS1079" t="s">
        <v>66</v>
      </c>
      <c r="AT1079" t="s">
        <v>53</v>
      </c>
    </row>
    <row r="1080" spans="1:46">
      <c r="A1080">
        <v>104</v>
      </c>
      <c r="B1080" t="s">
        <v>46</v>
      </c>
      <c r="C1080">
        <v>86</v>
      </c>
      <c r="D1080">
        <v>757</v>
      </c>
      <c r="E1080" t="s">
        <v>1252</v>
      </c>
      <c r="F1080" t="s">
        <v>1399</v>
      </c>
      <c r="G1080">
        <v>86757</v>
      </c>
      <c r="H1080">
        <v>86757</v>
      </c>
      <c r="I1080" t="s">
        <v>589</v>
      </c>
      <c r="J1080">
        <v>8600</v>
      </c>
      <c r="K1080" t="s">
        <v>1399</v>
      </c>
      <c r="L1080" t="s">
        <v>69</v>
      </c>
      <c r="M1080" t="s">
        <v>53</v>
      </c>
      <c r="N1080">
        <v>20997</v>
      </c>
      <c r="O1080" t="s">
        <v>53</v>
      </c>
      <c r="P1080" t="s">
        <v>70</v>
      </c>
      <c r="Q1080" t="s">
        <v>71</v>
      </c>
      <c r="R1080" t="s">
        <v>105</v>
      </c>
      <c r="S1080" t="s">
        <v>1400</v>
      </c>
      <c r="T1080" t="s">
        <v>73</v>
      </c>
      <c r="U1080" t="s">
        <v>115</v>
      </c>
      <c r="V1080">
        <v>0.70598700000000003</v>
      </c>
      <c r="W1080" t="s">
        <v>53</v>
      </c>
      <c r="X1080" t="s">
        <v>53</v>
      </c>
      <c r="Y1080" t="s">
        <v>596</v>
      </c>
      <c r="Z1080" t="str">
        <f t="shared" si="32"/>
        <v>Mayor que 8 - hasta 10</v>
      </c>
      <c r="AA1080">
        <f t="shared" si="33"/>
        <v>1</v>
      </c>
      <c r="AB1080">
        <v>86757</v>
      </c>
      <c r="AC1080" t="s">
        <v>646</v>
      </c>
      <c r="AD1080" t="s">
        <v>1402</v>
      </c>
      <c r="AE1080">
        <v>2.1585040000000002</v>
      </c>
      <c r="AF1080" t="s">
        <v>77</v>
      </c>
      <c r="AG1080">
        <v>99.504581000000002</v>
      </c>
      <c r="AH1080" t="s">
        <v>646</v>
      </c>
      <c r="AI1080" t="s">
        <v>647</v>
      </c>
      <c r="AJ1080">
        <v>3.0866850000000001</v>
      </c>
      <c r="AK1080" t="s">
        <v>84</v>
      </c>
      <c r="AL1080">
        <v>156.056263</v>
      </c>
      <c r="AM1080" s="4" t="s">
        <v>64</v>
      </c>
      <c r="AN1080" s="5">
        <v>13213.053002755039</v>
      </c>
      <c r="AO1080" s="4" t="s">
        <v>65</v>
      </c>
      <c r="AP1080" s="6">
        <v>2235</v>
      </c>
      <c r="AQ1080">
        <v>3</v>
      </c>
      <c r="AR1080">
        <v>28262.502191</v>
      </c>
      <c r="AS1080" t="s">
        <v>66</v>
      </c>
      <c r="AT1080" t="s">
        <v>53</v>
      </c>
    </row>
    <row r="1081" spans="1:46">
      <c r="A1081">
        <v>105</v>
      </c>
      <c r="B1081" t="s">
        <v>46</v>
      </c>
      <c r="C1081">
        <v>86</v>
      </c>
      <c r="D1081">
        <v>760</v>
      </c>
      <c r="E1081" t="s">
        <v>1152</v>
      </c>
      <c r="F1081" t="s">
        <v>1399</v>
      </c>
      <c r="G1081">
        <v>86760</v>
      </c>
      <c r="H1081">
        <v>86760</v>
      </c>
      <c r="I1081" t="s">
        <v>589</v>
      </c>
      <c r="J1081">
        <v>8600</v>
      </c>
      <c r="K1081" t="s">
        <v>1399</v>
      </c>
      <c r="L1081" t="s">
        <v>69</v>
      </c>
      <c r="M1081" t="s">
        <v>53</v>
      </c>
      <c r="N1081">
        <v>7753</v>
      </c>
      <c r="O1081" t="s">
        <v>53</v>
      </c>
      <c r="P1081" t="s">
        <v>70</v>
      </c>
      <c r="Q1081" t="s">
        <v>71</v>
      </c>
      <c r="R1081" t="s">
        <v>122</v>
      </c>
      <c r="S1081" t="s">
        <v>57</v>
      </c>
      <c r="T1081" t="s">
        <v>58</v>
      </c>
      <c r="U1081" t="s">
        <v>59</v>
      </c>
      <c r="V1081">
        <v>0.65202199999999999</v>
      </c>
      <c r="W1081" t="s">
        <v>53</v>
      </c>
      <c r="X1081" t="s">
        <v>53</v>
      </c>
      <c r="Y1081" t="s">
        <v>102</v>
      </c>
      <c r="Z1081" t="str">
        <f t="shared" si="32"/>
        <v>Mayor que 20 - hasta 30</v>
      </c>
      <c r="AA1081">
        <f t="shared" si="33"/>
        <v>1</v>
      </c>
      <c r="AB1081">
        <v>86760</v>
      </c>
      <c r="AC1081" t="s">
        <v>627</v>
      </c>
      <c r="AD1081" t="s">
        <v>628</v>
      </c>
      <c r="AE1081">
        <v>1.27122</v>
      </c>
      <c r="AF1081" t="s">
        <v>76</v>
      </c>
      <c r="AG1081">
        <v>41.461731999999998</v>
      </c>
      <c r="AH1081" t="s">
        <v>627</v>
      </c>
      <c r="AI1081" t="s">
        <v>628</v>
      </c>
      <c r="AJ1081">
        <v>1.275428</v>
      </c>
      <c r="AK1081" t="s">
        <v>76</v>
      </c>
      <c r="AL1081">
        <v>41.096046000000001</v>
      </c>
      <c r="AM1081" s="4" t="s">
        <v>65</v>
      </c>
      <c r="AN1081" s="5">
        <v>2756.8352724860865</v>
      </c>
      <c r="AO1081" s="4" t="s">
        <v>65</v>
      </c>
      <c r="AP1081" s="6">
        <v>1118</v>
      </c>
      <c r="AQ1081">
        <v>4</v>
      </c>
      <c r="AR1081">
        <v>1878.2025169999999</v>
      </c>
      <c r="AS1081" t="s">
        <v>66</v>
      </c>
      <c r="AT1081" t="s">
        <v>53</v>
      </c>
    </row>
    <row r="1082" spans="1:46">
      <c r="A1082">
        <v>106</v>
      </c>
      <c r="B1082" t="s">
        <v>46</v>
      </c>
      <c r="C1082">
        <v>86</v>
      </c>
      <c r="D1082">
        <v>865</v>
      </c>
      <c r="E1082" t="s">
        <v>1408</v>
      </c>
      <c r="F1082" t="s">
        <v>1399</v>
      </c>
      <c r="G1082">
        <v>86865</v>
      </c>
      <c r="H1082">
        <v>86865</v>
      </c>
      <c r="I1082" t="s">
        <v>589</v>
      </c>
      <c r="J1082">
        <v>8600</v>
      </c>
      <c r="K1082" t="s">
        <v>1399</v>
      </c>
      <c r="L1082" t="s">
        <v>91</v>
      </c>
      <c r="M1082" t="s">
        <v>53</v>
      </c>
      <c r="N1082">
        <v>35593</v>
      </c>
      <c r="O1082" t="s">
        <v>53</v>
      </c>
      <c r="P1082" t="s">
        <v>92</v>
      </c>
      <c r="Q1082" t="s">
        <v>71</v>
      </c>
      <c r="R1082" t="s">
        <v>105</v>
      </c>
      <c r="S1082" t="s">
        <v>1400</v>
      </c>
      <c r="T1082" t="s">
        <v>73</v>
      </c>
      <c r="U1082" t="s">
        <v>115</v>
      </c>
      <c r="V1082">
        <v>0.73355099999999995</v>
      </c>
      <c r="W1082" t="s">
        <v>53</v>
      </c>
      <c r="X1082" t="s">
        <v>53</v>
      </c>
      <c r="Y1082" t="s">
        <v>82</v>
      </c>
      <c r="Z1082" t="str">
        <f t="shared" si="32"/>
        <v>Mayor que 15 - hasta 20</v>
      </c>
      <c r="AA1082">
        <f t="shared" si="33"/>
        <v>1</v>
      </c>
      <c r="AB1082">
        <v>86865</v>
      </c>
      <c r="AC1082" t="s">
        <v>646</v>
      </c>
      <c r="AD1082" t="s">
        <v>1402</v>
      </c>
      <c r="AE1082">
        <v>1.9378869999999999</v>
      </c>
      <c r="AF1082" t="s">
        <v>76</v>
      </c>
      <c r="AG1082">
        <v>89.527625999999998</v>
      </c>
      <c r="AH1082" t="s">
        <v>646</v>
      </c>
      <c r="AI1082" t="s">
        <v>647</v>
      </c>
      <c r="AJ1082">
        <v>2.8660679999999998</v>
      </c>
      <c r="AK1082" t="s">
        <v>77</v>
      </c>
      <c r="AL1082">
        <v>146.079307</v>
      </c>
      <c r="AM1082" s="4" t="s">
        <v>64</v>
      </c>
      <c r="AN1082" s="5">
        <v>33868.464112893387</v>
      </c>
      <c r="AO1082" s="4" t="s">
        <v>65</v>
      </c>
      <c r="AP1082" s="6">
        <v>4673</v>
      </c>
      <c r="AQ1082">
        <v>3</v>
      </c>
      <c r="AR1082">
        <v>65080.565892999999</v>
      </c>
      <c r="AS1082" t="s">
        <v>66</v>
      </c>
      <c r="AT1082" t="s">
        <v>53</v>
      </c>
    </row>
    <row r="1083" spans="1:46">
      <c r="A1083">
        <v>107</v>
      </c>
      <c r="B1083" t="s">
        <v>46</v>
      </c>
      <c r="C1083">
        <v>86</v>
      </c>
      <c r="D1083">
        <v>885</v>
      </c>
      <c r="E1083" t="s">
        <v>1409</v>
      </c>
      <c r="F1083" t="s">
        <v>1399</v>
      </c>
      <c r="G1083">
        <v>86885</v>
      </c>
      <c r="H1083">
        <v>86885</v>
      </c>
      <c r="I1083" t="s">
        <v>589</v>
      </c>
      <c r="J1083">
        <v>8600</v>
      </c>
      <c r="K1083" t="s">
        <v>1399</v>
      </c>
      <c r="L1083" t="s">
        <v>69</v>
      </c>
      <c r="M1083" t="s">
        <v>53</v>
      </c>
      <c r="N1083">
        <v>26710</v>
      </c>
      <c r="O1083" t="s">
        <v>53</v>
      </c>
      <c r="P1083" t="s">
        <v>70</v>
      </c>
      <c r="Q1083" t="s">
        <v>71</v>
      </c>
      <c r="R1083" t="s">
        <v>105</v>
      </c>
      <c r="S1083" t="s">
        <v>1400</v>
      </c>
      <c r="T1083" t="s">
        <v>73</v>
      </c>
      <c r="U1083" t="s">
        <v>115</v>
      </c>
      <c r="V1083">
        <v>0.65002099999999996</v>
      </c>
      <c r="W1083" t="s">
        <v>53</v>
      </c>
      <c r="X1083" t="s">
        <v>53</v>
      </c>
      <c r="Y1083" t="s">
        <v>167</v>
      </c>
      <c r="Z1083" t="str">
        <f t="shared" si="32"/>
        <v>Mayor que 50 - hasta 60</v>
      </c>
      <c r="AA1083">
        <f t="shared" si="33"/>
        <v>1</v>
      </c>
      <c r="AB1083">
        <v>86885</v>
      </c>
      <c r="AC1083" t="s">
        <v>646</v>
      </c>
      <c r="AD1083" t="s">
        <v>647</v>
      </c>
      <c r="AE1083">
        <v>0.378664</v>
      </c>
      <c r="AF1083" t="s">
        <v>63</v>
      </c>
      <c r="AG1083">
        <v>16.095331999999999</v>
      </c>
      <c r="AH1083" t="s">
        <v>646</v>
      </c>
      <c r="AI1083" t="s">
        <v>647</v>
      </c>
      <c r="AJ1083">
        <v>0.35831600000000002</v>
      </c>
      <c r="AK1083" t="s">
        <v>63</v>
      </c>
      <c r="AL1083">
        <v>15.388225</v>
      </c>
      <c r="AM1083" s="4" t="s">
        <v>97</v>
      </c>
      <c r="AN1083" s="5">
        <v>69714.731631730276</v>
      </c>
      <c r="AO1083" s="4" t="s">
        <v>65</v>
      </c>
      <c r="AP1083" s="6">
        <v>2045</v>
      </c>
      <c r="AQ1083">
        <v>3</v>
      </c>
      <c r="AR1083">
        <v>45338.318501000002</v>
      </c>
      <c r="AS1083" t="s">
        <v>66</v>
      </c>
      <c r="AT1083" t="s">
        <v>53</v>
      </c>
    </row>
    <row r="1084" spans="1:46">
      <c r="A1084">
        <v>624</v>
      </c>
      <c r="B1084" t="s">
        <v>46</v>
      </c>
      <c r="C1084">
        <v>88</v>
      </c>
      <c r="D1084">
        <v>1</v>
      </c>
      <c r="E1084" t="s">
        <v>243</v>
      </c>
      <c r="F1084" t="s">
        <v>1410</v>
      </c>
      <c r="G1084">
        <v>88001</v>
      </c>
      <c r="H1084">
        <v>88001</v>
      </c>
      <c r="I1084" t="s">
        <v>1411</v>
      </c>
      <c r="J1084">
        <v>8800</v>
      </c>
      <c r="K1084" t="s">
        <v>1412</v>
      </c>
      <c r="L1084" t="s">
        <v>91</v>
      </c>
      <c r="M1084" t="s">
        <v>52</v>
      </c>
      <c r="N1084">
        <v>0</v>
      </c>
      <c r="O1084" t="s">
        <v>53</v>
      </c>
      <c r="P1084" t="s">
        <v>92</v>
      </c>
      <c r="Q1084" t="s">
        <v>211</v>
      </c>
      <c r="R1084" t="s">
        <v>56</v>
      </c>
      <c r="S1084" t="s">
        <v>57</v>
      </c>
      <c r="T1084" t="s">
        <v>58</v>
      </c>
      <c r="U1084" t="s">
        <v>81</v>
      </c>
      <c r="V1084">
        <v>0.38852300000000001</v>
      </c>
      <c r="W1084" t="s">
        <v>53</v>
      </c>
      <c r="X1084" t="s">
        <v>53</v>
      </c>
      <c r="Y1084" t="s">
        <v>329</v>
      </c>
      <c r="Z1084" t="str">
        <f t="shared" si="32"/>
        <v>Mayor que 1000</v>
      </c>
      <c r="AA1084">
        <f t="shared" si="33"/>
        <v>1</v>
      </c>
      <c r="AB1084" t="e">
        <v>#N/A</v>
      </c>
      <c r="AC1084" t="e">
        <v>#N/A</v>
      </c>
      <c r="AD1084" t="e">
        <v>#N/A</v>
      </c>
      <c r="AE1084">
        <v>0</v>
      </c>
      <c r="AF1084" t="s">
        <v>211</v>
      </c>
      <c r="AG1084">
        <v>0</v>
      </c>
      <c r="AH1084" t="e">
        <v>#N/A</v>
      </c>
      <c r="AI1084" t="e">
        <v>#N/A</v>
      </c>
      <c r="AJ1084">
        <v>0</v>
      </c>
      <c r="AK1084" t="s">
        <v>211</v>
      </c>
      <c r="AL1084">
        <v>0</v>
      </c>
      <c r="AM1084" s="4" t="s">
        <v>65</v>
      </c>
      <c r="AN1084" s="5">
        <v>1192.9138377385498</v>
      </c>
      <c r="AO1084" s="4" t="s">
        <v>65</v>
      </c>
      <c r="AP1084" s="6">
        <v>2198</v>
      </c>
      <c r="AQ1084">
        <v>0</v>
      </c>
      <c r="AR1084">
        <v>0</v>
      </c>
      <c r="AS1084" t="s">
        <v>66</v>
      </c>
      <c r="AT1084" t="s">
        <v>53</v>
      </c>
    </row>
    <row r="1085" spans="1:46">
      <c r="A1085">
        <v>625</v>
      </c>
      <c r="B1085" t="s">
        <v>46</v>
      </c>
      <c r="C1085">
        <v>88</v>
      </c>
      <c r="D1085">
        <v>564</v>
      </c>
      <c r="E1085" t="s">
        <v>1413</v>
      </c>
      <c r="F1085" t="s">
        <v>1410</v>
      </c>
      <c r="G1085">
        <v>88564</v>
      </c>
      <c r="H1085">
        <v>88564</v>
      </c>
      <c r="I1085" t="s">
        <v>1411</v>
      </c>
      <c r="J1085">
        <v>8800</v>
      </c>
      <c r="K1085" t="s">
        <v>1412</v>
      </c>
      <c r="L1085" t="s">
        <v>91</v>
      </c>
      <c r="M1085" t="s">
        <v>53</v>
      </c>
      <c r="N1085">
        <v>5936</v>
      </c>
      <c r="O1085" t="s">
        <v>53</v>
      </c>
      <c r="P1085" t="s">
        <v>70</v>
      </c>
      <c r="Q1085" t="s">
        <v>118</v>
      </c>
      <c r="R1085" t="s">
        <v>93</v>
      </c>
      <c r="S1085" t="s">
        <v>57</v>
      </c>
      <c r="T1085" t="s">
        <v>58</v>
      </c>
      <c r="U1085" t="s">
        <v>81</v>
      </c>
      <c r="V1085">
        <v>0.57936699999999997</v>
      </c>
      <c r="W1085" t="s">
        <v>53</v>
      </c>
      <c r="X1085" t="s">
        <v>53</v>
      </c>
      <c r="Y1085" t="s">
        <v>329</v>
      </c>
      <c r="Z1085" t="str">
        <f t="shared" si="32"/>
        <v>Mayor que 1000</v>
      </c>
      <c r="AA1085">
        <f t="shared" si="33"/>
        <v>1</v>
      </c>
      <c r="AB1085" t="e">
        <v>#N/A</v>
      </c>
      <c r="AC1085" t="e">
        <v>#N/A</v>
      </c>
      <c r="AD1085" t="e">
        <v>#N/A</v>
      </c>
      <c r="AE1085">
        <v>0</v>
      </c>
      <c r="AF1085" t="s">
        <v>211</v>
      </c>
      <c r="AG1085">
        <v>0</v>
      </c>
      <c r="AH1085" t="e">
        <v>#N/A</v>
      </c>
      <c r="AI1085" t="e">
        <v>#N/A</v>
      </c>
      <c r="AJ1085">
        <v>0</v>
      </c>
      <c r="AK1085" t="s">
        <v>211</v>
      </c>
      <c r="AL1085">
        <v>0</v>
      </c>
      <c r="AM1085" s="4" t="s">
        <v>65</v>
      </c>
      <c r="AN1085" s="5">
        <v>1521.6153847782407</v>
      </c>
      <c r="AO1085" s="4" t="s">
        <v>65</v>
      </c>
      <c r="AP1085" s="6">
        <v>1415</v>
      </c>
      <c r="AQ1085">
        <v>0</v>
      </c>
      <c r="AR1085">
        <v>0</v>
      </c>
      <c r="AS1085" t="s">
        <v>66</v>
      </c>
      <c r="AT1085" t="s">
        <v>53</v>
      </c>
    </row>
    <row r="1086" spans="1:46">
      <c r="A1086">
        <v>207</v>
      </c>
      <c r="B1086" t="s">
        <v>46</v>
      </c>
      <c r="C1086">
        <v>91</v>
      </c>
      <c r="D1086">
        <v>1</v>
      </c>
      <c r="E1086" t="s">
        <v>1414</v>
      </c>
      <c r="F1086" t="s">
        <v>1415</v>
      </c>
      <c r="G1086">
        <v>91001</v>
      </c>
      <c r="H1086">
        <v>91001</v>
      </c>
      <c r="I1086" t="s">
        <v>589</v>
      </c>
      <c r="J1086">
        <v>9100</v>
      </c>
      <c r="K1086" t="s">
        <v>1415</v>
      </c>
      <c r="L1086" t="s">
        <v>69</v>
      </c>
      <c r="M1086" t="s">
        <v>52</v>
      </c>
      <c r="N1086">
        <v>54110</v>
      </c>
      <c r="O1086" t="s">
        <v>53</v>
      </c>
      <c r="P1086" t="s">
        <v>92</v>
      </c>
      <c r="Q1086" t="s">
        <v>71</v>
      </c>
      <c r="R1086" t="s">
        <v>56</v>
      </c>
      <c r="S1086" t="s">
        <v>57</v>
      </c>
      <c r="T1086" t="s">
        <v>58</v>
      </c>
      <c r="U1086" t="s">
        <v>59</v>
      </c>
      <c r="V1086">
        <v>0.15204200000000001</v>
      </c>
      <c r="W1086" t="s">
        <v>53</v>
      </c>
      <c r="X1086" t="s">
        <v>53</v>
      </c>
      <c r="Y1086" t="s">
        <v>167</v>
      </c>
      <c r="Z1086" t="str">
        <f t="shared" si="32"/>
        <v>Mayor que 50 - hasta 60</v>
      </c>
      <c r="AA1086">
        <f t="shared" si="33"/>
        <v>1</v>
      </c>
      <c r="AB1086">
        <v>91001</v>
      </c>
      <c r="AC1086" t="s">
        <v>1416</v>
      </c>
      <c r="AD1086" t="s">
        <v>1414</v>
      </c>
      <c r="AE1086">
        <v>0</v>
      </c>
      <c r="AF1086" t="s">
        <v>63</v>
      </c>
      <c r="AG1086">
        <v>0</v>
      </c>
      <c r="AH1086" t="s">
        <v>1416</v>
      </c>
      <c r="AI1086" t="s">
        <v>1414</v>
      </c>
      <c r="AJ1086">
        <v>0</v>
      </c>
      <c r="AK1086" t="s">
        <v>63</v>
      </c>
      <c r="AL1086">
        <v>0</v>
      </c>
      <c r="AM1086" s="4" t="s">
        <v>97</v>
      </c>
      <c r="AN1086" s="5">
        <v>5574.8873843346937</v>
      </c>
      <c r="AO1086" s="4" t="s">
        <v>65</v>
      </c>
      <c r="AP1086" s="6">
        <v>231</v>
      </c>
      <c r="AQ1086">
        <v>4</v>
      </c>
      <c r="AR1086">
        <v>23775.125544999999</v>
      </c>
      <c r="AS1086" t="s">
        <v>66</v>
      </c>
      <c r="AT1086" t="s">
        <v>53</v>
      </c>
    </row>
    <row r="1087" spans="1:46">
      <c r="A1087">
        <v>208</v>
      </c>
      <c r="B1087" t="s">
        <v>46</v>
      </c>
      <c r="C1087">
        <v>91</v>
      </c>
      <c r="D1087">
        <v>263</v>
      </c>
      <c r="E1087" t="s">
        <v>1417</v>
      </c>
      <c r="F1087" t="s">
        <v>1415</v>
      </c>
      <c r="G1087">
        <v>91263</v>
      </c>
      <c r="H1087">
        <v>91263</v>
      </c>
      <c r="I1087" t="s">
        <v>589</v>
      </c>
      <c r="J1087">
        <v>9100</v>
      </c>
      <c r="K1087" t="s">
        <v>1415</v>
      </c>
      <c r="L1087" t="s">
        <v>211</v>
      </c>
      <c r="M1087" t="s">
        <v>211</v>
      </c>
      <c r="N1087">
        <v>0</v>
      </c>
      <c r="O1087" t="s">
        <v>1418</v>
      </c>
      <c r="P1087" t="s">
        <v>294</v>
      </c>
      <c r="Q1087" t="s">
        <v>211</v>
      </c>
      <c r="R1087" t="s">
        <v>72</v>
      </c>
      <c r="S1087" t="s">
        <v>57</v>
      </c>
      <c r="T1087" t="s">
        <v>58</v>
      </c>
      <c r="U1087" t="s">
        <v>59</v>
      </c>
      <c r="V1087">
        <v>0</v>
      </c>
      <c r="W1087" t="s">
        <v>53</v>
      </c>
      <c r="X1087" t="s">
        <v>53</v>
      </c>
      <c r="Y1087" t="s">
        <v>1419</v>
      </c>
      <c r="Z1087" t="str">
        <f t="shared" si="32"/>
        <v>Mayor que 2 - hasta 3</v>
      </c>
      <c r="AA1087">
        <f t="shared" si="33"/>
        <v>1</v>
      </c>
      <c r="AB1087" t="e">
        <v>#N/A</v>
      </c>
      <c r="AC1087" t="e">
        <v>#N/A</v>
      </c>
      <c r="AD1087" t="e">
        <v>#N/A</v>
      </c>
      <c r="AE1087">
        <v>0</v>
      </c>
      <c r="AF1087" t="s">
        <v>211</v>
      </c>
      <c r="AG1087">
        <v>0</v>
      </c>
      <c r="AH1087" t="e">
        <v>#N/A</v>
      </c>
      <c r="AI1087" t="e">
        <v>#N/A</v>
      </c>
      <c r="AJ1087">
        <v>0</v>
      </c>
      <c r="AK1087" t="s">
        <v>211</v>
      </c>
      <c r="AL1087">
        <v>0</v>
      </c>
      <c r="AM1087" s="4" t="e">
        <v>#N/A</v>
      </c>
      <c r="AN1087" s="5" t="e">
        <v>#N/A</v>
      </c>
      <c r="AO1087" s="4" t="e">
        <v>#N/A</v>
      </c>
      <c r="AP1087" s="6" t="e">
        <v>#N/A</v>
      </c>
      <c r="AQ1087">
        <v>3</v>
      </c>
      <c r="AR1087">
        <v>137.43010000000001</v>
      </c>
      <c r="AS1087" t="s">
        <v>66</v>
      </c>
      <c r="AT1087" t="s">
        <v>53</v>
      </c>
    </row>
    <row r="1088" spans="1:46">
      <c r="A1088">
        <v>209</v>
      </c>
      <c r="B1088" t="s">
        <v>46</v>
      </c>
      <c r="C1088">
        <v>91</v>
      </c>
      <c r="D1088">
        <v>405</v>
      </c>
      <c r="E1088" t="s">
        <v>1420</v>
      </c>
      <c r="F1088" t="s">
        <v>1415</v>
      </c>
      <c r="G1088">
        <v>91405</v>
      </c>
      <c r="H1088">
        <v>91405</v>
      </c>
      <c r="I1088" t="s">
        <v>589</v>
      </c>
      <c r="J1088">
        <v>9100</v>
      </c>
      <c r="K1088" t="s">
        <v>1415</v>
      </c>
      <c r="L1088" t="s">
        <v>211</v>
      </c>
      <c r="M1088" t="s">
        <v>211</v>
      </c>
      <c r="N1088">
        <v>0</v>
      </c>
      <c r="O1088" t="s">
        <v>1418</v>
      </c>
      <c r="P1088" t="s">
        <v>294</v>
      </c>
      <c r="Q1088" t="s">
        <v>211</v>
      </c>
      <c r="R1088" t="s">
        <v>56</v>
      </c>
      <c r="S1088" t="s">
        <v>57</v>
      </c>
      <c r="T1088" t="s">
        <v>58</v>
      </c>
      <c r="U1088" t="s">
        <v>59</v>
      </c>
      <c r="V1088">
        <v>0</v>
      </c>
      <c r="W1088" t="s">
        <v>53</v>
      </c>
      <c r="X1088" t="s">
        <v>53</v>
      </c>
      <c r="Y1088" t="s">
        <v>1419</v>
      </c>
      <c r="Z1088" t="str">
        <f t="shared" si="32"/>
        <v>Mayor que 2 - hasta 3</v>
      </c>
      <c r="AA1088">
        <f t="shared" si="33"/>
        <v>1</v>
      </c>
      <c r="AB1088" t="e">
        <v>#N/A</v>
      </c>
      <c r="AC1088" t="e">
        <v>#N/A</v>
      </c>
      <c r="AD1088" t="e">
        <v>#N/A</v>
      </c>
      <c r="AE1088">
        <v>0</v>
      </c>
      <c r="AF1088" t="s">
        <v>211</v>
      </c>
      <c r="AG1088">
        <v>0</v>
      </c>
      <c r="AH1088" t="e">
        <v>#N/A</v>
      </c>
      <c r="AI1088" t="e">
        <v>#N/A</v>
      </c>
      <c r="AJ1088">
        <v>0</v>
      </c>
      <c r="AK1088" t="s">
        <v>211</v>
      </c>
      <c r="AL1088">
        <v>0</v>
      </c>
      <c r="AM1088" s="4" t="e">
        <v>#N/A</v>
      </c>
      <c r="AN1088" s="5" t="e">
        <v>#N/A</v>
      </c>
      <c r="AO1088" s="4" t="e">
        <v>#N/A</v>
      </c>
      <c r="AP1088" s="6" t="e">
        <v>#N/A</v>
      </c>
      <c r="AQ1088">
        <v>5</v>
      </c>
      <c r="AR1088">
        <v>359.58222899999998</v>
      </c>
      <c r="AS1088" t="s">
        <v>66</v>
      </c>
      <c r="AT1088" t="s">
        <v>53</v>
      </c>
    </row>
    <row r="1089" spans="1:46">
      <c r="A1089">
        <v>210</v>
      </c>
      <c r="B1089" t="s">
        <v>46</v>
      </c>
      <c r="C1089">
        <v>91</v>
      </c>
      <c r="D1089">
        <v>407</v>
      </c>
      <c r="E1089" t="s">
        <v>1421</v>
      </c>
      <c r="F1089" t="s">
        <v>1415</v>
      </c>
      <c r="G1089">
        <v>91407</v>
      </c>
      <c r="H1089">
        <v>91407</v>
      </c>
      <c r="I1089" t="s">
        <v>589</v>
      </c>
      <c r="J1089">
        <v>9100</v>
      </c>
      <c r="K1089" t="s">
        <v>1415</v>
      </c>
      <c r="L1089" t="s">
        <v>211</v>
      </c>
      <c r="M1089" t="s">
        <v>211</v>
      </c>
      <c r="N1089">
        <v>0</v>
      </c>
      <c r="O1089" t="s">
        <v>1418</v>
      </c>
      <c r="P1089" t="s">
        <v>294</v>
      </c>
      <c r="Q1089" t="s">
        <v>211</v>
      </c>
      <c r="R1089" t="s">
        <v>105</v>
      </c>
      <c r="S1089" t="s">
        <v>57</v>
      </c>
      <c r="T1089" t="s">
        <v>58</v>
      </c>
      <c r="U1089" t="s">
        <v>81</v>
      </c>
      <c r="V1089">
        <v>0</v>
      </c>
      <c r="W1089" t="s">
        <v>53</v>
      </c>
      <c r="X1089" t="s">
        <v>53</v>
      </c>
      <c r="Y1089" t="s">
        <v>1419</v>
      </c>
      <c r="Z1089" t="str">
        <f t="shared" si="32"/>
        <v>Mayor que 2 - hasta 3</v>
      </c>
      <c r="AA1089">
        <f t="shared" si="33"/>
        <v>1</v>
      </c>
      <c r="AB1089" t="e">
        <v>#N/A</v>
      </c>
      <c r="AC1089" t="e">
        <v>#N/A</v>
      </c>
      <c r="AD1089" t="e">
        <v>#N/A</v>
      </c>
      <c r="AE1089">
        <v>0</v>
      </c>
      <c r="AF1089" t="s">
        <v>211</v>
      </c>
      <c r="AG1089">
        <v>0</v>
      </c>
      <c r="AH1089" t="e">
        <v>#N/A</v>
      </c>
      <c r="AI1089" t="e">
        <v>#N/A</v>
      </c>
      <c r="AJ1089">
        <v>0</v>
      </c>
      <c r="AK1089" t="s">
        <v>211</v>
      </c>
      <c r="AL1089">
        <v>0</v>
      </c>
      <c r="AM1089" s="4" t="e">
        <v>#N/A</v>
      </c>
      <c r="AN1089" s="5" t="e">
        <v>#N/A</v>
      </c>
      <c r="AO1089" s="4" t="e">
        <v>#N/A</v>
      </c>
      <c r="AP1089" s="6" t="e">
        <v>#N/A</v>
      </c>
      <c r="AQ1089">
        <v>4</v>
      </c>
      <c r="AR1089">
        <v>28921.402478</v>
      </c>
      <c r="AS1089" t="s">
        <v>66</v>
      </c>
      <c r="AT1089" t="s">
        <v>53</v>
      </c>
    </row>
    <row r="1090" spans="1:46">
      <c r="A1090">
        <v>211</v>
      </c>
      <c r="B1090" t="s">
        <v>46</v>
      </c>
      <c r="C1090">
        <v>91</v>
      </c>
      <c r="D1090">
        <v>430</v>
      </c>
      <c r="E1090" t="s">
        <v>475</v>
      </c>
      <c r="F1090" t="s">
        <v>1415</v>
      </c>
      <c r="G1090">
        <v>91430</v>
      </c>
      <c r="H1090">
        <v>91430</v>
      </c>
      <c r="I1090" t="s">
        <v>589</v>
      </c>
      <c r="J1090">
        <v>9100</v>
      </c>
      <c r="K1090" t="s">
        <v>1415</v>
      </c>
      <c r="L1090" t="s">
        <v>211</v>
      </c>
      <c r="M1090" t="s">
        <v>211</v>
      </c>
      <c r="N1090">
        <v>0</v>
      </c>
      <c r="O1090" t="s">
        <v>1418</v>
      </c>
      <c r="P1090" t="s">
        <v>294</v>
      </c>
      <c r="Q1090" t="s">
        <v>211</v>
      </c>
      <c r="R1090" t="s">
        <v>105</v>
      </c>
      <c r="S1090" t="s">
        <v>57</v>
      </c>
      <c r="T1090" t="s">
        <v>58</v>
      </c>
      <c r="U1090" t="s">
        <v>81</v>
      </c>
      <c r="V1090">
        <v>0</v>
      </c>
      <c r="W1090" t="s">
        <v>53</v>
      </c>
      <c r="X1090" t="s">
        <v>53</v>
      </c>
      <c r="Y1090" t="s">
        <v>1419</v>
      </c>
      <c r="Z1090" t="str">
        <f t="shared" si="32"/>
        <v>Mayor que 2 - hasta 3</v>
      </c>
      <c r="AA1090">
        <f t="shared" si="33"/>
        <v>1</v>
      </c>
      <c r="AB1090" t="e">
        <v>#N/A</v>
      </c>
      <c r="AC1090" t="e">
        <v>#N/A</v>
      </c>
      <c r="AD1090" t="e">
        <v>#N/A</v>
      </c>
      <c r="AE1090">
        <v>0</v>
      </c>
      <c r="AF1090" t="s">
        <v>211</v>
      </c>
      <c r="AG1090">
        <v>0</v>
      </c>
      <c r="AH1090" t="e">
        <v>#N/A</v>
      </c>
      <c r="AI1090" t="e">
        <v>#N/A</v>
      </c>
      <c r="AJ1090">
        <v>0</v>
      </c>
      <c r="AK1090" t="s">
        <v>211</v>
      </c>
      <c r="AL1090">
        <v>0</v>
      </c>
      <c r="AM1090" s="4" t="e">
        <v>#N/A</v>
      </c>
      <c r="AN1090" s="5" t="e">
        <v>#N/A</v>
      </c>
      <c r="AO1090" s="4" t="e">
        <v>#N/A</v>
      </c>
      <c r="AP1090" s="6" t="e">
        <v>#N/A</v>
      </c>
      <c r="AQ1090">
        <v>4</v>
      </c>
      <c r="AR1090">
        <v>0.98189800000000005</v>
      </c>
      <c r="AS1090" t="s">
        <v>66</v>
      </c>
      <c r="AT1090" t="s">
        <v>53</v>
      </c>
    </row>
    <row r="1091" spans="1:46">
      <c r="A1091">
        <v>212</v>
      </c>
      <c r="B1091" t="s">
        <v>46</v>
      </c>
      <c r="C1091">
        <v>91</v>
      </c>
      <c r="D1091">
        <v>460</v>
      </c>
      <c r="E1091" t="s">
        <v>1422</v>
      </c>
      <c r="F1091" t="s">
        <v>1415</v>
      </c>
      <c r="G1091">
        <v>91460</v>
      </c>
      <c r="H1091">
        <v>91460</v>
      </c>
      <c r="I1091" t="s">
        <v>589</v>
      </c>
      <c r="J1091">
        <v>9100</v>
      </c>
      <c r="K1091" t="s">
        <v>1415</v>
      </c>
      <c r="L1091" t="s">
        <v>211</v>
      </c>
      <c r="M1091" t="s">
        <v>211</v>
      </c>
      <c r="N1091">
        <v>0</v>
      </c>
      <c r="O1091" t="s">
        <v>1418</v>
      </c>
      <c r="P1091" t="s">
        <v>294</v>
      </c>
      <c r="Q1091" t="s">
        <v>211</v>
      </c>
      <c r="R1091" t="s">
        <v>56</v>
      </c>
      <c r="S1091" t="s">
        <v>57</v>
      </c>
      <c r="T1091" t="s">
        <v>58</v>
      </c>
      <c r="U1091" t="s">
        <v>81</v>
      </c>
      <c r="V1091">
        <v>0</v>
      </c>
      <c r="W1091" t="s">
        <v>53</v>
      </c>
      <c r="X1091" t="s">
        <v>53</v>
      </c>
      <c r="Y1091" t="s">
        <v>1419</v>
      </c>
      <c r="Z1091" t="str">
        <f t="shared" ref="Z1091:Z1119" si="34">IF(LEFT(Y1091,10)="Irradiado_",
   RIGHT(Y1091, LEN(Y1091)-10),   Y1091)</f>
        <v>Mayor que 2 - hasta 3</v>
      </c>
      <c r="AA1091">
        <f t="shared" ref="AA1091:AA1119" si="35">IF(LEFT(Y1091,10)="Irradiado_", 1, 0)</f>
        <v>1</v>
      </c>
      <c r="AB1091" t="e">
        <v>#N/A</v>
      </c>
      <c r="AC1091" t="e">
        <v>#N/A</v>
      </c>
      <c r="AD1091" t="e">
        <v>#N/A</v>
      </c>
      <c r="AE1091">
        <v>0</v>
      </c>
      <c r="AF1091" t="s">
        <v>211</v>
      </c>
      <c r="AG1091">
        <v>0</v>
      </c>
      <c r="AH1091" t="e">
        <v>#N/A</v>
      </c>
      <c r="AI1091" t="e">
        <v>#N/A</v>
      </c>
      <c r="AJ1091">
        <v>0</v>
      </c>
      <c r="AK1091" t="s">
        <v>211</v>
      </c>
      <c r="AL1091">
        <v>0</v>
      </c>
      <c r="AM1091" s="4" t="e">
        <v>#N/A</v>
      </c>
      <c r="AN1091" s="5" t="e">
        <v>#N/A</v>
      </c>
      <c r="AO1091" s="4" t="e">
        <v>#N/A</v>
      </c>
      <c r="AP1091" s="6" t="e">
        <v>#N/A</v>
      </c>
      <c r="AQ1091">
        <v>3</v>
      </c>
      <c r="AR1091">
        <v>986.14630899999997</v>
      </c>
      <c r="AS1091" t="s">
        <v>66</v>
      </c>
      <c r="AT1091" t="s">
        <v>53</v>
      </c>
    </row>
    <row r="1092" spans="1:46">
      <c r="A1092">
        <v>213</v>
      </c>
      <c r="B1092" t="s">
        <v>46</v>
      </c>
      <c r="C1092">
        <v>91</v>
      </c>
      <c r="D1092">
        <v>530</v>
      </c>
      <c r="E1092" t="s">
        <v>1423</v>
      </c>
      <c r="F1092" t="s">
        <v>1415</v>
      </c>
      <c r="G1092">
        <v>91530</v>
      </c>
      <c r="H1092">
        <v>91530</v>
      </c>
      <c r="I1092" t="s">
        <v>589</v>
      </c>
      <c r="J1092">
        <v>9100</v>
      </c>
      <c r="K1092" t="s">
        <v>1415</v>
      </c>
      <c r="L1092" t="s">
        <v>211</v>
      </c>
      <c r="M1092" t="s">
        <v>211</v>
      </c>
      <c r="N1092">
        <v>0</v>
      </c>
      <c r="O1092" t="s">
        <v>1418</v>
      </c>
      <c r="P1092" t="s">
        <v>294</v>
      </c>
      <c r="Q1092" t="s">
        <v>211</v>
      </c>
      <c r="R1092" t="s">
        <v>122</v>
      </c>
      <c r="S1092" t="s">
        <v>57</v>
      </c>
      <c r="T1092" t="s">
        <v>58</v>
      </c>
      <c r="U1092" t="s">
        <v>59</v>
      </c>
      <c r="V1092">
        <v>0</v>
      </c>
      <c r="W1092" t="s">
        <v>53</v>
      </c>
      <c r="X1092" t="s">
        <v>53</v>
      </c>
      <c r="Y1092" t="s">
        <v>1419</v>
      </c>
      <c r="Z1092" t="str">
        <f t="shared" si="34"/>
        <v>Mayor que 2 - hasta 3</v>
      </c>
      <c r="AA1092">
        <f t="shared" si="35"/>
        <v>1</v>
      </c>
      <c r="AB1092" t="e">
        <v>#N/A</v>
      </c>
      <c r="AC1092" t="e">
        <v>#N/A</v>
      </c>
      <c r="AD1092" t="e">
        <v>#N/A</v>
      </c>
      <c r="AE1092">
        <v>0</v>
      </c>
      <c r="AF1092" t="s">
        <v>211</v>
      </c>
      <c r="AG1092">
        <v>0</v>
      </c>
      <c r="AH1092" t="e">
        <v>#N/A</v>
      </c>
      <c r="AI1092" t="e">
        <v>#N/A</v>
      </c>
      <c r="AJ1092">
        <v>0</v>
      </c>
      <c r="AK1092" t="s">
        <v>211</v>
      </c>
      <c r="AL1092">
        <v>0</v>
      </c>
      <c r="AM1092" s="4" t="e">
        <v>#N/A</v>
      </c>
      <c r="AN1092" s="5" t="e">
        <v>#N/A</v>
      </c>
      <c r="AO1092" s="4" t="e">
        <v>#N/A</v>
      </c>
      <c r="AP1092" s="6" t="e">
        <v>#N/A</v>
      </c>
      <c r="AQ1092">
        <v>3</v>
      </c>
      <c r="AR1092">
        <v>118.250893</v>
      </c>
      <c r="AS1092" t="s">
        <v>66</v>
      </c>
      <c r="AT1092" t="s">
        <v>53</v>
      </c>
    </row>
    <row r="1093" spans="1:46">
      <c r="A1093">
        <v>214</v>
      </c>
      <c r="B1093" t="s">
        <v>46</v>
      </c>
      <c r="C1093">
        <v>91</v>
      </c>
      <c r="D1093">
        <v>536</v>
      </c>
      <c r="E1093" t="s">
        <v>1424</v>
      </c>
      <c r="F1093" t="s">
        <v>1415</v>
      </c>
      <c r="G1093">
        <v>91536</v>
      </c>
      <c r="H1093">
        <v>91536</v>
      </c>
      <c r="I1093" t="s">
        <v>589</v>
      </c>
      <c r="J1093">
        <v>9100</v>
      </c>
      <c r="K1093" t="s">
        <v>1415</v>
      </c>
      <c r="L1093" t="s">
        <v>211</v>
      </c>
      <c r="M1093" t="s">
        <v>211</v>
      </c>
      <c r="N1093">
        <v>0</v>
      </c>
      <c r="O1093" t="s">
        <v>1418</v>
      </c>
      <c r="P1093" t="s">
        <v>294</v>
      </c>
      <c r="Q1093" t="s">
        <v>211</v>
      </c>
      <c r="R1093" t="s">
        <v>105</v>
      </c>
      <c r="S1093" t="s">
        <v>57</v>
      </c>
      <c r="T1093" t="s">
        <v>58</v>
      </c>
      <c r="U1093" t="s">
        <v>59</v>
      </c>
      <c r="V1093">
        <v>0</v>
      </c>
      <c r="W1093" t="s">
        <v>53</v>
      </c>
      <c r="X1093" t="s">
        <v>53</v>
      </c>
      <c r="Y1093" t="s">
        <v>1419</v>
      </c>
      <c r="Z1093" t="str">
        <f t="shared" si="34"/>
        <v>Mayor que 2 - hasta 3</v>
      </c>
      <c r="AA1093">
        <f t="shared" si="35"/>
        <v>1</v>
      </c>
      <c r="AB1093" t="e">
        <v>#N/A</v>
      </c>
      <c r="AC1093" t="e">
        <v>#N/A</v>
      </c>
      <c r="AD1093" t="e">
        <v>#N/A</v>
      </c>
      <c r="AE1093">
        <v>0</v>
      </c>
      <c r="AF1093" t="s">
        <v>211</v>
      </c>
      <c r="AG1093">
        <v>0</v>
      </c>
      <c r="AH1093" t="e">
        <v>#N/A</v>
      </c>
      <c r="AI1093" t="e">
        <v>#N/A</v>
      </c>
      <c r="AJ1093">
        <v>0</v>
      </c>
      <c r="AK1093" t="s">
        <v>211</v>
      </c>
      <c r="AL1093">
        <v>0</v>
      </c>
      <c r="AM1093" s="4" t="e">
        <v>#N/A</v>
      </c>
      <c r="AN1093" s="5" t="e">
        <v>#N/A</v>
      </c>
      <c r="AO1093" s="4" t="e">
        <v>#N/A</v>
      </c>
      <c r="AP1093" s="6" t="e">
        <v>#N/A</v>
      </c>
      <c r="AQ1093">
        <v>4</v>
      </c>
      <c r="AR1093">
        <v>38406.764552000001</v>
      </c>
      <c r="AS1093" t="s">
        <v>66</v>
      </c>
      <c r="AT1093" t="s">
        <v>53</v>
      </c>
    </row>
    <row r="1094" spans="1:46">
      <c r="A1094">
        <v>215</v>
      </c>
      <c r="B1094" t="s">
        <v>46</v>
      </c>
      <c r="C1094">
        <v>91</v>
      </c>
      <c r="D1094">
        <v>540</v>
      </c>
      <c r="E1094" t="s">
        <v>1425</v>
      </c>
      <c r="F1094" t="s">
        <v>1415</v>
      </c>
      <c r="G1094">
        <v>91540</v>
      </c>
      <c r="H1094">
        <v>91540</v>
      </c>
      <c r="I1094" t="s">
        <v>589</v>
      </c>
      <c r="J1094">
        <v>9100</v>
      </c>
      <c r="K1094" t="s">
        <v>1415</v>
      </c>
      <c r="L1094" t="s">
        <v>80</v>
      </c>
      <c r="M1094" t="s">
        <v>53</v>
      </c>
      <c r="N1094">
        <v>10772</v>
      </c>
      <c r="O1094" t="s">
        <v>53</v>
      </c>
      <c r="P1094" t="s">
        <v>70</v>
      </c>
      <c r="Q1094" t="s">
        <v>71</v>
      </c>
      <c r="R1094" t="s">
        <v>122</v>
      </c>
      <c r="S1094" t="s">
        <v>57</v>
      </c>
      <c r="T1094" t="s">
        <v>58</v>
      </c>
      <c r="U1094" t="s">
        <v>81</v>
      </c>
      <c r="V1094">
        <v>0.37930999999999998</v>
      </c>
      <c r="W1094" t="s">
        <v>53</v>
      </c>
      <c r="X1094" t="s">
        <v>53</v>
      </c>
      <c r="Y1094" t="s">
        <v>277</v>
      </c>
      <c r="Z1094" t="str">
        <f t="shared" si="34"/>
        <v>Mayor que 10 - hasta 15</v>
      </c>
      <c r="AA1094">
        <f t="shared" si="35"/>
        <v>1</v>
      </c>
      <c r="AB1094" t="e">
        <v>#N/A</v>
      </c>
      <c r="AC1094" t="e">
        <v>#N/A</v>
      </c>
      <c r="AD1094" t="e">
        <v>#N/A</v>
      </c>
      <c r="AE1094">
        <v>0</v>
      </c>
      <c r="AF1094" t="s">
        <v>211</v>
      </c>
      <c r="AG1094">
        <v>0</v>
      </c>
      <c r="AH1094" t="e">
        <v>#N/A</v>
      </c>
      <c r="AI1094" t="e">
        <v>#N/A</v>
      </c>
      <c r="AJ1094">
        <v>0</v>
      </c>
      <c r="AK1094" t="s">
        <v>211</v>
      </c>
      <c r="AL1094">
        <v>0</v>
      </c>
      <c r="AM1094" s="4" t="s">
        <v>64</v>
      </c>
      <c r="AN1094" s="5">
        <v>168.06140424006321</v>
      </c>
      <c r="AO1094" s="4" t="s">
        <v>64</v>
      </c>
      <c r="AP1094" s="6">
        <v>3</v>
      </c>
      <c r="AQ1094">
        <v>3</v>
      </c>
      <c r="AR1094">
        <v>651.76851499999998</v>
      </c>
      <c r="AS1094" t="s">
        <v>66</v>
      </c>
      <c r="AT1094" t="s">
        <v>53</v>
      </c>
    </row>
    <row r="1095" spans="1:46">
      <c r="A1095">
        <v>216</v>
      </c>
      <c r="B1095" t="s">
        <v>46</v>
      </c>
      <c r="C1095">
        <v>91</v>
      </c>
      <c r="D1095">
        <v>669</v>
      </c>
      <c r="E1095" t="s">
        <v>1147</v>
      </c>
      <c r="F1095" t="s">
        <v>1415</v>
      </c>
      <c r="G1095">
        <v>91669</v>
      </c>
      <c r="H1095">
        <v>91669</v>
      </c>
      <c r="I1095" t="s">
        <v>589</v>
      </c>
      <c r="J1095">
        <v>9100</v>
      </c>
      <c r="K1095" t="s">
        <v>1415</v>
      </c>
      <c r="L1095" t="s">
        <v>211</v>
      </c>
      <c r="M1095" t="s">
        <v>211</v>
      </c>
      <c r="N1095">
        <v>0</v>
      </c>
      <c r="O1095" t="s">
        <v>1418</v>
      </c>
      <c r="P1095" t="s">
        <v>294</v>
      </c>
      <c r="Q1095" t="s">
        <v>211</v>
      </c>
      <c r="R1095" t="s">
        <v>93</v>
      </c>
      <c r="S1095" t="s">
        <v>57</v>
      </c>
      <c r="T1095" t="s">
        <v>58</v>
      </c>
      <c r="U1095" t="s">
        <v>119</v>
      </c>
      <c r="V1095">
        <v>0.28571400000000002</v>
      </c>
      <c r="W1095" t="s">
        <v>53</v>
      </c>
      <c r="X1095" t="s">
        <v>53</v>
      </c>
      <c r="Y1095" t="s">
        <v>1419</v>
      </c>
      <c r="Z1095" t="str">
        <f t="shared" si="34"/>
        <v>Mayor que 2 - hasta 3</v>
      </c>
      <c r="AA1095">
        <f t="shared" si="35"/>
        <v>1</v>
      </c>
      <c r="AB1095" t="e">
        <v>#N/A</v>
      </c>
      <c r="AC1095" t="e">
        <v>#N/A</v>
      </c>
      <c r="AD1095" t="e">
        <v>#N/A</v>
      </c>
      <c r="AE1095">
        <v>0</v>
      </c>
      <c r="AF1095" t="s">
        <v>211</v>
      </c>
      <c r="AG1095">
        <v>0</v>
      </c>
      <c r="AH1095" t="e">
        <v>#N/A</v>
      </c>
      <c r="AI1095" t="e">
        <v>#N/A</v>
      </c>
      <c r="AJ1095">
        <v>0</v>
      </c>
      <c r="AK1095" t="s">
        <v>211</v>
      </c>
      <c r="AL1095">
        <v>0</v>
      </c>
      <c r="AM1095" s="4" t="e">
        <v>#N/A</v>
      </c>
      <c r="AN1095" s="5" t="e">
        <v>#N/A</v>
      </c>
      <c r="AO1095" s="4" t="e">
        <v>#N/A</v>
      </c>
      <c r="AP1095" s="6" t="e">
        <v>#N/A</v>
      </c>
      <c r="AQ1095">
        <v>3</v>
      </c>
      <c r="AR1095">
        <v>2967.4065439999999</v>
      </c>
      <c r="AS1095" t="s">
        <v>66</v>
      </c>
      <c r="AT1095" t="s">
        <v>53</v>
      </c>
    </row>
    <row r="1096" spans="1:46">
      <c r="A1096">
        <v>217</v>
      </c>
      <c r="B1096" t="s">
        <v>46</v>
      </c>
      <c r="C1096">
        <v>91</v>
      </c>
      <c r="D1096">
        <v>798</v>
      </c>
      <c r="E1096" t="s">
        <v>1426</v>
      </c>
      <c r="F1096" t="s">
        <v>1415</v>
      </c>
      <c r="G1096">
        <v>91798</v>
      </c>
      <c r="H1096">
        <v>91798</v>
      </c>
      <c r="I1096" t="s">
        <v>589</v>
      </c>
      <c r="J1096">
        <v>9100</v>
      </c>
      <c r="K1096" t="s">
        <v>1415</v>
      </c>
      <c r="L1096" t="s">
        <v>211</v>
      </c>
      <c r="M1096" t="s">
        <v>211</v>
      </c>
      <c r="N1096">
        <v>0</v>
      </c>
      <c r="O1096" t="s">
        <v>1418</v>
      </c>
      <c r="P1096" t="s">
        <v>294</v>
      </c>
      <c r="Q1096" t="s">
        <v>211</v>
      </c>
      <c r="R1096" t="s">
        <v>56</v>
      </c>
      <c r="S1096" t="s">
        <v>57</v>
      </c>
      <c r="T1096" t="s">
        <v>58</v>
      </c>
      <c r="U1096" t="s">
        <v>81</v>
      </c>
      <c r="V1096">
        <v>0.25</v>
      </c>
      <c r="W1096" t="s">
        <v>53</v>
      </c>
      <c r="X1096" t="s">
        <v>53</v>
      </c>
      <c r="Y1096" t="s">
        <v>1419</v>
      </c>
      <c r="Z1096" t="str">
        <f t="shared" si="34"/>
        <v>Mayor que 2 - hasta 3</v>
      </c>
      <c r="AA1096">
        <f t="shared" si="35"/>
        <v>1</v>
      </c>
      <c r="AB1096" t="e">
        <v>#N/A</v>
      </c>
      <c r="AC1096" t="e">
        <v>#N/A</v>
      </c>
      <c r="AD1096" t="e">
        <v>#N/A</v>
      </c>
      <c r="AE1096">
        <v>0</v>
      </c>
      <c r="AF1096" t="s">
        <v>211</v>
      </c>
      <c r="AG1096">
        <v>0</v>
      </c>
      <c r="AH1096" t="e">
        <v>#N/A</v>
      </c>
      <c r="AI1096" t="e">
        <v>#N/A</v>
      </c>
      <c r="AJ1096">
        <v>0</v>
      </c>
      <c r="AK1096" t="s">
        <v>211</v>
      </c>
      <c r="AL1096">
        <v>0</v>
      </c>
      <c r="AM1096" s="4" t="e">
        <v>#N/A</v>
      </c>
      <c r="AN1096" s="5" t="e">
        <v>#N/A</v>
      </c>
      <c r="AO1096" s="4" t="e">
        <v>#N/A</v>
      </c>
      <c r="AP1096" s="6" t="e">
        <v>#N/A</v>
      </c>
      <c r="AQ1096">
        <v>4</v>
      </c>
      <c r="AR1096">
        <v>78127.318943000006</v>
      </c>
      <c r="AS1096" t="s">
        <v>66</v>
      </c>
      <c r="AT1096" t="s">
        <v>53</v>
      </c>
    </row>
    <row r="1097" spans="1:46">
      <c r="A1097">
        <v>175</v>
      </c>
      <c r="B1097" t="s">
        <v>46</v>
      </c>
      <c r="C1097">
        <v>94</v>
      </c>
      <c r="D1097">
        <v>1</v>
      </c>
      <c r="E1097" t="s">
        <v>1427</v>
      </c>
      <c r="F1097" t="s">
        <v>1428</v>
      </c>
      <c r="G1097">
        <v>94001</v>
      </c>
      <c r="H1097">
        <v>94001</v>
      </c>
      <c r="I1097" t="s">
        <v>589</v>
      </c>
      <c r="J1097">
        <v>9401</v>
      </c>
      <c r="K1097" t="s">
        <v>1428</v>
      </c>
      <c r="L1097" t="s">
        <v>80</v>
      </c>
      <c r="M1097" t="s">
        <v>52</v>
      </c>
      <c r="N1097">
        <v>37015</v>
      </c>
      <c r="O1097" t="s">
        <v>53</v>
      </c>
      <c r="P1097" t="s">
        <v>92</v>
      </c>
      <c r="Q1097" t="s">
        <v>71</v>
      </c>
      <c r="R1097" t="s">
        <v>105</v>
      </c>
      <c r="S1097" t="s">
        <v>57</v>
      </c>
      <c r="T1097" t="s">
        <v>58</v>
      </c>
      <c r="U1097" t="s">
        <v>119</v>
      </c>
      <c r="V1097">
        <v>0.34911199999999998</v>
      </c>
      <c r="W1097" t="s">
        <v>53</v>
      </c>
      <c r="X1097" t="s">
        <v>53</v>
      </c>
      <c r="Y1097" t="s">
        <v>596</v>
      </c>
      <c r="Z1097" t="str">
        <f t="shared" si="34"/>
        <v>Mayor que 8 - hasta 10</v>
      </c>
      <c r="AA1097">
        <f t="shared" si="35"/>
        <v>1</v>
      </c>
      <c r="AB1097" t="e">
        <v>#N/A</v>
      </c>
      <c r="AC1097" t="e">
        <v>#N/A</v>
      </c>
      <c r="AD1097" t="e">
        <v>#N/A</v>
      </c>
      <c r="AE1097">
        <v>0</v>
      </c>
      <c r="AF1097" t="s">
        <v>211</v>
      </c>
      <c r="AG1097">
        <v>0</v>
      </c>
      <c r="AH1097" t="s">
        <v>1429</v>
      </c>
      <c r="AI1097" t="s">
        <v>1430</v>
      </c>
      <c r="AJ1097">
        <v>0</v>
      </c>
      <c r="AK1097" t="s">
        <v>63</v>
      </c>
      <c r="AL1097">
        <v>0</v>
      </c>
      <c r="AM1097" s="4" t="e">
        <v>#N/A</v>
      </c>
      <c r="AN1097" s="5" t="e">
        <v>#N/A</v>
      </c>
      <c r="AO1097" s="4" t="e">
        <v>#N/A</v>
      </c>
      <c r="AP1097" s="6" t="e">
        <v>#N/A</v>
      </c>
      <c r="AQ1097">
        <v>4</v>
      </c>
      <c r="AR1097">
        <v>7098.5955629999999</v>
      </c>
      <c r="AS1097" t="s">
        <v>66</v>
      </c>
      <c r="AT1097" t="s">
        <v>53</v>
      </c>
    </row>
    <row r="1098" spans="1:46">
      <c r="A1098">
        <v>176</v>
      </c>
      <c r="B1098" t="s">
        <v>46</v>
      </c>
      <c r="C1098">
        <v>94</v>
      </c>
      <c r="D1098">
        <v>343</v>
      </c>
      <c r="E1098" t="s">
        <v>1431</v>
      </c>
      <c r="F1098" t="s">
        <v>1428</v>
      </c>
      <c r="G1098">
        <v>94343</v>
      </c>
      <c r="H1098">
        <v>94343</v>
      </c>
      <c r="I1098" t="s">
        <v>589</v>
      </c>
      <c r="J1098">
        <v>9401</v>
      </c>
      <c r="K1098" t="s">
        <v>1428</v>
      </c>
      <c r="L1098" t="s">
        <v>80</v>
      </c>
      <c r="M1098" t="s">
        <v>211</v>
      </c>
      <c r="N1098">
        <v>10815</v>
      </c>
      <c r="O1098" t="s">
        <v>53</v>
      </c>
      <c r="P1098" t="s">
        <v>70</v>
      </c>
      <c r="Q1098" t="s">
        <v>211</v>
      </c>
      <c r="R1098" t="s">
        <v>105</v>
      </c>
      <c r="S1098" t="s">
        <v>57</v>
      </c>
      <c r="T1098" t="s">
        <v>58</v>
      </c>
      <c r="U1098" t="s">
        <v>59</v>
      </c>
      <c r="V1098">
        <v>0.631579</v>
      </c>
      <c r="W1098" t="s">
        <v>53</v>
      </c>
      <c r="X1098" t="s">
        <v>53</v>
      </c>
      <c r="Y1098" t="s">
        <v>608</v>
      </c>
      <c r="Z1098" t="str">
        <f t="shared" si="34"/>
        <v>Mayor que 3 - hasta 5</v>
      </c>
      <c r="AA1098">
        <f t="shared" si="35"/>
        <v>1</v>
      </c>
      <c r="AB1098" t="e">
        <v>#N/A</v>
      </c>
      <c r="AC1098" t="e">
        <v>#N/A</v>
      </c>
      <c r="AD1098" t="e">
        <v>#N/A</v>
      </c>
      <c r="AE1098">
        <v>0</v>
      </c>
      <c r="AF1098" t="s">
        <v>211</v>
      </c>
      <c r="AG1098">
        <v>0</v>
      </c>
      <c r="AH1098" t="e">
        <v>#N/A</v>
      </c>
      <c r="AI1098" t="e">
        <v>#N/A</v>
      </c>
      <c r="AJ1098">
        <v>0</v>
      </c>
      <c r="AK1098" t="s">
        <v>211</v>
      </c>
      <c r="AL1098">
        <v>0</v>
      </c>
      <c r="AM1098" s="4" t="e">
        <v>#N/A</v>
      </c>
      <c r="AN1098" s="5" t="e">
        <v>#N/A</v>
      </c>
      <c r="AO1098" s="4" t="e">
        <v>#N/A</v>
      </c>
      <c r="AP1098" s="6" t="e">
        <v>#N/A</v>
      </c>
      <c r="AQ1098">
        <v>4</v>
      </c>
      <c r="AR1098">
        <v>30393.217743000001</v>
      </c>
      <c r="AS1098" t="s">
        <v>66</v>
      </c>
      <c r="AT1098" t="s">
        <v>53</v>
      </c>
    </row>
    <row r="1099" spans="1:46">
      <c r="A1099">
        <v>177</v>
      </c>
      <c r="B1099" t="s">
        <v>46</v>
      </c>
      <c r="C1099">
        <v>94</v>
      </c>
      <c r="D1099">
        <v>663</v>
      </c>
      <c r="E1099" t="s">
        <v>1432</v>
      </c>
      <c r="F1099" t="s">
        <v>1428</v>
      </c>
      <c r="G1099">
        <v>94663</v>
      </c>
      <c r="H1099">
        <v>94663</v>
      </c>
      <c r="I1099" t="s">
        <v>589</v>
      </c>
      <c r="J1099">
        <v>9401</v>
      </c>
      <c r="K1099" t="s">
        <v>1428</v>
      </c>
      <c r="L1099" t="s">
        <v>211</v>
      </c>
      <c r="M1099" t="s">
        <v>211</v>
      </c>
      <c r="N1099">
        <v>0</v>
      </c>
      <c r="O1099" t="s">
        <v>1418</v>
      </c>
      <c r="P1099" t="s">
        <v>294</v>
      </c>
      <c r="Q1099" t="s">
        <v>211</v>
      </c>
      <c r="R1099" t="s">
        <v>72</v>
      </c>
      <c r="S1099" t="s">
        <v>57</v>
      </c>
      <c r="T1099" t="s">
        <v>58</v>
      </c>
      <c r="U1099" t="s">
        <v>59</v>
      </c>
      <c r="V1099">
        <v>0</v>
      </c>
      <c r="W1099" t="s">
        <v>53</v>
      </c>
      <c r="X1099" t="s">
        <v>53</v>
      </c>
      <c r="Y1099" t="s">
        <v>1419</v>
      </c>
      <c r="Z1099" t="str">
        <f t="shared" si="34"/>
        <v>Mayor que 2 - hasta 3</v>
      </c>
      <c r="AA1099">
        <f t="shared" si="35"/>
        <v>1</v>
      </c>
      <c r="AB1099" t="e">
        <v>#N/A</v>
      </c>
      <c r="AC1099" t="e">
        <v>#N/A</v>
      </c>
      <c r="AD1099" t="e">
        <v>#N/A</v>
      </c>
      <c r="AE1099">
        <v>0</v>
      </c>
      <c r="AF1099" t="s">
        <v>211</v>
      </c>
      <c r="AG1099">
        <v>0</v>
      </c>
      <c r="AH1099" t="e">
        <v>#N/A</v>
      </c>
      <c r="AI1099" t="e">
        <v>#N/A</v>
      </c>
      <c r="AJ1099">
        <v>0</v>
      </c>
      <c r="AK1099" t="s">
        <v>211</v>
      </c>
      <c r="AL1099">
        <v>0</v>
      </c>
      <c r="AM1099" s="4" t="e">
        <v>#N/A</v>
      </c>
      <c r="AN1099" s="5" t="e">
        <v>#N/A</v>
      </c>
      <c r="AO1099" s="4" t="e">
        <v>#N/A</v>
      </c>
      <c r="AP1099" s="6" t="e">
        <v>#N/A</v>
      </c>
      <c r="AQ1099">
        <v>0</v>
      </c>
      <c r="AR1099">
        <v>0</v>
      </c>
      <c r="AS1099" t="s">
        <v>66</v>
      </c>
      <c r="AT1099" t="s">
        <v>53</v>
      </c>
    </row>
    <row r="1100" spans="1:46">
      <c r="A1100">
        <v>178</v>
      </c>
      <c r="B1100" t="s">
        <v>46</v>
      </c>
      <c r="C1100">
        <v>94</v>
      </c>
      <c r="D1100">
        <v>883</v>
      </c>
      <c r="E1100" t="s">
        <v>1433</v>
      </c>
      <c r="F1100" t="s">
        <v>1428</v>
      </c>
      <c r="G1100">
        <v>94883</v>
      </c>
      <c r="H1100">
        <v>94883</v>
      </c>
      <c r="I1100" t="s">
        <v>589</v>
      </c>
      <c r="J1100">
        <v>9401</v>
      </c>
      <c r="K1100" t="s">
        <v>1428</v>
      </c>
      <c r="L1100" t="s">
        <v>211</v>
      </c>
      <c r="M1100" t="s">
        <v>211</v>
      </c>
      <c r="N1100">
        <v>0</v>
      </c>
      <c r="O1100" t="s">
        <v>1418</v>
      </c>
      <c r="P1100" t="s">
        <v>294</v>
      </c>
      <c r="Q1100" t="s">
        <v>211</v>
      </c>
      <c r="R1100" t="s">
        <v>105</v>
      </c>
      <c r="S1100" t="s">
        <v>57</v>
      </c>
      <c r="T1100" t="s">
        <v>58</v>
      </c>
      <c r="U1100" t="s">
        <v>81</v>
      </c>
      <c r="V1100">
        <v>0</v>
      </c>
      <c r="W1100" t="s">
        <v>53</v>
      </c>
      <c r="X1100" t="s">
        <v>53</v>
      </c>
      <c r="Y1100" t="s">
        <v>1419</v>
      </c>
      <c r="Z1100" t="str">
        <f t="shared" si="34"/>
        <v>Mayor que 2 - hasta 3</v>
      </c>
      <c r="AA1100">
        <f t="shared" si="35"/>
        <v>1</v>
      </c>
      <c r="AB1100" t="e">
        <v>#N/A</v>
      </c>
      <c r="AC1100" t="e">
        <v>#N/A</v>
      </c>
      <c r="AD1100" t="e">
        <v>#N/A</v>
      </c>
      <c r="AE1100">
        <v>0</v>
      </c>
      <c r="AF1100" t="s">
        <v>211</v>
      </c>
      <c r="AG1100">
        <v>0</v>
      </c>
      <c r="AH1100" t="e">
        <v>#N/A</v>
      </c>
      <c r="AI1100" t="e">
        <v>#N/A</v>
      </c>
      <c r="AJ1100">
        <v>0</v>
      </c>
      <c r="AK1100" t="s">
        <v>211</v>
      </c>
      <c r="AL1100">
        <v>0</v>
      </c>
      <c r="AM1100" s="4" t="e">
        <v>#N/A</v>
      </c>
      <c r="AN1100" s="5" t="e">
        <v>#N/A</v>
      </c>
      <c r="AO1100" s="4" t="e">
        <v>#N/A</v>
      </c>
      <c r="AP1100" s="6" t="e">
        <v>#N/A</v>
      </c>
      <c r="AQ1100">
        <v>3</v>
      </c>
      <c r="AR1100">
        <v>9.1703000000000007E-2</v>
      </c>
      <c r="AS1100" t="s">
        <v>66</v>
      </c>
      <c r="AT1100" t="s">
        <v>53</v>
      </c>
    </row>
    <row r="1101" spans="1:46">
      <c r="A1101">
        <v>179</v>
      </c>
      <c r="B1101" t="s">
        <v>46</v>
      </c>
      <c r="C1101">
        <v>94</v>
      </c>
      <c r="D1101">
        <v>884</v>
      </c>
      <c r="E1101" t="s">
        <v>315</v>
      </c>
      <c r="F1101" t="s">
        <v>1428</v>
      </c>
      <c r="G1101">
        <v>94884</v>
      </c>
      <c r="H1101">
        <v>94884</v>
      </c>
      <c r="I1101" t="s">
        <v>589</v>
      </c>
      <c r="J1101">
        <v>9401</v>
      </c>
      <c r="K1101" t="s">
        <v>1428</v>
      </c>
      <c r="L1101" t="s">
        <v>211</v>
      </c>
      <c r="M1101" t="s">
        <v>211</v>
      </c>
      <c r="N1101">
        <v>0</v>
      </c>
      <c r="O1101" t="s">
        <v>1418</v>
      </c>
      <c r="P1101" t="s">
        <v>294</v>
      </c>
      <c r="Q1101" t="s">
        <v>211</v>
      </c>
      <c r="R1101" t="s">
        <v>105</v>
      </c>
      <c r="S1101" t="s">
        <v>57</v>
      </c>
      <c r="T1101" t="s">
        <v>58</v>
      </c>
      <c r="U1101" t="s">
        <v>81</v>
      </c>
      <c r="V1101">
        <v>0.2</v>
      </c>
      <c r="W1101" t="s">
        <v>53</v>
      </c>
      <c r="X1101" t="s">
        <v>53</v>
      </c>
      <c r="Y1101" t="s">
        <v>1419</v>
      </c>
      <c r="Z1101" t="str">
        <f t="shared" si="34"/>
        <v>Mayor que 2 - hasta 3</v>
      </c>
      <c r="AA1101">
        <f t="shared" si="35"/>
        <v>1</v>
      </c>
      <c r="AB1101" t="e">
        <v>#N/A</v>
      </c>
      <c r="AC1101" t="e">
        <v>#N/A</v>
      </c>
      <c r="AD1101" t="e">
        <v>#N/A</v>
      </c>
      <c r="AE1101">
        <v>0</v>
      </c>
      <c r="AF1101" t="s">
        <v>211</v>
      </c>
      <c r="AG1101">
        <v>0</v>
      </c>
      <c r="AH1101" t="e">
        <v>#N/A</v>
      </c>
      <c r="AI1101" t="e">
        <v>#N/A</v>
      </c>
      <c r="AJ1101">
        <v>0</v>
      </c>
      <c r="AK1101" t="s">
        <v>211</v>
      </c>
      <c r="AL1101">
        <v>0</v>
      </c>
      <c r="AM1101" s="4" t="e">
        <v>#N/A</v>
      </c>
      <c r="AN1101" s="5" t="e">
        <v>#N/A</v>
      </c>
      <c r="AO1101" s="4" t="e">
        <v>#N/A</v>
      </c>
      <c r="AP1101" s="6" t="e">
        <v>#N/A</v>
      </c>
      <c r="AQ1101">
        <v>4</v>
      </c>
      <c r="AR1101">
        <v>0.50237799999999999</v>
      </c>
      <c r="AS1101" t="s">
        <v>66</v>
      </c>
      <c r="AT1101" t="s">
        <v>53</v>
      </c>
    </row>
    <row r="1102" spans="1:46">
      <c r="A1102">
        <v>180</v>
      </c>
      <c r="B1102" t="s">
        <v>46</v>
      </c>
      <c r="C1102">
        <v>94</v>
      </c>
      <c r="D1102">
        <v>885</v>
      </c>
      <c r="E1102" t="s">
        <v>1434</v>
      </c>
      <c r="F1102" t="s">
        <v>1428</v>
      </c>
      <c r="G1102">
        <v>94885</v>
      </c>
      <c r="H1102">
        <v>94885</v>
      </c>
      <c r="I1102" t="s">
        <v>589</v>
      </c>
      <c r="J1102">
        <v>9401</v>
      </c>
      <c r="K1102" t="s">
        <v>1428</v>
      </c>
      <c r="L1102" t="s">
        <v>211</v>
      </c>
      <c r="M1102" t="s">
        <v>211</v>
      </c>
      <c r="N1102">
        <v>0</v>
      </c>
      <c r="O1102" t="s">
        <v>1418</v>
      </c>
      <c r="P1102" t="s">
        <v>294</v>
      </c>
      <c r="Q1102" t="s">
        <v>211</v>
      </c>
      <c r="R1102" t="s">
        <v>56</v>
      </c>
      <c r="S1102" t="s">
        <v>57</v>
      </c>
      <c r="T1102" t="s">
        <v>58</v>
      </c>
      <c r="U1102" t="s">
        <v>81</v>
      </c>
      <c r="V1102">
        <v>0</v>
      </c>
      <c r="W1102" t="s">
        <v>53</v>
      </c>
      <c r="X1102" t="s">
        <v>53</v>
      </c>
      <c r="Y1102" t="s">
        <v>1419</v>
      </c>
      <c r="Z1102" t="str">
        <f t="shared" si="34"/>
        <v>Mayor que 2 - hasta 3</v>
      </c>
      <c r="AA1102">
        <f t="shared" si="35"/>
        <v>1</v>
      </c>
      <c r="AB1102" t="e">
        <v>#N/A</v>
      </c>
      <c r="AC1102" t="e">
        <v>#N/A</v>
      </c>
      <c r="AD1102" t="e">
        <v>#N/A</v>
      </c>
      <c r="AE1102">
        <v>0</v>
      </c>
      <c r="AF1102" t="s">
        <v>211</v>
      </c>
      <c r="AG1102">
        <v>0</v>
      </c>
      <c r="AH1102" t="e">
        <v>#N/A</v>
      </c>
      <c r="AI1102" t="e">
        <v>#N/A</v>
      </c>
      <c r="AJ1102">
        <v>0</v>
      </c>
      <c r="AK1102" t="s">
        <v>211</v>
      </c>
      <c r="AL1102">
        <v>0</v>
      </c>
      <c r="AM1102" s="4" t="e">
        <v>#N/A</v>
      </c>
      <c r="AN1102" s="5" t="e">
        <v>#N/A</v>
      </c>
      <c r="AO1102" s="4" t="e">
        <v>#N/A</v>
      </c>
      <c r="AP1102" s="6" t="e">
        <v>#N/A</v>
      </c>
      <c r="AQ1102">
        <v>3</v>
      </c>
      <c r="AR1102">
        <v>3.3873E-2</v>
      </c>
      <c r="AS1102" t="s">
        <v>66</v>
      </c>
      <c r="AT1102" t="s">
        <v>53</v>
      </c>
    </row>
    <row r="1103" spans="1:46">
      <c r="A1103">
        <v>181</v>
      </c>
      <c r="B1103" t="s">
        <v>46</v>
      </c>
      <c r="C1103">
        <v>94</v>
      </c>
      <c r="D1103">
        <v>886</v>
      </c>
      <c r="E1103" t="s">
        <v>1435</v>
      </c>
      <c r="F1103" t="s">
        <v>1428</v>
      </c>
      <c r="G1103">
        <v>94886</v>
      </c>
      <c r="H1103">
        <v>94886</v>
      </c>
      <c r="I1103" t="s">
        <v>589</v>
      </c>
      <c r="J1103">
        <v>9401</v>
      </c>
      <c r="K1103" t="s">
        <v>1428</v>
      </c>
      <c r="L1103" t="s">
        <v>211</v>
      </c>
      <c r="M1103" t="s">
        <v>211</v>
      </c>
      <c r="N1103">
        <v>0</v>
      </c>
      <c r="O1103" t="s">
        <v>1418</v>
      </c>
      <c r="P1103" t="s">
        <v>294</v>
      </c>
      <c r="Q1103" t="s">
        <v>211</v>
      </c>
      <c r="R1103" t="s">
        <v>122</v>
      </c>
      <c r="S1103" t="s">
        <v>57</v>
      </c>
      <c r="T1103" t="s">
        <v>58</v>
      </c>
      <c r="U1103" t="s">
        <v>81</v>
      </c>
      <c r="V1103">
        <v>0</v>
      </c>
      <c r="W1103" t="s">
        <v>53</v>
      </c>
      <c r="X1103" t="s">
        <v>53</v>
      </c>
      <c r="Y1103" t="s">
        <v>1419</v>
      </c>
      <c r="Z1103" t="str">
        <f t="shared" si="34"/>
        <v>Mayor que 2 - hasta 3</v>
      </c>
      <c r="AA1103">
        <f t="shared" si="35"/>
        <v>1</v>
      </c>
      <c r="AB1103" t="e">
        <v>#N/A</v>
      </c>
      <c r="AC1103" t="e">
        <v>#N/A</v>
      </c>
      <c r="AD1103" t="e">
        <v>#N/A</v>
      </c>
      <c r="AE1103">
        <v>0</v>
      </c>
      <c r="AF1103" t="s">
        <v>211</v>
      </c>
      <c r="AG1103">
        <v>0</v>
      </c>
      <c r="AH1103" t="e">
        <v>#N/A</v>
      </c>
      <c r="AI1103" t="e">
        <v>#N/A</v>
      </c>
      <c r="AJ1103">
        <v>0</v>
      </c>
      <c r="AK1103" t="s">
        <v>211</v>
      </c>
      <c r="AL1103">
        <v>0</v>
      </c>
      <c r="AM1103" s="4" t="e">
        <v>#N/A</v>
      </c>
      <c r="AN1103" s="5" t="e">
        <v>#N/A</v>
      </c>
      <c r="AO1103" s="4" t="e">
        <v>#N/A</v>
      </c>
      <c r="AP1103" s="6" t="e">
        <v>#N/A</v>
      </c>
      <c r="AQ1103">
        <v>3</v>
      </c>
      <c r="AR1103">
        <v>0.25904500000000003</v>
      </c>
      <c r="AS1103" t="s">
        <v>66</v>
      </c>
      <c r="AT1103" t="s">
        <v>53</v>
      </c>
    </row>
    <row r="1104" spans="1:46">
      <c r="A1104">
        <v>182</v>
      </c>
      <c r="B1104" t="s">
        <v>46</v>
      </c>
      <c r="C1104">
        <v>94</v>
      </c>
      <c r="D1104">
        <v>887</v>
      </c>
      <c r="E1104" t="s">
        <v>1436</v>
      </c>
      <c r="F1104" t="s">
        <v>1428</v>
      </c>
      <c r="G1104">
        <v>94887</v>
      </c>
      <c r="H1104">
        <v>94887</v>
      </c>
      <c r="I1104" t="s">
        <v>589</v>
      </c>
      <c r="J1104">
        <v>9401</v>
      </c>
      <c r="K1104" t="s">
        <v>1428</v>
      </c>
      <c r="L1104" t="s">
        <v>211</v>
      </c>
      <c r="M1104" t="s">
        <v>211</v>
      </c>
      <c r="N1104">
        <v>0</v>
      </c>
      <c r="O1104" t="s">
        <v>1418</v>
      </c>
      <c r="P1104" t="s">
        <v>294</v>
      </c>
      <c r="Q1104" t="s">
        <v>211</v>
      </c>
      <c r="R1104" t="s">
        <v>72</v>
      </c>
      <c r="S1104" t="s">
        <v>57</v>
      </c>
      <c r="T1104" t="s">
        <v>58</v>
      </c>
      <c r="U1104" t="s">
        <v>81</v>
      </c>
      <c r="V1104">
        <v>0.66666700000000001</v>
      </c>
      <c r="W1104" t="s">
        <v>53</v>
      </c>
      <c r="X1104" t="s">
        <v>53</v>
      </c>
      <c r="Y1104" t="s">
        <v>1419</v>
      </c>
      <c r="Z1104" t="str">
        <f t="shared" si="34"/>
        <v>Mayor que 2 - hasta 3</v>
      </c>
      <c r="AA1104">
        <f t="shared" si="35"/>
        <v>1</v>
      </c>
      <c r="AB1104" t="e">
        <v>#N/A</v>
      </c>
      <c r="AC1104" t="e">
        <v>#N/A</v>
      </c>
      <c r="AD1104" t="e">
        <v>#N/A</v>
      </c>
      <c r="AE1104">
        <v>0</v>
      </c>
      <c r="AF1104" t="s">
        <v>211</v>
      </c>
      <c r="AG1104">
        <v>0</v>
      </c>
      <c r="AH1104" t="e">
        <v>#N/A</v>
      </c>
      <c r="AI1104" t="e">
        <v>#N/A</v>
      </c>
      <c r="AJ1104">
        <v>0</v>
      </c>
      <c r="AK1104" t="s">
        <v>211</v>
      </c>
      <c r="AL1104">
        <v>0</v>
      </c>
      <c r="AM1104" s="4" t="e">
        <v>#N/A</v>
      </c>
      <c r="AN1104" s="5" t="e">
        <v>#N/A</v>
      </c>
      <c r="AO1104" s="4" t="e">
        <v>#N/A</v>
      </c>
      <c r="AP1104" s="6" t="e">
        <v>#N/A</v>
      </c>
      <c r="AQ1104">
        <v>3</v>
      </c>
      <c r="AR1104">
        <v>0.40017000000000003</v>
      </c>
      <c r="AS1104" t="s">
        <v>66</v>
      </c>
      <c r="AT1104" t="s">
        <v>53</v>
      </c>
    </row>
    <row r="1105" spans="1:46">
      <c r="A1105">
        <v>183</v>
      </c>
      <c r="B1105" t="s">
        <v>46</v>
      </c>
      <c r="C1105">
        <v>94</v>
      </c>
      <c r="D1105">
        <v>888</v>
      </c>
      <c r="E1105" t="s">
        <v>1437</v>
      </c>
      <c r="F1105" t="s">
        <v>1428</v>
      </c>
      <c r="G1105">
        <v>94888</v>
      </c>
      <c r="H1105">
        <v>94888</v>
      </c>
      <c r="I1105" t="s">
        <v>589</v>
      </c>
      <c r="J1105">
        <v>9401</v>
      </c>
      <c r="K1105" t="s">
        <v>1428</v>
      </c>
      <c r="L1105" t="s">
        <v>211</v>
      </c>
      <c r="M1105" t="s">
        <v>211</v>
      </c>
      <c r="N1105">
        <v>0</v>
      </c>
      <c r="O1105" t="s">
        <v>1418</v>
      </c>
      <c r="P1105" t="s">
        <v>294</v>
      </c>
      <c r="Q1105" t="s">
        <v>211</v>
      </c>
      <c r="R1105" t="s">
        <v>72</v>
      </c>
      <c r="S1105" t="s">
        <v>57</v>
      </c>
      <c r="T1105" t="s">
        <v>58</v>
      </c>
      <c r="U1105" t="s">
        <v>119</v>
      </c>
      <c r="V1105">
        <v>0.33333299999999999</v>
      </c>
      <c r="W1105" t="s">
        <v>53</v>
      </c>
      <c r="X1105" t="s">
        <v>53</v>
      </c>
      <c r="Y1105" t="s">
        <v>1419</v>
      </c>
      <c r="Z1105" t="str">
        <f t="shared" si="34"/>
        <v>Mayor que 2 - hasta 3</v>
      </c>
      <c r="AA1105">
        <f t="shared" si="35"/>
        <v>1</v>
      </c>
      <c r="AB1105" t="e">
        <v>#N/A</v>
      </c>
      <c r="AC1105" t="e">
        <v>#N/A</v>
      </c>
      <c r="AD1105" t="e">
        <v>#N/A</v>
      </c>
      <c r="AE1105">
        <v>0</v>
      </c>
      <c r="AF1105" t="s">
        <v>211</v>
      </c>
      <c r="AG1105">
        <v>0</v>
      </c>
      <c r="AH1105" t="e">
        <v>#N/A</v>
      </c>
      <c r="AI1105" t="e">
        <v>#N/A</v>
      </c>
      <c r="AJ1105">
        <v>0</v>
      </c>
      <c r="AK1105" t="s">
        <v>211</v>
      </c>
      <c r="AL1105">
        <v>0</v>
      </c>
      <c r="AM1105" s="4" t="e">
        <v>#N/A</v>
      </c>
      <c r="AN1105" s="5" t="e">
        <v>#N/A</v>
      </c>
      <c r="AO1105" s="4" t="e">
        <v>#N/A</v>
      </c>
      <c r="AP1105" s="6" t="e">
        <v>#N/A</v>
      </c>
      <c r="AQ1105">
        <v>4</v>
      </c>
      <c r="AR1105">
        <v>337.65443599999998</v>
      </c>
      <c r="AS1105" t="s">
        <v>66</v>
      </c>
      <c r="AT1105" t="s">
        <v>53</v>
      </c>
    </row>
    <row r="1106" spans="1:46">
      <c r="A1106">
        <v>224</v>
      </c>
      <c r="B1106" t="s">
        <v>46</v>
      </c>
      <c r="C1106">
        <v>95</v>
      </c>
      <c r="D1106">
        <v>1</v>
      </c>
      <c r="E1106" t="s">
        <v>1438</v>
      </c>
      <c r="F1106" t="s">
        <v>1439</v>
      </c>
      <c r="G1106">
        <v>95001</v>
      </c>
      <c r="H1106">
        <v>95001</v>
      </c>
      <c r="I1106" t="s">
        <v>589</v>
      </c>
      <c r="J1106">
        <v>9500</v>
      </c>
      <c r="K1106" t="s">
        <v>1439</v>
      </c>
      <c r="L1106" t="s">
        <v>69</v>
      </c>
      <c r="M1106" t="s">
        <v>52</v>
      </c>
      <c r="N1106">
        <v>61403</v>
      </c>
      <c r="O1106" t="s">
        <v>53</v>
      </c>
      <c r="P1106" t="s">
        <v>92</v>
      </c>
      <c r="Q1106" t="s">
        <v>71</v>
      </c>
      <c r="R1106" t="s">
        <v>122</v>
      </c>
      <c r="S1106" t="s">
        <v>1039</v>
      </c>
      <c r="T1106" t="s">
        <v>73</v>
      </c>
      <c r="U1106" t="s">
        <v>115</v>
      </c>
      <c r="V1106">
        <v>0.33660200000000001</v>
      </c>
      <c r="W1106" t="s">
        <v>53</v>
      </c>
      <c r="X1106" t="s">
        <v>53</v>
      </c>
      <c r="Y1106" t="s">
        <v>116</v>
      </c>
      <c r="Z1106" t="str">
        <f t="shared" si="34"/>
        <v>Mayor que 30 - hasta 40</v>
      </c>
      <c r="AA1106">
        <f t="shared" si="35"/>
        <v>1</v>
      </c>
      <c r="AB1106">
        <v>95001</v>
      </c>
      <c r="AC1106" t="s">
        <v>1040</v>
      </c>
      <c r="AD1106" t="s">
        <v>1041</v>
      </c>
      <c r="AE1106">
        <v>0</v>
      </c>
      <c r="AF1106" t="s">
        <v>63</v>
      </c>
      <c r="AG1106">
        <v>0</v>
      </c>
      <c r="AH1106" t="s">
        <v>1040</v>
      </c>
      <c r="AI1106" t="s">
        <v>1041</v>
      </c>
      <c r="AJ1106">
        <v>0</v>
      </c>
      <c r="AK1106" t="s">
        <v>63</v>
      </c>
      <c r="AL1106">
        <v>0</v>
      </c>
      <c r="AM1106" s="4" t="s">
        <v>65</v>
      </c>
      <c r="AN1106" s="5">
        <v>4.3234146120715531</v>
      </c>
      <c r="AO1106" s="4" t="s">
        <v>65</v>
      </c>
      <c r="AP1106" s="6">
        <v>23</v>
      </c>
      <c r="AQ1106">
        <v>3</v>
      </c>
      <c r="AR1106">
        <v>337949.58946599998</v>
      </c>
      <c r="AS1106" t="s">
        <v>66</v>
      </c>
      <c r="AT1106" t="s">
        <v>53</v>
      </c>
    </row>
    <row r="1107" spans="1:46">
      <c r="A1107">
        <v>225</v>
      </c>
      <c r="B1107" t="s">
        <v>46</v>
      </c>
      <c r="C1107">
        <v>95</v>
      </c>
      <c r="D1107">
        <v>15</v>
      </c>
      <c r="E1107" t="s">
        <v>359</v>
      </c>
      <c r="F1107" t="s">
        <v>1439</v>
      </c>
      <c r="G1107">
        <v>95015</v>
      </c>
      <c r="H1107">
        <v>95015</v>
      </c>
      <c r="I1107" t="s">
        <v>589</v>
      </c>
      <c r="J1107">
        <v>9500</v>
      </c>
      <c r="K1107" t="s">
        <v>1439</v>
      </c>
      <c r="L1107" t="s">
        <v>80</v>
      </c>
      <c r="M1107" t="s">
        <v>53</v>
      </c>
      <c r="N1107">
        <v>11282</v>
      </c>
      <c r="O1107" t="s">
        <v>53</v>
      </c>
      <c r="P1107" t="s">
        <v>70</v>
      </c>
      <c r="Q1107" t="s">
        <v>71</v>
      </c>
      <c r="R1107" t="s">
        <v>56</v>
      </c>
      <c r="S1107" t="s">
        <v>1039</v>
      </c>
      <c r="T1107" t="s">
        <v>73</v>
      </c>
      <c r="U1107" t="s">
        <v>115</v>
      </c>
      <c r="V1107">
        <v>0.352518</v>
      </c>
      <c r="W1107" t="s">
        <v>53</v>
      </c>
      <c r="X1107" t="s">
        <v>53</v>
      </c>
      <c r="Y1107" t="s">
        <v>899</v>
      </c>
      <c r="Z1107" t="str">
        <f t="shared" si="34"/>
        <v>Mayor que 5 - hasta 8</v>
      </c>
      <c r="AA1107">
        <f t="shared" si="35"/>
        <v>1</v>
      </c>
      <c r="AB1107">
        <v>95015</v>
      </c>
      <c r="AC1107" t="s">
        <v>1040</v>
      </c>
      <c r="AD1107" t="s">
        <v>1041</v>
      </c>
      <c r="AE1107">
        <v>2.5983179999999999</v>
      </c>
      <c r="AF1107" t="s">
        <v>77</v>
      </c>
      <c r="AG1107">
        <v>76.270058000000006</v>
      </c>
      <c r="AH1107" t="s">
        <v>1040</v>
      </c>
      <c r="AI1107" t="s">
        <v>1041</v>
      </c>
      <c r="AJ1107">
        <v>2.580352</v>
      </c>
      <c r="AK1107" t="s">
        <v>77</v>
      </c>
      <c r="AL1107">
        <v>75.745794000000004</v>
      </c>
      <c r="AM1107" s="4" t="e">
        <v>#N/A</v>
      </c>
      <c r="AN1107" s="5" t="e">
        <v>#N/A</v>
      </c>
      <c r="AO1107" s="4" t="e">
        <v>#N/A</v>
      </c>
      <c r="AP1107" s="6" t="e">
        <v>#N/A</v>
      </c>
      <c r="AQ1107">
        <v>3</v>
      </c>
      <c r="AR1107">
        <v>75405.872189999995</v>
      </c>
      <c r="AS1107" t="s">
        <v>66</v>
      </c>
      <c r="AT1107" t="s">
        <v>53</v>
      </c>
    </row>
    <row r="1108" spans="1:46">
      <c r="A1108">
        <v>226</v>
      </c>
      <c r="B1108" t="s">
        <v>46</v>
      </c>
      <c r="C1108">
        <v>95</v>
      </c>
      <c r="D1108">
        <v>25</v>
      </c>
      <c r="E1108" t="s">
        <v>1440</v>
      </c>
      <c r="F1108" t="s">
        <v>1439</v>
      </c>
      <c r="G1108">
        <v>95025</v>
      </c>
      <c r="H1108">
        <v>95025</v>
      </c>
      <c r="I1108" t="s">
        <v>589</v>
      </c>
      <c r="J1108">
        <v>9500</v>
      </c>
      <c r="K1108" t="s">
        <v>1439</v>
      </c>
      <c r="L1108" t="s">
        <v>80</v>
      </c>
      <c r="M1108" t="s">
        <v>53</v>
      </c>
      <c r="N1108">
        <v>16984</v>
      </c>
      <c r="O1108" t="s">
        <v>53</v>
      </c>
      <c r="P1108" t="s">
        <v>70</v>
      </c>
      <c r="Q1108" t="s">
        <v>71</v>
      </c>
      <c r="R1108" t="s">
        <v>93</v>
      </c>
      <c r="S1108" t="s">
        <v>1039</v>
      </c>
      <c r="T1108" t="s">
        <v>73</v>
      </c>
      <c r="U1108" t="s">
        <v>115</v>
      </c>
      <c r="V1108">
        <v>0.54408900000000004</v>
      </c>
      <c r="W1108" t="s">
        <v>53</v>
      </c>
      <c r="X1108" t="s">
        <v>53</v>
      </c>
      <c r="Y1108" t="s">
        <v>596</v>
      </c>
      <c r="Z1108" t="str">
        <f t="shared" si="34"/>
        <v>Mayor que 8 - hasta 10</v>
      </c>
      <c r="AA1108">
        <f t="shared" si="35"/>
        <v>1</v>
      </c>
      <c r="AB1108">
        <v>95025</v>
      </c>
      <c r="AC1108" t="s">
        <v>1040</v>
      </c>
      <c r="AD1108" t="s">
        <v>1041</v>
      </c>
      <c r="AE1108">
        <v>1.047077</v>
      </c>
      <c r="AF1108" t="s">
        <v>76</v>
      </c>
      <c r="AG1108">
        <v>30.693607</v>
      </c>
      <c r="AH1108" t="s">
        <v>1040</v>
      </c>
      <c r="AI1108" t="s">
        <v>1041</v>
      </c>
      <c r="AJ1108">
        <v>1.0291110000000001</v>
      </c>
      <c r="AK1108" t="s">
        <v>76</v>
      </c>
      <c r="AL1108">
        <v>30.169343000000001</v>
      </c>
      <c r="AM1108" s="4" t="e">
        <v>#N/A</v>
      </c>
      <c r="AN1108" s="5" t="e">
        <v>#N/A</v>
      </c>
      <c r="AO1108" s="4" t="e">
        <v>#N/A</v>
      </c>
      <c r="AP1108" s="6" t="e">
        <v>#N/A</v>
      </c>
      <c r="AQ1108">
        <v>3</v>
      </c>
      <c r="AR1108">
        <v>142214.44307800001</v>
      </c>
      <c r="AS1108" t="s">
        <v>66</v>
      </c>
      <c r="AT1108" t="s">
        <v>53</v>
      </c>
    </row>
    <row r="1109" spans="1:46">
      <c r="A1109">
        <v>227</v>
      </c>
      <c r="B1109" t="s">
        <v>46</v>
      </c>
      <c r="C1109">
        <v>95</v>
      </c>
      <c r="D1109">
        <v>200</v>
      </c>
      <c r="E1109" t="s">
        <v>480</v>
      </c>
      <c r="F1109" t="s">
        <v>1439</v>
      </c>
      <c r="G1109">
        <v>95200</v>
      </c>
      <c r="H1109">
        <v>95200</v>
      </c>
      <c r="I1109" t="s">
        <v>589</v>
      </c>
      <c r="J1109">
        <v>9500</v>
      </c>
      <c r="K1109" t="s">
        <v>1439</v>
      </c>
      <c r="L1109" t="s">
        <v>80</v>
      </c>
      <c r="M1109" t="s">
        <v>53</v>
      </c>
      <c r="N1109">
        <v>7947</v>
      </c>
      <c r="O1109" t="s">
        <v>53</v>
      </c>
      <c r="P1109" t="s">
        <v>70</v>
      </c>
      <c r="Q1109" t="s">
        <v>71</v>
      </c>
      <c r="R1109" t="s">
        <v>105</v>
      </c>
      <c r="S1109" t="s">
        <v>1039</v>
      </c>
      <c r="T1109" t="s">
        <v>73</v>
      </c>
      <c r="U1109" t="s">
        <v>115</v>
      </c>
      <c r="V1109">
        <v>0.47826099999999999</v>
      </c>
      <c r="W1109" t="s">
        <v>53</v>
      </c>
      <c r="X1109" t="s">
        <v>53</v>
      </c>
      <c r="Y1109" t="s">
        <v>608</v>
      </c>
      <c r="Z1109" t="str">
        <f t="shared" si="34"/>
        <v>Mayor que 3 - hasta 5</v>
      </c>
      <c r="AA1109">
        <f t="shared" si="35"/>
        <v>1</v>
      </c>
      <c r="AB1109">
        <v>95200</v>
      </c>
      <c r="AC1109" t="s">
        <v>1040</v>
      </c>
      <c r="AD1109" t="s">
        <v>1041</v>
      </c>
      <c r="AE1109">
        <v>8.2551240000000004</v>
      </c>
      <c r="AF1109" t="s">
        <v>211</v>
      </c>
      <c r="AG1109">
        <v>212.36896100000001</v>
      </c>
      <c r="AH1109" t="s">
        <v>1040</v>
      </c>
      <c r="AI1109" t="s">
        <v>1041</v>
      </c>
      <c r="AJ1109">
        <v>8.2371580000000009</v>
      </c>
      <c r="AK1109" t="s">
        <v>221</v>
      </c>
      <c r="AL1109">
        <v>211.844697</v>
      </c>
      <c r="AM1109" s="4" t="e">
        <v>#N/A</v>
      </c>
      <c r="AN1109" s="5" t="e">
        <v>#N/A</v>
      </c>
      <c r="AO1109" s="4" t="e">
        <v>#N/A</v>
      </c>
      <c r="AP1109" s="6" t="e">
        <v>#N/A</v>
      </c>
      <c r="AQ1109">
        <v>2</v>
      </c>
      <c r="AR1109">
        <v>41052.324138000004</v>
      </c>
      <c r="AS1109" t="s">
        <v>66</v>
      </c>
      <c r="AT1109" t="s">
        <v>53</v>
      </c>
    </row>
    <row r="1110" spans="1:46">
      <c r="A1110">
        <v>218</v>
      </c>
      <c r="B1110" t="s">
        <v>46</v>
      </c>
      <c r="C1110">
        <v>97</v>
      </c>
      <c r="D1110">
        <v>1</v>
      </c>
      <c r="E1110" t="s">
        <v>1441</v>
      </c>
      <c r="F1110" t="s">
        <v>1442</v>
      </c>
      <c r="G1110">
        <v>97001</v>
      </c>
      <c r="H1110">
        <v>97001</v>
      </c>
      <c r="I1110" t="s">
        <v>589</v>
      </c>
      <c r="J1110">
        <v>9700</v>
      </c>
      <c r="K1110" t="s">
        <v>1442</v>
      </c>
      <c r="L1110" t="s">
        <v>80</v>
      </c>
      <c r="M1110" t="s">
        <v>52</v>
      </c>
      <c r="N1110">
        <v>34037</v>
      </c>
      <c r="O1110" t="s">
        <v>53</v>
      </c>
      <c r="P1110" t="s">
        <v>92</v>
      </c>
      <c r="Q1110" t="s">
        <v>71</v>
      </c>
      <c r="R1110" t="s">
        <v>93</v>
      </c>
      <c r="S1110" t="s">
        <v>57</v>
      </c>
      <c r="T1110" t="s">
        <v>58</v>
      </c>
      <c r="U1110" t="s">
        <v>119</v>
      </c>
      <c r="V1110">
        <v>0</v>
      </c>
      <c r="W1110" t="s">
        <v>53</v>
      </c>
      <c r="X1110" t="s">
        <v>53</v>
      </c>
      <c r="Y1110" t="s">
        <v>596</v>
      </c>
      <c r="Z1110" t="str">
        <f t="shared" si="34"/>
        <v>Mayor que 8 - hasta 10</v>
      </c>
      <c r="AA1110">
        <f t="shared" si="35"/>
        <v>1</v>
      </c>
      <c r="AB1110" t="e">
        <v>#N/A</v>
      </c>
      <c r="AC1110" t="e">
        <v>#N/A</v>
      </c>
      <c r="AD1110" t="e">
        <v>#N/A</v>
      </c>
      <c r="AE1110">
        <v>0</v>
      </c>
      <c r="AF1110" t="s">
        <v>211</v>
      </c>
      <c r="AG1110">
        <v>0</v>
      </c>
      <c r="AH1110" t="s">
        <v>1443</v>
      </c>
      <c r="AI1110" t="s">
        <v>1444</v>
      </c>
      <c r="AJ1110">
        <v>0</v>
      </c>
      <c r="AK1110" t="s">
        <v>63</v>
      </c>
      <c r="AL1110">
        <v>0</v>
      </c>
      <c r="AM1110" s="4" t="e">
        <v>#N/A</v>
      </c>
      <c r="AN1110" s="5" t="e">
        <v>#N/A</v>
      </c>
      <c r="AO1110" s="4" t="e">
        <v>#N/A</v>
      </c>
      <c r="AP1110" s="6" t="e">
        <v>#N/A</v>
      </c>
      <c r="AQ1110">
        <v>3</v>
      </c>
      <c r="AR1110">
        <v>21.345341000000001</v>
      </c>
      <c r="AS1110" t="s">
        <v>66</v>
      </c>
      <c r="AT1110" t="s">
        <v>53</v>
      </c>
    </row>
    <row r="1111" spans="1:46">
      <c r="A1111">
        <v>219</v>
      </c>
      <c r="B1111" t="s">
        <v>46</v>
      </c>
      <c r="C1111">
        <v>97</v>
      </c>
      <c r="D1111">
        <v>161</v>
      </c>
      <c r="E1111" t="s">
        <v>1445</v>
      </c>
      <c r="F1111" t="s">
        <v>1442</v>
      </c>
      <c r="G1111">
        <v>97161</v>
      </c>
      <c r="H1111">
        <v>97161</v>
      </c>
      <c r="I1111" t="s">
        <v>589</v>
      </c>
      <c r="J1111">
        <v>9700</v>
      </c>
      <c r="K1111" t="s">
        <v>1442</v>
      </c>
      <c r="L1111" t="s">
        <v>80</v>
      </c>
      <c r="M1111" t="s">
        <v>53</v>
      </c>
      <c r="N1111">
        <v>3497</v>
      </c>
      <c r="O1111" t="s">
        <v>53</v>
      </c>
      <c r="P1111" t="s">
        <v>70</v>
      </c>
      <c r="Q1111" t="s">
        <v>71</v>
      </c>
      <c r="R1111" t="s">
        <v>122</v>
      </c>
      <c r="S1111" t="s">
        <v>57</v>
      </c>
      <c r="T1111" t="s">
        <v>73</v>
      </c>
      <c r="U1111" t="s">
        <v>101</v>
      </c>
      <c r="V1111">
        <v>0</v>
      </c>
      <c r="W1111" t="s">
        <v>53</v>
      </c>
      <c r="X1111" t="s">
        <v>53</v>
      </c>
      <c r="Y1111" t="s">
        <v>608</v>
      </c>
      <c r="Z1111" t="str">
        <f t="shared" si="34"/>
        <v>Mayor que 3 - hasta 5</v>
      </c>
      <c r="AA1111">
        <f t="shared" si="35"/>
        <v>1</v>
      </c>
      <c r="AB1111" t="e">
        <v>#N/A</v>
      </c>
      <c r="AC1111" t="e">
        <v>#N/A</v>
      </c>
      <c r="AD1111" t="e">
        <v>#N/A</v>
      </c>
      <c r="AE1111">
        <v>0</v>
      </c>
      <c r="AF1111" t="s">
        <v>211</v>
      </c>
      <c r="AG1111">
        <v>0</v>
      </c>
      <c r="AH1111" t="e">
        <v>#N/A</v>
      </c>
      <c r="AI1111" t="e">
        <v>#N/A</v>
      </c>
      <c r="AJ1111">
        <v>0</v>
      </c>
      <c r="AK1111" t="s">
        <v>211</v>
      </c>
      <c r="AL1111">
        <v>0</v>
      </c>
      <c r="AM1111" s="4" t="e">
        <v>#N/A</v>
      </c>
      <c r="AN1111" s="5" t="e">
        <v>#N/A</v>
      </c>
      <c r="AO1111" s="4" t="e">
        <v>#N/A</v>
      </c>
      <c r="AP1111" s="6" t="e">
        <v>#N/A</v>
      </c>
      <c r="AQ1111">
        <v>3</v>
      </c>
      <c r="AR1111">
        <v>474423.54115399998</v>
      </c>
      <c r="AS1111" t="s">
        <v>66</v>
      </c>
      <c r="AT1111" t="s">
        <v>53</v>
      </c>
    </row>
    <row r="1112" spans="1:46">
      <c r="A1112">
        <v>220</v>
      </c>
      <c r="B1112" t="s">
        <v>46</v>
      </c>
      <c r="C1112">
        <v>97</v>
      </c>
      <c r="D1112">
        <v>511</v>
      </c>
      <c r="E1112" t="s">
        <v>1446</v>
      </c>
      <c r="F1112" t="s">
        <v>1442</v>
      </c>
      <c r="G1112">
        <v>97511</v>
      </c>
      <c r="H1112">
        <v>97511</v>
      </c>
      <c r="I1112" t="s">
        <v>589</v>
      </c>
      <c r="J1112">
        <v>9700</v>
      </c>
      <c r="K1112" t="s">
        <v>1442</v>
      </c>
      <c r="L1112" t="s">
        <v>211</v>
      </c>
      <c r="M1112" t="s">
        <v>211</v>
      </c>
      <c r="N1112">
        <v>0</v>
      </c>
      <c r="O1112" t="s">
        <v>1418</v>
      </c>
      <c r="P1112" t="s">
        <v>294</v>
      </c>
      <c r="Q1112" t="s">
        <v>211</v>
      </c>
      <c r="R1112" t="s">
        <v>72</v>
      </c>
      <c r="S1112" t="s">
        <v>57</v>
      </c>
      <c r="T1112" t="s">
        <v>58</v>
      </c>
      <c r="U1112" t="s">
        <v>59</v>
      </c>
      <c r="V1112">
        <v>0</v>
      </c>
      <c r="W1112" t="s">
        <v>53</v>
      </c>
      <c r="X1112" t="s">
        <v>53</v>
      </c>
      <c r="Y1112" t="s">
        <v>1419</v>
      </c>
      <c r="Z1112" t="str">
        <f t="shared" si="34"/>
        <v>Mayor que 2 - hasta 3</v>
      </c>
      <c r="AA1112">
        <f t="shared" si="35"/>
        <v>1</v>
      </c>
      <c r="AB1112" t="e">
        <v>#N/A</v>
      </c>
      <c r="AC1112" t="e">
        <v>#N/A</v>
      </c>
      <c r="AD1112" t="e">
        <v>#N/A</v>
      </c>
      <c r="AE1112">
        <v>0</v>
      </c>
      <c r="AF1112" t="s">
        <v>211</v>
      </c>
      <c r="AG1112">
        <v>0</v>
      </c>
      <c r="AH1112" t="e">
        <v>#N/A</v>
      </c>
      <c r="AI1112" t="e">
        <v>#N/A</v>
      </c>
      <c r="AJ1112">
        <v>0</v>
      </c>
      <c r="AK1112" t="s">
        <v>211</v>
      </c>
      <c r="AL1112">
        <v>0</v>
      </c>
      <c r="AM1112" s="4" t="e">
        <v>#N/A</v>
      </c>
      <c r="AN1112" s="5" t="e">
        <v>#N/A</v>
      </c>
      <c r="AO1112" s="4" t="e">
        <v>#N/A</v>
      </c>
      <c r="AP1112" s="6" t="e">
        <v>#N/A</v>
      </c>
      <c r="AQ1112">
        <v>4</v>
      </c>
      <c r="AR1112">
        <v>3793.7726899999998</v>
      </c>
      <c r="AS1112" t="s">
        <v>66</v>
      </c>
      <c r="AT1112" t="s">
        <v>53</v>
      </c>
    </row>
    <row r="1113" spans="1:46">
      <c r="A1113">
        <v>221</v>
      </c>
      <c r="B1113" t="s">
        <v>46</v>
      </c>
      <c r="C1113">
        <v>97</v>
      </c>
      <c r="D1113">
        <v>666</v>
      </c>
      <c r="E1113" t="s">
        <v>1447</v>
      </c>
      <c r="F1113" t="s">
        <v>1442</v>
      </c>
      <c r="G1113">
        <v>97666</v>
      </c>
      <c r="H1113">
        <v>97666</v>
      </c>
      <c r="I1113" t="s">
        <v>589</v>
      </c>
      <c r="J1113">
        <v>9700</v>
      </c>
      <c r="K1113" t="s">
        <v>1442</v>
      </c>
      <c r="L1113" t="s">
        <v>80</v>
      </c>
      <c r="M1113" t="s">
        <v>53</v>
      </c>
      <c r="N1113">
        <v>2543</v>
      </c>
      <c r="O1113" t="s">
        <v>53</v>
      </c>
      <c r="P1113" t="s">
        <v>70</v>
      </c>
      <c r="Q1113" t="s">
        <v>71</v>
      </c>
      <c r="R1113" t="s">
        <v>93</v>
      </c>
      <c r="S1113" t="s">
        <v>57</v>
      </c>
      <c r="T1113" t="s">
        <v>58</v>
      </c>
      <c r="U1113" t="s">
        <v>81</v>
      </c>
      <c r="V1113">
        <v>0.99</v>
      </c>
      <c r="W1113" t="s">
        <v>53</v>
      </c>
      <c r="X1113" t="s">
        <v>53</v>
      </c>
      <c r="Y1113" t="s">
        <v>608</v>
      </c>
      <c r="Z1113" t="str">
        <f t="shared" si="34"/>
        <v>Mayor que 3 - hasta 5</v>
      </c>
      <c r="AA1113">
        <f t="shared" si="35"/>
        <v>1</v>
      </c>
      <c r="AB1113" t="e">
        <v>#N/A</v>
      </c>
      <c r="AC1113" t="e">
        <v>#N/A</v>
      </c>
      <c r="AD1113" t="e">
        <v>#N/A</v>
      </c>
      <c r="AE1113">
        <v>0</v>
      </c>
      <c r="AF1113" t="s">
        <v>211</v>
      </c>
      <c r="AG1113">
        <v>0</v>
      </c>
      <c r="AH1113" t="e">
        <v>#N/A</v>
      </c>
      <c r="AI1113" t="e">
        <v>#N/A</v>
      </c>
      <c r="AJ1113">
        <v>0</v>
      </c>
      <c r="AK1113" t="s">
        <v>211</v>
      </c>
      <c r="AL1113">
        <v>0</v>
      </c>
      <c r="AM1113" s="4" t="s">
        <v>65</v>
      </c>
      <c r="AN1113" s="5">
        <v>111.60835889621893</v>
      </c>
      <c r="AO1113" s="4" t="s">
        <v>65</v>
      </c>
      <c r="AP1113" s="6">
        <v>57</v>
      </c>
      <c r="AQ1113">
        <v>5</v>
      </c>
      <c r="AR1113">
        <v>8180.0765890000002</v>
      </c>
      <c r="AS1113" t="s">
        <v>66</v>
      </c>
      <c r="AT1113" t="s">
        <v>53</v>
      </c>
    </row>
    <row r="1114" spans="1:46">
      <c r="A1114">
        <v>222</v>
      </c>
      <c r="B1114" t="s">
        <v>46</v>
      </c>
      <c r="C1114">
        <v>97</v>
      </c>
      <c r="D1114">
        <v>777</v>
      </c>
      <c r="E1114" t="s">
        <v>1448</v>
      </c>
      <c r="F1114" t="s">
        <v>1442</v>
      </c>
      <c r="G1114">
        <v>97777</v>
      </c>
      <c r="H1114">
        <v>97777</v>
      </c>
      <c r="I1114" t="s">
        <v>589</v>
      </c>
      <c r="J1114">
        <v>9700</v>
      </c>
      <c r="K1114" t="s">
        <v>1442</v>
      </c>
      <c r="L1114" t="s">
        <v>211</v>
      </c>
      <c r="M1114" t="s">
        <v>211</v>
      </c>
      <c r="N1114">
        <v>0</v>
      </c>
      <c r="O1114" t="s">
        <v>1418</v>
      </c>
      <c r="P1114" t="s">
        <v>294</v>
      </c>
      <c r="Q1114" t="s">
        <v>211</v>
      </c>
      <c r="R1114" t="s">
        <v>72</v>
      </c>
      <c r="S1114" t="s">
        <v>57</v>
      </c>
      <c r="T1114" t="s">
        <v>58</v>
      </c>
      <c r="U1114" t="s">
        <v>81</v>
      </c>
      <c r="V1114">
        <v>0</v>
      </c>
      <c r="W1114" t="s">
        <v>53</v>
      </c>
      <c r="X1114" t="s">
        <v>53</v>
      </c>
      <c r="Y1114" t="s">
        <v>1419</v>
      </c>
      <c r="Z1114" t="str">
        <f t="shared" si="34"/>
        <v>Mayor que 2 - hasta 3</v>
      </c>
      <c r="AA1114">
        <f t="shared" si="35"/>
        <v>1</v>
      </c>
      <c r="AB1114" t="e">
        <v>#N/A</v>
      </c>
      <c r="AC1114" t="e">
        <v>#N/A</v>
      </c>
      <c r="AD1114" t="e">
        <v>#N/A</v>
      </c>
      <c r="AE1114">
        <v>0</v>
      </c>
      <c r="AF1114" t="s">
        <v>211</v>
      </c>
      <c r="AG1114">
        <v>0</v>
      </c>
      <c r="AH1114" t="e">
        <v>#N/A</v>
      </c>
      <c r="AI1114" t="e">
        <v>#N/A</v>
      </c>
      <c r="AJ1114">
        <v>0</v>
      </c>
      <c r="AK1114" t="s">
        <v>211</v>
      </c>
      <c r="AL1114">
        <v>0</v>
      </c>
      <c r="AM1114" s="4" t="e">
        <v>#N/A</v>
      </c>
      <c r="AN1114" s="5" t="e">
        <v>#N/A</v>
      </c>
      <c r="AO1114" s="4" t="e">
        <v>#N/A</v>
      </c>
      <c r="AP1114" s="6" t="e">
        <v>#N/A</v>
      </c>
      <c r="AQ1114">
        <v>3</v>
      </c>
      <c r="AR1114">
        <v>326.30570799999998</v>
      </c>
      <c r="AS1114" t="s">
        <v>66</v>
      </c>
      <c r="AT1114" t="s">
        <v>53</v>
      </c>
    </row>
    <row r="1115" spans="1:46">
      <c r="A1115">
        <v>223</v>
      </c>
      <c r="B1115" t="s">
        <v>46</v>
      </c>
      <c r="C1115">
        <v>97</v>
      </c>
      <c r="D1115">
        <v>889</v>
      </c>
      <c r="E1115" t="s">
        <v>1449</v>
      </c>
      <c r="F1115" t="s">
        <v>1442</v>
      </c>
      <c r="G1115">
        <v>97889</v>
      </c>
      <c r="H1115">
        <v>97889</v>
      </c>
      <c r="I1115" t="s">
        <v>589</v>
      </c>
      <c r="J1115">
        <v>9700</v>
      </c>
      <c r="K1115" t="s">
        <v>1442</v>
      </c>
      <c r="L1115" t="s">
        <v>211</v>
      </c>
      <c r="M1115" t="s">
        <v>211</v>
      </c>
      <c r="N1115">
        <v>0</v>
      </c>
      <c r="O1115" t="s">
        <v>1418</v>
      </c>
      <c r="P1115" t="s">
        <v>294</v>
      </c>
      <c r="Q1115" t="s">
        <v>211</v>
      </c>
      <c r="R1115" t="s">
        <v>56</v>
      </c>
      <c r="S1115" t="s">
        <v>57</v>
      </c>
      <c r="T1115" t="s">
        <v>58</v>
      </c>
      <c r="U1115" t="s">
        <v>59</v>
      </c>
      <c r="V1115">
        <v>0</v>
      </c>
      <c r="W1115" t="s">
        <v>53</v>
      </c>
      <c r="X1115" t="s">
        <v>53</v>
      </c>
      <c r="Y1115" t="s">
        <v>1419</v>
      </c>
      <c r="Z1115" t="str">
        <f t="shared" si="34"/>
        <v>Mayor que 2 - hasta 3</v>
      </c>
      <c r="AA1115">
        <f t="shared" si="35"/>
        <v>1</v>
      </c>
      <c r="AB1115" t="e">
        <v>#N/A</v>
      </c>
      <c r="AC1115" t="e">
        <v>#N/A</v>
      </c>
      <c r="AD1115" t="e">
        <v>#N/A</v>
      </c>
      <c r="AE1115">
        <v>0</v>
      </c>
      <c r="AF1115" t="s">
        <v>211</v>
      </c>
      <c r="AG1115">
        <v>0</v>
      </c>
      <c r="AH1115" t="e">
        <v>#N/A</v>
      </c>
      <c r="AI1115" t="e">
        <v>#N/A</v>
      </c>
      <c r="AJ1115">
        <v>0</v>
      </c>
      <c r="AK1115" t="s">
        <v>211</v>
      </c>
      <c r="AL1115">
        <v>0</v>
      </c>
      <c r="AM1115" s="4" t="e">
        <v>#N/A</v>
      </c>
      <c r="AN1115" s="5" t="e">
        <v>#N/A</v>
      </c>
      <c r="AO1115" s="4" t="e">
        <v>#N/A</v>
      </c>
      <c r="AP1115" s="6" t="e">
        <v>#N/A</v>
      </c>
      <c r="AQ1115">
        <v>0</v>
      </c>
      <c r="AR1115">
        <v>0</v>
      </c>
      <c r="AS1115" t="s">
        <v>66</v>
      </c>
      <c r="AT1115" t="s">
        <v>53</v>
      </c>
    </row>
    <row r="1116" spans="1:46">
      <c r="A1116">
        <v>185</v>
      </c>
      <c r="B1116" t="s">
        <v>46</v>
      </c>
      <c r="C1116">
        <v>99</v>
      </c>
      <c r="D1116">
        <v>1</v>
      </c>
      <c r="E1116" t="s">
        <v>1450</v>
      </c>
      <c r="F1116" t="s">
        <v>1451</v>
      </c>
      <c r="G1116">
        <v>99001</v>
      </c>
      <c r="H1116">
        <v>99001</v>
      </c>
      <c r="I1116" t="s">
        <v>1015</v>
      </c>
      <c r="J1116">
        <v>9900</v>
      </c>
      <c r="K1116" t="s">
        <v>1451</v>
      </c>
      <c r="L1116" t="s">
        <v>80</v>
      </c>
      <c r="M1116" t="s">
        <v>52</v>
      </c>
      <c r="N1116">
        <v>22218</v>
      </c>
      <c r="O1116" t="s">
        <v>53</v>
      </c>
      <c r="P1116" t="s">
        <v>70</v>
      </c>
      <c r="Q1116" t="s">
        <v>71</v>
      </c>
      <c r="R1116" t="s">
        <v>122</v>
      </c>
      <c r="S1116" t="s">
        <v>57</v>
      </c>
      <c r="T1116" t="s">
        <v>58</v>
      </c>
      <c r="U1116" t="s">
        <v>101</v>
      </c>
      <c r="V1116">
        <v>0.59795900000000002</v>
      </c>
      <c r="W1116">
        <v>2022</v>
      </c>
      <c r="X1116" t="s">
        <v>361</v>
      </c>
      <c r="Y1116" t="s">
        <v>362</v>
      </c>
      <c r="Z1116" t="str">
        <f t="shared" si="34"/>
        <v>Mayor que 5 - hasta 8</v>
      </c>
      <c r="AA1116">
        <f t="shared" si="35"/>
        <v>0</v>
      </c>
      <c r="AB1116" t="e">
        <v>#N/A</v>
      </c>
      <c r="AC1116" t="e">
        <v>#N/A</v>
      </c>
      <c r="AD1116" t="e">
        <v>#N/A</v>
      </c>
      <c r="AE1116">
        <v>0</v>
      </c>
      <c r="AF1116" t="s">
        <v>211</v>
      </c>
      <c r="AG1116">
        <v>0</v>
      </c>
      <c r="AH1116" t="s">
        <v>1452</v>
      </c>
      <c r="AI1116" t="s">
        <v>1450</v>
      </c>
      <c r="AJ1116">
        <v>0</v>
      </c>
      <c r="AK1116" t="s">
        <v>63</v>
      </c>
      <c r="AL1116">
        <v>0</v>
      </c>
      <c r="AM1116" s="4" t="s">
        <v>97</v>
      </c>
      <c r="AN1116" s="5">
        <v>1018063.5516095376</v>
      </c>
      <c r="AO1116" t="s">
        <v>65</v>
      </c>
      <c r="AP1116" s="3">
        <v>401</v>
      </c>
      <c r="AQ1116">
        <v>3</v>
      </c>
      <c r="AR1116">
        <v>10451.56776</v>
      </c>
      <c r="AS1116" t="s">
        <v>66</v>
      </c>
      <c r="AT1116" t="s">
        <v>53</v>
      </c>
    </row>
    <row r="1117" spans="1:46">
      <c r="A1117">
        <v>186</v>
      </c>
      <c r="B1117" t="s">
        <v>46</v>
      </c>
      <c r="C1117">
        <v>99</v>
      </c>
      <c r="D1117">
        <v>524</v>
      </c>
      <c r="E1117" t="s">
        <v>1453</v>
      </c>
      <c r="F1117" t="s">
        <v>1451</v>
      </c>
      <c r="G1117">
        <v>99524</v>
      </c>
      <c r="H1117">
        <v>99524</v>
      </c>
      <c r="I1117" t="s">
        <v>1015</v>
      </c>
      <c r="J1117">
        <v>9900</v>
      </c>
      <c r="K1117" t="s">
        <v>1451</v>
      </c>
      <c r="L1117" t="s">
        <v>80</v>
      </c>
      <c r="M1117" t="s">
        <v>53</v>
      </c>
      <c r="N1117">
        <v>10992</v>
      </c>
      <c r="O1117" t="s">
        <v>53</v>
      </c>
      <c r="P1117" t="s">
        <v>70</v>
      </c>
      <c r="Q1117" t="s">
        <v>71</v>
      </c>
      <c r="R1117" t="s">
        <v>122</v>
      </c>
      <c r="S1117" t="s">
        <v>57</v>
      </c>
      <c r="T1117" t="s">
        <v>58</v>
      </c>
      <c r="U1117" t="s">
        <v>59</v>
      </c>
      <c r="V1117">
        <v>0.575542</v>
      </c>
      <c r="W1117">
        <v>2022</v>
      </c>
      <c r="X1117" t="s">
        <v>361</v>
      </c>
      <c r="Y1117" t="s">
        <v>362</v>
      </c>
      <c r="Z1117" t="str">
        <f t="shared" si="34"/>
        <v>Mayor que 5 - hasta 8</v>
      </c>
      <c r="AA1117">
        <f t="shared" si="35"/>
        <v>0</v>
      </c>
      <c r="AB1117">
        <v>99524</v>
      </c>
      <c r="AC1117" t="s">
        <v>512</v>
      </c>
      <c r="AD1117" t="s">
        <v>513</v>
      </c>
      <c r="AE1117">
        <v>9.9331530000000008</v>
      </c>
      <c r="AF1117" t="s">
        <v>211</v>
      </c>
      <c r="AG1117">
        <v>459.61702000000002</v>
      </c>
      <c r="AH1117" t="s">
        <v>512</v>
      </c>
      <c r="AI1117" t="s">
        <v>513</v>
      </c>
      <c r="AJ1117">
        <v>9.9079599999999992</v>
      </c>
      <c r="AK1117" t="s">
        <v>221</v>
      </c>
      <c r="AL1117">
        <v>460.48270500000001</v>
      </c>
      <c r="AM1117" s="4" t="s">
        <v>97</v>
      </c>
      <c r="AN1117" s="5">
        <v>1885045.5225075511</v>
      </c>
      <c r="AO1117" t="s">
        <v>65</v>
      </c>
      <c r="AP1117" s="3">
        <v>96</v>
      </c>
      <c r="AQ1117">
        <v>3</v>
      </c>
      <c r="AR1117">
        <v>10682.846916</v>
      </c>
      <c r="AS1117" t="s">
        <v>66</v>
      </c>
      <c r="AT1117" t="s">
        <v>53</v>
      </c>
    </row>
    <row r="1118" spans="1:46">
      <c r="A1118">
        <v>184</v>
      </c>
      <c r="B1118" t="s">
        <v>46</v>
      </c>
      <c r="C1118">
        <v>99</v>
      </c>
      <c r="D1118">
        <v>624</v>
      </c>
      <c r="E1118" t="s">
        <v>1454</v>
      </c>
      <c r="F1118" t="s">
        <v>1451</v>
      </c>
      <c r="G1118">
        <v>99624</v>
      </c>
      <c r="H1118">
        <v>99624</v>
      </c>
      <c r="I1118" t="s">
        <v>1015</v>
      </c>
      <c r="J1118">
        <v>9900</v>
      </c>
      <c r="K1118" t="s">
        <v>1451</v>
      </c>
      <c r="L1118" t="s">
        <v>80</v>
      </c>
      <c r="M1118" t="s">
        <v>53</v>
      </c>
      <c r="N1118">
        <v>4555</v>
      </c>
      <c r="O1118" t="s">
        <v>53</v>
      </c>
      <c r="P1118" t="s">
        <v>70</v>
      </c>
      <c r="Q1118" t="s">
        <v>71</v>
      </c>
      <c r="R1118" t="s">
        <v>56</v>
      </c>
      <c r="S1118" t="s">
        <v>57</v>
      </c>
      <c r="T1118" t="s">
        <v>58</v>
      </c>
      <c r="U1118" t="s">
        <v>59</v>
      </c>
      <c r="V1118">
        <v>0.77054800000000001</v>
      </c>
      <c r="W1118">
        <v>2022</v>
      </c>
      <c r="X1118" t="s">
        <v>361</v>
      </c>
      <c r="Y1118" t="s">
        <v>362</v>
      </c>
      <c r="Z1118" t="str">
        <f t="shared" si="34"/>
        <v>Mayor que 5 - hasta 8</v>
      </c>
      <c r="AA1118">
        <f t="shared" si="35"/>
        <v>0</v>
      </c>
      <c r="AB1118">
        <v>99624</v>
      </c>
      <c r="AC1118" t="s">
        <v>512</v>
      </c>
      <c r="AD1118" t="s">
        <v>513</v>
      </c>
      <c r="AE1118">
        <v>8.3403939999999999</v>
      </c>
      <c r="AF1118" t="s">
        <v>211</v>
      </c>
      <c r="AG1118">
        <v>400.61487699999998</v>
      </c>
      <c r="AH1118" t="s">
        <v>512</v>
      </c>
      <c r="AI1118" t="s">
        <v>513</v>
      </c>
      <c r="AJ1118">
        <v>8.3152010000000001</v>
      </c>
      <c r="AK1118" t="s">
        <v>221</v>
      </c>
      <c r="AL1118">
        <v>401.48056200000002</v>
      </c>
      <c r="AM1118" s="4" t="s">
        <v>97</v>
      </c>
      <c r="AN1118" s="5">
        <v>171131.84757917011</v>
      </c>
      <c r="AO1118" t="s">
        <v>65</v>
      </c>
      <c r="AP1118" s="3">
        <v>86</v>
      </c>
      <c r="AQ1118">
        <v>2</v>
      </c>
      <c r="AR1118">
        <v>20982.940521</v>
      </c>
      <c r="AS1118" t="s">
        <v>66</v>
      </c>
      <c r="AT1118" t="s">
        <v>53</v>
      </c>
    </row>
    <row r="1119" spans="1:46">
      <c r="A1119">
        <v>187</v>
      </c>
      <c r="B1119" t="s">
        <v>46</v>
      </c>
      <c r="C1119">
        <v>99</v>
      </c>
      <c r="D1119">
        <v>773</v>
      </c>
      <c r="E1119" t="s">
        <v>1455</v>
      </c>
      <c r="F1119" t="s">
        <v>1451</v>
      </c>
      <c r="G1119">
        <v>99773</v>
      </c>
      <c r="H1119">
        <v>99773</v>
      </c>
      <c r="I1119" t="s">
        <v>1015</v>
      </c>
      <c r="J1119">
        <v>9900</v>
      </c>
      <c r="K1119" t="s">
        <v>1451</v>
      </c>
      <c r="L1119" t="s">
        <v>80</v>
      </c>
      <c r="M1119" t="s">
        <v>53</v>
      </c>
      <c r="N1119">
        <v>85539</v>
      </c>
      <c r="O1119" t="s">
        <v>53</v>
      </c>
      <c r="P1119" t="s">
        <v>92</v>
      </c>
      <c r="Q1119" t="s">
        <v>71</v>
      </c>
      <c r="R1119" t="s">
        <v>294</v>
      </c>
      <c r="S1119" t="s">
        <v>57</v>
      </c>
      <c r="T1119" t="s">
        <v>73</v>
      </c>
      <c r="U1119" t="s">
        <v>101</v>
      </c>
      <c r="V1119">
        <v>2.3220000000000001E-2</v>
      </c>
      <c r="W1119">
        <v>2022</v>
      </c>
      <c r="X1119" t="s">
        <v>383</v>
      </c>
      <c r="Y1119" t="s">
        <v>384</v>
      </c>
      <c r="Z1119" t="str">
        <f t="shared" si="34"/>
        <v>Mayor que 3 - hasta 5</v>
      </c>
      <c r="AA1119">
        <f t="shared" si="35"/>
        <v>0</v>
      </c>
      <c r="AB1119" t="e">
        <v>#N/A</v>
      </c>
      <c r="AC1119" t="e">
        <v>#N/A</v>
      </c>
      <c r="AD1119" t="e">
        <v>#N/A</v>
      </c>
      <c r="AE1119">
        <v>0</v>
      </c>
      <c r="AF1119" t="s">
        <v>211</v>
      </c>
      <c r="AG1119">
        <v>0</v>
      </c>
      <c r="AH1119" t="e">
        <v>#N/A</v>
      </c>
      <c r="AI1119" t="e">
        <v>#N/A</v>
      </c>
      <c r="AJ1119">
        <v>0</v>
      </c>
      <c r="AK1119" t="s">
        <v>211</v>
      </c>
      <c r="AL1119">
        <v>0</v>
      </c>
      <c r="AM1119" s="4" t="s">
        <v>97</v>
      </c>
      <c r="AN1119" s="5">
        <v>2496351.9633475905</v>
      </c>
      <c r="AO1119" t="s">
        <v>97</v>
      </c>
      <c r="AP1119" s="3">
        <v>153</v>
      </c>
      <c r="AQ1119">
        <v>3</v>
      </c>
      <c r="AR1119">
        <v>147576.93504800001</v>
      </c>
      <c r="AS1119" t="s">
        <v>66</v>
      </c>
      <c r="AT1119" t="s">
        <v>53</v>
      </c>
    </row>
  </sheetData>
  <autoFilter ref="A1:AT1119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865f38-fcee-49f1-8607-7784d539e8e9">
      <Terms xmlns="http://schemas.microsoft.com/office/infopath/2007/PartnerControls"/>
    </lcf76f155ced4ddcb4097134ff3c332f>
    <TaxCatchAll xmlns="78840add-265c-4710-9a6f-e76b6f531e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586D069F5759479E45B5B413732E6D" ma:contentTypeVersion="19" ma:contentTypeDescription="Crear nuevo documento." ma:contentTypeScope="" ma:versionID="59e6f4f0cc72dc41e39f79d791dc785b">
  <xsd:schema xmlns:xsd="http://www.w3.org/2001/XMLSchema" xmlns:xs="http://www.w3.org/2001/XMLSchema" xmlns:p="http://schemas.microsoft.com/office/2006/metadata/properties" xmlns:ns2="c7865f38-fcee-49f1-8607-7784d539e8e9" xmlns:ns3="78840add-265c-4710-9a6f-e76b6f531eff" targetNamespace="http://schemas.microsoft.com/office/2006/metadata/properties" ma:root="true" ma:fieldsID="a62535a8b504ff2b046b84d493295cf2" ns2:_="" ns3:_="">
    <xsd:import namespace="c7865f38-fcee-49f1-8607-7784d539e8e9"/>
    <xsd:import namespace="78840add-265c-4710-9a6f-e76b6f531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65f38-fcee-49f1-8607-7784d539e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953dc2c-0b01-4691-9f90-5ef86a169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40add-265c-4710-9a6f-e76b6f531e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f85175-d042-4e5a-a7f5-704fb1f3a938}" ma:internalName="TaxCatchAll" ma:showField="CatchAllData" ma:web="78840add-265c-4710-9a6f-e76b6f531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2ABFCF-F7E5-422C-BB17-5AD0AFE825C4}"/>
</file>

<file path=customXml/itemProps2.xml><?xml version="1.0" encoding="utf-8"?>
<ds:datastoreItem xmlns:ds="http://schemas.openxmlformats.org/officeDocument/2006/customXml" ds:itemID="{914AA14E-1E5C-4206-A686-FAD5D5EE541A}"/>
</file>

<file path=customXml/itemProps3.xml><?xml version="1.0" encoding="utf-8"?>
<ds:datastoreItem xmlns:ds="http://schemas.openxmlformats.org/officeDocument/2006/customXml" ds:itemID="{C714190C-DA5F-4A90-8FEC-0D86E19ED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InKulpado666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Academia</dc:creator>
  <cp:keywords/>
  <dc:description/>
  <cp:lastModifiedBy>Javier Alexander Marin Arango</cp:lastModifiedBy>
  <cp:revision/>
  <dcterms:created xsi:type="dcterms:W3CDTF">2025-05-15T21:41:22Z</dcterms:created>
  <dcterms:modified xsi:type="dcterms:W3CDTF">2025-10-22T04:09:31Z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0x01010065586D069F5759479E45B5B413732E6D</vt:lpwstr>
  </property>
  <property fmtid="{D5CDD505-2E9C-101B-9397-08002B2CF9AE}" pid="3" name="MediaServiceImageTags">
    <vt:lpwstr/>
  </property>
</Properties>
</file>